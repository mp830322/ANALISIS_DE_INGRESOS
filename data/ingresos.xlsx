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SOS" sheetId="1" state="visible" r:id="rId2"/>
    <sheet name="BASE" sheetId="2" state="visible" r:id="rId3"/>
    <sheet name="RECATALOGANDO" sheetId="3" state="visible" r:id="rId4"/>
    <sheet name="CATS" sheetId="4" state="visible" r:id="rId5"/>
  </sheets>
  <definedNames>
    <definedName function="false" hidden="true" localSheetId="1" name="_xlnm._FilterDatabase" vbProcedure="false">BASE!$A$1:$O$1443</definedName>
    <definedName function="false" hidden="true" localSheetId="0" name="_xlnm._FilterDatabase" vbProcedure="false">INGRESOS!$A$1:$O$1456</definedName>
    <definedName function="false" hidden="true" localSheetId="2" name="_xlnm._FilterDatabase" vbProcedure="false">RECATALOGANDO!$A$1:$A$56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<sst xmlns="http://schemas.openxmlformats.org/spreadsheetml/2006/main" count="9161" uniqueCount="108">
  <si>
    <t xml:space="preserve">FECHA</t>
  </si>
  <si>
    <t xml:space="preserve">DIA</t>
  </si>
  <si>
    <t xml:space="preserve">MES</t>
  </si>
  <si>
    <t xml:space="preserve">ANIO</t>
  </si>
  <si>
    <t xml:space="preserve">TIPO_DIA</t>
  </si>
  <si>
    <t xml:space="preserve">NUM_SEM</t>
  </si>
  <si>
    <t xml:space="preserve">QNA</t>
  </si>
  <si>
    <t xml:space="preserve">MONTO</t>
  </si>
  <si>
    <t xml:space="preserve">BANCO</t>
  </si>
  <si>
    <t xml:space="preserve">CONCEPTO</t>
  </si>
  <si>
    <t xml:space="preserve">COMENTARIOS</t>
  </si>
  <si>
    <t xml:space="preserve">SALDO ACUM</t>
  </si>
  <si>
    <t xml:space="preserve">RECAT</t>
  </si>
  <si>
    <t xml:space="preserve">AGRUPACION</t>
  </si>
  <si>
    <t xml:space="preserve">INDICE</t>
  </si>
  <si>
    <t xml:space="preserve">BBVA</t>
  </si>
  <si>
    <t xml:space="preserve">NO DATO</t>
  </si>
  <si>
    <t xml:space="preserve">DONATIVO </t>
  </si>
  <si>
    <t xml:space="preserve">NO ES INGRESO</t>
  </si>
  <si>
    <t xml:space="preserve">PRESTAMO BANCARIO</t>
  </si>
  <si>
    <t xml:space="preserve">BANAMEX</t>
  </si>
  <si>
    <t xml:space="preserve">DEPÓSITO EQUIVOCADO Y DEVUELTO</t>
  </si>
  <si>
    <t xml:space="preserve">DEPÓSITO PRESTAMO</t>
  </si>
  <si>
    <t xml:space="preserve">REEMBOLSO</t>
  </si>
  <si>
    <t xml:space="preserve">REEMBOLSO POR DEPOSITO EQUIVOCADO</t>
  </si>
  <si>
    <t xml:space="preserve">PENSIÓN ALIMENTICIA</t>
  </si>
  <si>
    <t xml:space="preserve">DEPOSITO EQUIVOCADO QUE FUE REEMBOLSADO</t>
  </si>
  <si>
    <t xml:space="preserve">DEVOLUCIÓN SPEI</t>
  </si>
  <si>
    <t xml:space="preserve">DEPOSITO PENSION ALIMENTICIA</t>
  </si>
  <si>
    <t xml:space="preserve">ABONO POR REEMBOLSO POR CARGO NO RECONOCIDO</t>
  </si>
  <si>
    <t xml:space="preserve">TRANFERENCIA ENTRE CUENTAS</t>
  </si>
  <si>
    <t xml:space="preserve">TRANSFERENCIAS</t>
  </si>
  <si>
    <t xml:space="preserve">TRANSFERENCIA ENTRE CUENTAS</t>
  </si>
  <si>
    <t xml:space="preserve">TRANSFERENCIA FAMILIAR</t>
  </si>
  <si>
    <t xml:space="preserve">DEPOSITO FAMILIAR</t>
  </si>
  <si>
    <t xml:space="preserve">ENTRE CUENTAS</t>
  </si>
  <si>
    <t xml:space="preserve">DEPÓSITO FAMILIAR</t>
  </si>
  <si>
    <t xml:space="preserve">TRANSFERENCIA FAMILIARES</t>
  </si>
  <si>
    <t xml:space="preserve">VENTA DE ALIMENTOS</t>
  </si>
  <si>
    <t xml:space="preserve">INGRESO</t>
  </si>
  <si>
    <t xml:space="preserve">APLICACIÓN DE VACUNAS</t>
  </si>
  <si>
    <t xml:space="preserve">HONORARIOS POR CIRUGIA</t>
  </si>
  <si>
    <t xml:space="preserve">VENTA MEDICAMENTO</t>
  </si>
  <si>
    <t xml:space="preserve">HONORARIOS POR CERTIFICADO DE VIAJE</t>
  </si>
  <si>
    <t xml:space="preserve">HONORARIOS MEDICOS</t>
  </si>
  <si>
    <t xml:space="preserve">VENTA DE MEDICAMENTO</t>
  </si>
  <si>
    <t xml:space="preserve">SERVICIOS DE GROOMING</t>
  </si>
  <si>
    <t xml:space="preserve">SERVICIO DE PENSION</t>
  </si>
  <si>
    <t xml:space="preserve">VENTA DE ACCESORIOS</t>
  </si>
  <si>
    <t xml:space="preserve">SERVICIO DE GROOMING</t>
  </si>
  <si>
    <t xml:space="preserve">PAGO DE VACUNAS</t>
  </si>
  <si>
    <t xml:space="preserve">VENTA DE ALIMENTO</t>
  </si>
  <si>
    <t xml:space="preserve">PAGO SERVICIO DE PENSIÓN</t>
  </si>
  <si>
    <t xml:space="preserve">SERVICIO GROOMING</t>
  </si>
  <si>
    <t xml:space="preserve">SERVICIO DE LABORATORIO</t>
  </si>
  <si>
    <t xml:space="preserve">VENTA DE MEDICAMENTOS</t>
  </si>
  <si>
    <t xml:space="preserve">SERVICIO DE IMAGENOLOGIA</t>
  </si>
  <si>
    <t xml:space="preserve">SERVICIO DE CREMACIÓN</t>
  </si>
  <si>
    <t xml:space="preserve">SERVICIO LABORATORIO</t>
  </si>
  <si>
    <t xml:space="preserve">SERVICIO DE PENSIÓN</t>
  </si>
  <si>
    <t xml:space="preserve">SERVICIO DE HOSPITALIZACION</t>
  </si>
  <si>
    <t xml:space="preserve">SERVICIOS HOSPITALARIOS</t>
  </si>
  <si>
    <t xml:space="preserve">SERVICIO DE RADIOLOGIA</t>
  </si>
  <si>
    <t xml:space="preserve">SERVICIOS FUNERARIOS PARA MASCOTAS</t>
  </si>
  <si>
    <t xml:space="preserve">HONORARIOS QUIRURGICOS</t>
  </si>
  <si>
    <t xml:space="preserve">SERVICIOS DE LABORATORIO</t>
  </si>
  <si>
    <t xml:space="preserve">SERVICIOS DE IMAGENOLOGIA</t>
  </si>
  <si>
    <t xml:space="preserve">SERVICIO PENSIÓN</t>
  </si>
  <si>
    <t xml:space="preserve">SERVICIO DE IMAGEN</t>
  </si>
  <si>
    <t xml:space="preserve">SERVICIODE GROOMING</t>
  </si>
  <si>
    <t xml:space="preserve">SERVICIO DE INCINERACIÓN</t>
  </si>
  <si>
    <t xml:space="preserve">SERVICIOS DE CREMACIÓN</t>
  </si>
  <si>
    <t xml:space="preserve">SERVICIODE LABORATORIO</t>
  </si>
  <si>
    <t xml:space="preserve">PAGO DE MEDICAMENTO</t>
  </si>
  <si>
    <t xml:space="preserve">PAGO DE ALIMENTOS</t>
  </si>
  <si>
    <t xml:space="preserve">SERVCIO DE PENSIÓN</t>
  </si>
  <si>
    <t xml:space="preserve">CERTIFICADOS DE VIAJE</t>
  </si>
  <si>
    <t xml:space="preserve">DEVOLUCIÓN</t>
  </si>
  <si>
    <t xml:space="preserve">VENTA</t>
  </si>
  <si>
    <t xml:space="preserve">CONCEPTO 2</t>
  </si>
  <si>
    <t xml:space="preserve">AGRUPADO</t>
  </si>
  <si>
    <t xml:space="preserve">DINERO DEVUELTO A ORIGEN</t>
  </si>
  <si>
    <t xml:space="preserve">VENTA DE PRODUCTO</t>
  </si>
  <si>
    <t xml:space="preserve">PENSION ALIMENTICIA</t>
  </si>
  <si>
    <t xml:space="preserve">PENSION</t>
  </si>
  <si>
    <t xml:space="preserve">PRESTAMO</t>
  </si>
  <si>
    <t xml:space="preserve">DINERO DEVUELTO</t>
  </si>
  <si>
    <t xml:space="preserve">DONATIVO</t>
  </si>
  <si>
    <t xml:space="preserve">VENTA DE SERVICIO</t>
  </si>
  <si>
    <t xml:space="preserve">SERVICIO DE CREMACION</t>
  </si>
  <si>
    <t xml:space="preserve">ID</t>
  </si>
  <si>
    <t xml:space="preserve">DESCRIPCION</t>
  </si>
  <si>
    <t xml:space="preserve">ID_</t>
  </si>
  <si>
    <t xml:space="preserve">MEDICOS</t>
  </si>
  <si>
    <t xml:space="preserve">VENTAS</t>
  </si>
  <si>
    <t xml:space="preserve">QUIRURGICOS</t>
  </si>
  <si>
    <t xml:space="preserve">TRANSFERENCIA</t>
  </si>
  <si>
    <t xml:space="preserve">CREMACIÓN</t>
  </si>
  <si>
    <t xml:space="preserve">BANORTE</t>
  </si>
  <si>
    <t xml:space="preserve">HONORARIOS</t>
  </si>
  <si>
    <t xml:space="preserve">GROOMING</t>
  </si>
  <si>
    <t xml:space="preserve">SERVICIOS</t>
  </si>
  <si>
    <t xml:space="preserve">LABORATORIO</t>
  </si>
  <si>
    <t xml:space="preserve">PENSIÓN</t>
  </si>
  <si>
    <t xml:space="preserve">CUENTAS</t>
  </si>
  <si>
    <t xml:space="preserve">FAMILIARES</t>
  </si>
  <si>
    <t xml:space="preserve">ALIMENTO</t>
  </si>
  <si>
    <t xml:space="preserve">MEDICAMENTO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</si>
</sst>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_-\$* #,##0.00_-;&quot;-$&quot;* #,##0.00_-;_-\$* \-??_-;_-@_-"/>
    <numFmt numFmtId="167" formatCode="General"/>
    <numFmt numFmtId="168" formatCode="0.00"/>
    <numFmt numFmtId="169" formatCode="_-\$* #,##0.00_-;&quot;-$&quot;* #,##0.00_-;_-\$* \-??_-;_-@_-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 Light"/>
      <family val="2"/>
      <charset val="1"/>
    </font>
    <font>
      <sz val="11"/>
      <color rgb="FF000000"/>
      <name val="Calibri Light"/>
      <family val="2"/>
      <charset val="1"/>
    </font>
    <font>
      <sz val="11"/>
      <color rgb="FF001D35"/>
      <name val="Calibri Light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Calibri Light"/>
      <family val="2"/>
      <charset val="1"/>
    </font>
    <font>
      <b val="true"/>
      <sz val="11"/>
      <color rgb="FFFFFFFF"/>
      <name val="Calibri Light"/>
      <family val="2"/>
      <charset val="1"/>
    </font>
    <font>
      <sz val="11"/>
      <color rgb="FF006100"/>
      <name val="Calibri"/>
      <family val="2"/>
      <charset val="1"/>
    </font>
    <font>
      <sz val="11"/>
      <color rgb="FF006100"/>
      <name val="Calibri Light"/>
      <family val="2"/>
      <charset val="1"/>
    </font>
    <font>
      <sz val="11"/>
      <color rgb="FF9C6500"/>
      <name val="Calibri"/>
      <family val="2"/>
      <charset val="1"/>
    </font>
    <font>
      <sz val="11"/>
      <color rgb="FF9C6500"/>
      <name val="Calibri Light"/>
      <family val="2"/>
      <charset val="1"/>
    </font>
    <font>
      <sz val="11"/>
      <color rgb="FF9C0006"/>
      <name val="Calibri"/>
      <family val="2"/>
      <charset val="1"/>
    </font>
    <font>
      <sz val="11"/>
      <color rgb="FF9C0006"/>
      <name val="Calibri Light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color rgb="FF9C650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61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C6EFCE"/>
        <bgColor rgb="FFCCFFFF"/>
      </patternFill>
    </fill>
    <fill>
      <patternFill patternType="solid">
        <fgColor rgb="FF5B9BD5"/>
        <bgColor rgb="FF808080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EB9C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16" fillId="8" borderId="0" applyFont="true" applyBorder="false" applyAlignment="true" applyProtection="false">
      <alignment horizontal="general" vertical="bottom" textRotation="0" wrapText="false" indent="0" shrinkToFit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4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5" borderId="0" xf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6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0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8" borderId="0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0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8" borderId="0" xfId="3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8" borderId="0" xfId="3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0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6" borderId="0" xfId="32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6" borderId="0" xfId="32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6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0" xfId="3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4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  <cellStyle name="Normal 2" xfId="27"/>
    <cellStyle name="Excel Built-in Accent6" xfId="28"/>
    <cellStyle name="Excel Built-in Accent4" xfId="29"/>
    <cellStyle name="Excel Built-in Good" xfId="30"/>
    <cellStyle name="Excel Built-in Accent1" xfId="31"/>
    <cellStyle name="Excel Built-in Neutral" xfId="32"/>
    <cellStyle name="Excel Built-in 20% - Accent4" xfId="33"/>
    <cellStyle name="Excel Built-in Bad" xfId="34"/>
  </cellStyles>
  <dxfs count="16">
    <dxf>
      <fill>
        <patternFill patternType="solid">
          <fgColor rgb="FF5B9BD5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9C65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1D35"/>
        </patternFill>
      </fill>
    </dxf>
    <dxf>
      <fill>
        <patternFill>
          <bgColor rgb="FFFFC000"/>
        </patternFill>
      </fill>
    </dxf>
    <dxf>
      <fill>
        <patternFill>
          <bgColor rgb="FFA5A5A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A5A5A5"/>
      <rgbColor rgb="FF001D35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D1503" colorId="64" zoomScale="100" zoomScaleNormal="100" zoomScalePageLayoutView="100" workbookViewId="0">
      <selection pane="topLeft" activeCell="O1519" activeCellId="0" sqref="O15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.33"/>
    <col collapsed="false" customWidth="true" hidden="false" outlineLevel="0" max="3" min="3" style="2" width="7.11"/>
    <col collapsed="false" customWidth="true" hidden="false" outlineLevel="0" max="4" min="4" style="2" width="7.76"/>
    <col collapsed="false" customWidth="true" hidden="false" outlineLevel="0" max="5" min="5" style="2" width="11.67"/>
    <col collapsed="false" customWidth="true" hidden="false" outlineLevel="0" max="6" min="6" style="2" width="12.67"/>
    <col collapsed="false" customWidth="true" hidden="false" outlineLevel="0" max="7" min="7" style="2" width="7.22"/>
    <col collapsed="false" customWidth="true" hidden="false" outlineLevel="0" max="8" min="8" style="3" width="10.44"/>
    <col collapsed="false" customWidth="true" hidden="false" outlineLevel="0" max="9" min="9" style="2" width="10"/>
    <col collapsed="false" customWidth="true" hidden="false" outlineLevel="0" max="10" min="10" style="2" width="47.56"/>
    <col collapsed="false" customWidth="true" hidden="false" outlineLevel="0" max="11" min="11" style="2" width="16.67"/>
    <col collapsed="false" customWidth="true" hidden="false" outlineLevel="0" max="12" min="12" style="2" width="15.33"/>
    <col collapsed="false" customWidth="true" hidden="false" outlineLevel="0" max="13" min="13" style="2" width="28.33"/>
    <col collapsed="false" customWidth="true" hidden="false" outlineLevel="0" max="14" min="14" style="2" width="25.22"/>
    <col collapsed="false" customWidth="true" hidden="false" outlineLevel="0" max="15" min="15" style="2" width="10.66"/>
  </cols>
  <sheetData>
    <row r="1" customFormat="false" ht="13.8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</row>
    <row r="2" customFormat="false" ht="13.8" hidden="false" customHeight="false" outlineLevel="0" collapsed="false">
      <c r="A2" s="8" t="n">
        <v>45507</v>
      </c>
      <c r="B2" s="9" t="n">
        <f aca="false">DAY(A2)</f>
        <v>3</v>
      </c>
      <c r="C2" s="9" t="n">
        <f aca="false">MONTH(A2)</f>
        <v>8</v>
      </c>
      <c r="D2" s="9" t="n">
        <f aca="false">YEAR(A2)</f>
        <v>2024</v>
      </c>
      <c r="E2" s="9" t="n">
        <f aca="false">WEEKDAY(A2,2)</f>
        <v>6</v>
      </c>
      <c r="F2" s="10" t="n">
        <f aca="false">WEEKNUM(A2,2) - WEEKNUM(DATE(YEAR(A2),MONTH(A2),1),2) + 1</f>
        <v>1</v>
      </c>
      <c r="G2" s="10"/>
      <c r="H2" s="11" t="n">
        <v>277</v>
      </c>
      <c r="I2" s="12" t="s">
        <v>15</v>
      </c>
      <c r="J2" s="12"/>
      <c r="K2" s="12"/>
      <c r="L2" s="9"/>
      <c r="M2" s="12" t="s">
        <v>16</v>
      </c>
      <c r="N2" s="12" t="s">
        <v>16</v>
      </c>
      <c r="O2" s="2" t="s">
        <v>16</v>
      </c>
    </row>
    <row r="3" customFormat="false" ht="13.8" hidden="false" customHeight="false" outlineLevel="0" collapsed="false">
      <c r="A3" s="8" t="n">
        <v>45519</v>
      </c>
      <c r="B3" s="9" t="n">
        <f aca="false">DAY(A3)</f>
        <v>15</v>
      </c>
      <c r="C3" s="9" t="n">
        <f aca="false">MONTH(A3)</f>
        <v>8</v>
      </c>
      <c r="D3" s="9" t="n">
        <f aca="false">YEAR(A3)</f>
        <v>2024</v>
      </c>
      <c r="E3" s="9" t="n">
        <f aca="false">WEEKDAY(A3,2)</f>
        <v>4</v>
      </c>
      <c r="F3" s="10" t="n">
        <f aca="false">WEEKNUM(A3,2) - WEEKNUM(DATE(YEAR(A3),MONTH(A3),1),2) + 1</f>
        <v>3</v>
      </c>
      <c r="G3" s="10" t="n">
        <v>1</v>
      </c>
      <c r="H3" s="11" t="n">
        <v>729.22</v>
      </c>
      <c r="I3" s="12" t="s">
        <v>15</v>
      </c>
      <c r="J3" s="12"/>
      <c r="K3" s="12"/>
      <c r="L3" s="9"/>
      <c r="M3" s="12" t="s">
        <v>16</v>
      </c>
      <c r="N3" s="12" t="s">
        <v>16</v>
      </c>
      <c r="O3" s="2" t="s">
        <v>16</v>
      </c>
    </row>
    <row r="4" customFormat="false" ht="13.8" hidden="false" customHeight="false" outlineLevel="0" collapsed="false">
      <c r="A4" s="8" t="n">
        <v>45522</v>
      </c>
      <c r="B4" s="9" t="n">
        <f aca="false">DAY(A4)</f>
        <v>18</v>
      </c>
      <c r="C4" s="9" t="n">
        <f aca="false">MONTH(A4)</f>
        <v>8</v>
      </c>
      <c r="D4" s="9" t="n">
        <f aca="false">YEAR(A4)</f>
        <v>2024</v>
      </c>
      <c r="E4" s="9" t="n">
        <f aca="false">WEEKDAY(A4,2)</f>
        <v>7</v>
      </c>
      <c r="F4" s="10" t="n">
        <f aca="false">WEEKNUM(A4,2) - WEEKNUM(DATE(YEAR(A4),MONTH(A4),1),2) + 1</f>
        <v>3</v>
      </c>
      <c r="G4" s="10"/>
      <c r="H4" s="11" t="n">
        <v>1856.11</v>
      </c>
      <c r="I4" s="12" t="s">
        <v>15</v>
      </c>
      <c r="J4" s="12"/>
      <c r="K4" s="12"/>
      <c r="L4" s="9"/>
      <c r="M4" s="12" t="s">
        <v>16</v>
      </c>
      <c r="N4" s="12" t="s">
        <v>16</v>
      </c>
      <c r="O4" s="2" t="s">
        <v>16</v>
      </c>
    </row>
    <row r="5" customFormat="false" ht="13.8" hidden="false" customHeight="false" outlineLevel="0" collapsed="false">
      <c r="A5" s="8" t="n">
        <v>45524</v>
      </c>
      <c r="B5" s="9" t="n">
        <f aca="false">DAY(A5)</f>
        <v>20</v>
      </c>
      <c r="C5" s="9" t="n">
        <f aca="false">MONTH(A5)</f>
        <v>8</v>
      </c>
      <c r="D5" s="9" t="n">
        <f aca="false">YEAR(A5)</f>
        <v>2024</v>
      </c>
      <c r="E5" s="9" t="n">
        <f aca="false">WEEKDAY(A5,2)</f>
        <v>2</v>
      </c>
      <c r="F5" s="10" t="n">
        <f aca="false">WEEKNUM(A5,2) - WEEKNUM(DATE(YEAR(A5),MONTH(A5),1),2) + 1</f>
        <v>4</v>
      </c>
      <c r="G5" s="10"/>
      <c r="H5" s="11" t="n">
        <v>1043.51</v>
      </c>
      <c r="I5" s="12" t="s">
        <v>15</v>
      </c>
      <c r="J5" s="12"/>
      <c r="K5" s="12"/>
      <c r="L5" s="9"/>
      <c r="M5" s="12" t="s">
        <v>16</v>
      </c>
      <c r="N5" s="12" t="s">
        <v>16</v>
      </c>
      <c r="O5" s="2" t="s">
        <v>16</v>
      </c>
    </row>
    <row r="6" customFormat="false" ht="13.8" hidden="false" customHeight="false" outlineLevel="0" collapsed="false">
      <c r="A6" s="8" t="n">
        <v>45529</v>
      </c>
      <c r="B6" s="9" t="n">
        <f aca="false">DAY(A6)</f>
        <v>25</v>
      </c>
      <c r="C6" s="9" t="n">
        <f aca="false">MONTH(A6)</f>
        <v>8</v>
      </c>
      <c r="D6" s="9" t="n">
        <f aca="false">YEAR(A6)</f>
        <v>2024</v>
      </c>
      <c r="E6" s="9" t="n">
        <f aca="false">WEEKDAY(A6,2)</f>
        <v>7</v>
      </c>
      <c r="F6" s="10" t="n">
        <f aca="false">WEEKNUM(A6,2) - WEEKNUM(DATE(YEAR(A6),MONTH(A6),1),2) + 1</f>
        <v>4</v>
      </c>
      <c r="G6" s="10"/>
      <c r="H6" s="11" t="n">
        <v>575.67</v>
      </c>
      <c r="I6" s="12" t="s">
        <v>15</v>
      </c>
      <c r="J6" s="12"/>
      <c r="K6" s="12"/>
      <c r="L6" s="9"/>
      <c r="M6" s="12" t="s">
        <v>16</v>
      </c>
      <c r="N6" s="12" t="s">
        <v>16</v>
      </c>
      <c r="O6" s="2" t="s">
        <v>16</v>
      </c>
    </row>
    <row r="7" customFormat="false" ht="13.8" hidden="false" customHeight="false" outlineLevel="0" collapsed="false">
      <c r="A7" s="8" t="n">
        <v>44968</v>
      </c>
      <c r="B7" s="9" t="n">
        <f aca="false">DAY(A7)</f>
        <v>11</v>
      </c>
      <c r="C7" s="9" t="n">
        <f aca="false">MONTH(A7)</f>
        <v>2</v>
      </c>
      <c r="D7" s="9" t="n">
        <f aca="false">YEAR(A7)</f>
        <v>2023</v>
      </c>
      <c r="E7" s="9" t="n">
        <f aca="false">WEEKDAY(A7,2)</f>
        <v>6</v>
      </c>
      <c r="F7" s="10" t="n">
        <f aca="false">WEEKNUM(A7,2) - WEEKNUM(DATE(YEAR(A7),MONTH(A7),1),2) + 1</f>
        <v>2</v>
      </c>
      <c r="G7" s="10"/>
      <c r="H7" s="11" t="n">
        <v>1815</v>
      </c>
      <c r="I7" s="12" t="s">
        <v>15</v>
      </c>
      <c r="J7" s="12" t="s">
        <v>17</v>
      </c>
      <c r="K7" s="12"/>
      <c r="L7" s="9"/>
      <c r="M7" s="10" t="str">
        <f aca="false">VLOOKUP(J7,RECATALOGANDO!A:C,2,0)</f>
        <v>DONATIVO</v>
      </c>
      <c r="N7" s="12" t="str">
        <f aca="false">VLOOKUP(M7,RECATALOGANDO!B:C,2,0)</f>
        <v>DONATIVO</v>
      </c>
      <c r="O7" s="2" t="s">
        <v>18</v>
      </c>
    </row>
    <row r="8" customFormat="false" ht="13.8" hidden="false" customHeight="false" outlineLevel="0" collapsed="false">
      <c r="A8" s="8" t="n">
        <v>44968</v>
      </c>
      <c r="B8" s="9" t="n">
        <f aca="false">DAY(A8)</f>
        <v>11</v>
      </c>
      <c r="C8" s="9" t="n">
        <f aca="false">MONTH(A8)</f>
        <v>2</v>
      </c>
      <c r="D8" s="9" t="n">
        <f aca="false">YEAR(A8)</f>
        <v>2023</v>
      </c>
      <c r="E8" s="9" t="n">
        <f aca="false">WEEKDAY(A8,2)</f>
        <v>6</v>
      </c>
      <c r="F8" s="10" t="n">
        <f aca="false">WEEKNUM(A8,2) - WEEKNUM(DATE(YEAR(A8),MONTH(A8),1),2) + 1</f>
        <v>2</v>
      </c>
      <c r="G8" s="10"/>
      <c r="H8" s="11" t="n">
        <v>1815</v>
      </c>
      <c r="I8" s="12" t="s">
        <v>15</v>
      </c>
      <c r="J8" s="12" t="s">
        <v>17</v>
      </c>
      <c r="K8" s="12"/>
      <c r="L8" s="9"/>
      <c r="M8" s="10" t="str">
        <f aca="false">VLOOKUP(J8,RECATALOGANDO!A:C,2,0)</f>
        <v>DONATIVO</v>
      </c>
      <c r="N8" s="12" t="str">
        <f aca="false">VLOOKUP(M8,RECATALOGANDO!B:C,2,0)</f>
        <v>DONATIVO</v>
      </c>
      <c r="O8" s="2" t="s">
        <v>18</v>
      </c>
    </row>
    <row r="9" customFormat="false" ht="13.8" hidden="false" customHeight="false" outlineLevel="0" collapsed="false">
      <c r="A9" s="13" t="n">
        <v>45118</v>
      </c>
      <c r="B9" s="9" t="n">
        <f aca="false">DAY(A9)</f>
        <v>11</v>
      </c>
      <c r="C9" s="9" t="n">
        <f aca="false">MONTH(A9)</f>
        <v>7</v>
      </c>
      <c r="D9" s="9" t="n">
        <f aca="false">YEAR(A9)</f>
        <v>2023</v>
      </c>
      <c r="E9" s="9" t="n">
        <f aca="false">WEEKDAY(A9,2)</f>
        <v>2</v>
      </c>
      <c r="F9" s="10" t="n">
        <f aca="false">WEEKNUM(A9,2) - WEEKNUM(DATE(YEAR(A9),MONTH(A9),1),2) + 1</f>
        <v>3</v>
      </c>
      <c r="G9" s="10"/>
      <c r="H9" s="14" t="n">
        <v>55900</v>
      </c>
      <c r="I9" s="15" t="s">
        <v>15</v>
      </c>
      <c r="J9" s="15" t="s">
        <v>19</v>
      </c>
      <c r="K9" s="12"/>
      <c r="L9" s="9"/>
      <c r="M9" s="10" t="str">
        <f aca="false">VLOOKUP(J9,RECATALOGANDO!A:C,2,0)</f>
        <v>PRESTAMO BANCARIO</v>
      </c>
      <c r="N9" s="12" t="str">
        <f aca="false">VLOOKUP(M9,RECATALOGANDO!B:C,2,0)</f>
        <v>PRESTAMO</v>
      </c>
      <c r="O9" s="2" t="s">
        <v>18</v>
      </c>
    </row>
    <row r="10" customFormat="false" ht="13.8" hidden="false" customHeight="false" outlineLevel="0" collapsed="false">
      <c r="A10" s="16" t="n">
        <v>45173</v>
      </c>
      <c r="B10" s="9" t="n">
        <f aca="false">DAY(A10)</f>
        <v>4</v>
      </c>
      <c r="C10" s="9" t="n">
        <f aca="false">MONTH(A10)</f>
        <v>9</v>
      </c>
      <c r="D10" s="9" t="n">
        <f aca="false">YEAR(A10)</f>
        <v>2023</v>
      </c>
      <c r="E10" s="9" t="n">
        <f aca="false">WEEKDAY(A10,2)</f>
        <v>1</v>
      </c>
      <c r="F10" s="10" t="n">
        <f aca="false">WEEKNUM(A10,2) - WEEKNUM(DATE(YEAR(A10),MONTH(A10),1),2) + 1</f>
        <v>2</v>
      </c>
      <c r="G10" s="10"/>
      <c r="H10" s="17" t="n">
        <v>26571</v>
      </c>
      <c r="I10" s="18" t="s">
        <v>20</v>
      </c>
      <c r="J10" s="18" t="s">
        <v>21</v>
      </c>
      <c r="K10" s="12"/>
      <c r="L10" s="9"/>
      <c r="M10" s="10" t="str">
        <f aca="false">VLOOKUP(J10,RECATALOGANDO!A:C,2,0)</f>
        <v>REEMBOLSO</v>
      </c>
      <c r="N10" s="12" t="str">
        <f aca="false">VLOOKUP(M10,RECATALOGANDO!B:C,2,0)</f>
        <v>DINERO DEVUELTO A ORIGEN</v>
      </c>
      <c r="O10" s="2" t="s">
        <v>18</v>
      </c>
    </row>
    <row r="11" customFormat="false" ht="13.8" hidden="false" customHeight="false" outlineLevel="0" collapsed="false">
      <c r="A11" s="19" t="n">
        <v>45181</v>
      </c>
      <c r="B11" s="9" t="n">
        <f aca="false">DAY(A11)</f>
        <v>12</v>
      </c>
      <c r="C11" s="9" t="n">
        <f aca="false">MONTH(A11)</f>
        <v>9</v>
      </c>
      <c r="D11" s="9" t="n">
        <f aca="false">YEAR(A11)</f>
        <v>2023</v>
      </c>
      <c r="E11" s="9" t="n">
        <f aca="false">WEEKDAY(A11,2)</f>
        <v>2</v>
      </c>
      <c r="F11" s="10" t="n">
        <f aca="false">WEEKNUM(A11,2) - WEEKNUM(DATE(YEAR(A11),MONTH(A11),1),2) + 1</f>
        <v>3</v>
      </c>
      <c r="G11" s="10"/>
      <c r="H11" s="20" t="n">
        <v>80000</v>
      </c>
      <c r="I11" s="21" t="s">
        <v>15</v>
      </c>
      <c r="J11" s="21" t="s">
        <v>22</v>
      </c>
      <c r="K11" s="12"/>
      <c r="L11" s="9"/>
      <c r="M11" s="10" t="str">
        <f aca="false">VLOOKUP(J11,RECATALOGANDO!A:C,2,0)</f>
        <v>DEPÓSITO PRESTAMO</v>
      </c>
      <c r="N11" s="12" t="str">
        <f aca="false">VLOOKUP(M11,RECATALOGANDO!B:C,2,0)</f>
        <v>PRESTAMO</v>
      </c>
      <c r="O11" s="2" t="s">
        <v>18</v>
      </c>
    </row>
    <row r="12" customFormat="false" ht="13.8" hidden="false" customHeight="false" outlineLevel="0" collapsed="false">
      <c r="A12" s="8" t="n">
        <v>45215</v>
      </c>
      <c r="B12" s="9" t="n">
        <f aca="false">DAY(A12)</f>
        <v>16</v>
      </c>
      <c r="C12" s="9" t="n">
        <f aca="false">MONTH(A12)</f>
        <v>10</v>
      </c>
      <c r="D12" s="9" t="n">
        <f aca="false">YEAR(A12)</f>
        <v>2023</v>
      </c>
      <c r="E12" s="9" t="n">
        <f aca="false">WEEKDAY(A12,2)</f>
        <v>1</v>
      </c>
      <c r="F12" s="10" t="n">
        <f aca="false">WEEKNUM(A12,2) - WEEKNUM(DATE(YEAR(A12),MONTH(A12),1),2) + 1</f>
        <v>4</v>
      </c>
      <c r="G12" s="10"/>
      <c r="H12" s="11" t="n">
        <v>200</v>
      </c>
      <c r="I12" s="12" t="s">
        <v>20</v>
      </c>
      <c r="J12" s="22" t="s">
        <v>23</v>
      </c>
      <c r="K12" s="12"/>
      <c r="L12" s="9"/>
      <c r="M12" s="10" t="str">
        <f aca="false">VLOOKUP(J12,RECATALOGANDO!A:C,2,0)</f>
        <v>REEMBOLSO</v>
      </c>
      <c r="N12" s="12" t="str">
        <f aca="false">VLOOKUP(M12,RECATALOGANDO!B:C,2,0)</f>
        <v>DINERO DEVUELTO A ORIGEN</v>
      </c>
      <c r="O12" s="2" t="s">
        <v>18</v>
      </c>
    </row>
    <row r="13" customFormat="false" ht="13.8" hidden="false" customHeight="false" outlineLevel="0" collapsed="false">
      <c r="A13" s="23" t="n">
        <v>45282</v>
      </c>
      <c r="B13" s="9" t="n">
        <f aca="false">DAY(A13)</f>
        <v>22</v>
      </c>
      <c r="C13" s="9" t="n">
        <f aca="false">MONTH(A13)</f>
        <v>12</v>
      </c>
      <c r="D13" s="9" t="n">
        <f aca="false">YEAR(A13)</f>
        <v>2023</v>
      </c>
      <c r="E13" s="9" t="n">
        <f aca="false">WEEKDAY(A13,2)</f>
        <v>5</v>
      </c>
      <c r="F13" s="10" t="n">
        <f aca="false">WEEKNUM(A13,2) - WEEKNUM(DATE(YEAR(A13),MONTH(A13),1),2) + 1</f>
        <v>4</v>
      </c>
      <c r="G13" s="10"/>
      <c r="H13" s="24" t="n">
        <v>2895</v>
      </c>
      <c r="I13" s="25" t="s">
        <v>15</v>
      </c>
      <c r="J13" s="25" t="s">
        <v>24</v>
      </c>
      <c r="K13" s="12"/>
      <c r="L13" s="9"/>
      <c r="M13" s="10" t="str">
        <f aca="false">VLOOKUP(J13,RECATALOGANDO!A:C,2,0)</f>
        <v>REEMBOLSO</v>
      </c>
      <c r="N13" s="12" t="str">
        <f aca="false">VLOOKUP(M13,RECATALOGANDO!B:C,2,0)</f>
        <v>DINERO DEVUELTO A ORIGEN</v>
      </c>
      <c r="O13" s="2" t="s">
        <v>18</v>
      </c>
    </row>
    <row r="14" customFormat="false" ht="13.8" hidden="false" customHeight="false" outlineLevel="0" collapsed="false">
      <c r="A14" s="23" t="n">
        <v>45365</v>
      </c>
      <c r="B14" s="9" t="n">
        <f aca="false">DAY(A14)</f>
        <v>14</v>
      </c>
      <c r="C14" s="9" t="n">
        <f aca="false">MONTH(A14)</f>
        <v>3</v>
      </c>
      <c r="D14" s="9" t="n">
        <f aca="false">YEAR(A14)</f>
        <v>2024</v>
      </c>
      <c r="E14" s="9" t="n">
        <f aca="false">WEEKDAY(A14,2)</f>
        <v>4</v>
      </c>
      <c r="F14" s="10" t="n">
        <f aca="false">WEEKNUM(A14,2) - WEEKNUM(DATE(YEAR(A14),MONTH(A14),1),2) + 1</f>
        <v>3</v>
      </c>
      <c r="G14" s="10"/>
      <c r="H14" s="24" t="n">
        <v>3500</v>
      </c>
      <c r="I14" s="25" t="s">
        <v>15</v>
      </c>
      <c r="J14" s="25" t="s">
        <v>23</v>
      </c>
      <c r="K14" s="12"/>
      <c r="L14" s="9"/>
      <c r="M14" s="10" t="str">
        <f aca="false">VLOOKUP(J14,RECATALOGANDO!A:C,2,0)</f>
        <v>REEMBOLSO</v>
      </c>
      <c r="N14" s="12" t="str">
        <f aca="false">VLOOKUP(M14,RECATALOGANDO!B:C,2,0)</f>
        <v>DINERO DEVUELTO A ORIGEN</v>
      </c>
      <c r="O14" s="2" t="s">
        <v>18</v>
      </c>
    </row>
    <row r="15" customFormat="false" ht="13.8" hidden="false" customHeight="false" outlineLevel="0" collapsed="false">
      <c r="A15" s="8" t="n">
        <v>45366</v>
      </c>
      <c r="B15" s="9" t="n">
        <f aca="false">DAY(A15)</f>
        <v>15</v>
      </c>
      <c r="C15" s="9" t="n">
        <f aca="false">MONTH(A15)</f>
        <v>3</v>
      </c>
      <c r="D15" s="9" t="n">
        <f aca="false">YEAR(A15)</f>
        <v>2024</v>
      </c>
      <c r="E15" s="9" t="n">
        <f aca="false">WEEKDAY(A15,2)</f>
        <v>5</v>
      </c>
      <c r="F15" s="10" t="n">
        <f aca="false">WEEKNUM(A15,2) - WEEKNUM(DATE(YEAR(A15),MONTH(A15),1),2) + 1</f>
        <v>3</v>
      </c>
      <c r="G15" s="10" t="n">
        <v>1</v>
      </c>
      <c r="H15" s="11" t="n">
        <v>140</v>
      </c>
      <c r="I15" s="12" t="s">
        <v>20</v>
      </c>
      <c r="J15" s="12" t="s">
        <v>23</v>
      </c>
      <c r="K15" s="12"/>
      <c r="L15" s="9"/>
      <c r="M15" s="10" t="str">
        <f aca="false">VLOOKUP(J15,RECATALOGANDO!A:C,2,0)</f>
        <v>REEMBOLSO</v>
      </c>
      <c r="N15" s="12" t="str">
        <f aca="false">VLOOKUP(M15,RECATALOGANDO!B:C,2,0)</f>
        <v>DINERO DEVUELTO A ORIGEN</v>
      </c>
      <c r="O15" s="2" t="s">
        <v>18</v>
      </c>
    </row>
    <row r="16" customFormat="false" ht="13.8" hidden="false" customHeight="false" outlineLevel="0" collapsed="false">
      <c r="A16" s="26" t="n">
        <v>45527</v>
      </c>
      <c r="B16" s="9" t="n">
        <f aca="false">DAY(A16)</f>
        <v>23</v>
      </c>
      <c r="C16" s="9" t="n">
        <f aca="false">MONTH(A16)</f>
        <v>8</v>
      </c>
      <c r="D16" s="9" t="n">
        <f aca="false">YEAR(A16)</f>
        <v>2024</v>
      </c>
      <c r="E16" s="9" t="n">
        <f aca="false">WEEKDAY(A16,2)</f>
        <v>5</v>
      </c>
      <c r="F16" s="10" t="n">
        <f aca="false">WEEKNUM(A16,2) - WEEKNUM(DATE(YEAR(A16),MONTH(A16),1),2) + 1</f>
        <v>4</v>
      </c>
      <c r="G16" s="10"/>
      <c r="H16" s="27" t="n">
        <v>5000</v>
      </c>
      <c r="I16" s="28" t="s">
        <v>20</v>
      </c>
      <c r="J16" s="28" t="s">
        <v>25</v>
      </c>
      <c r="K16" s="12"/>
      <c r="L16" s="9"/>
      <c r="M16" s="10" t="str">
        <f aca="false">VLOOKUP(J16,RECATALOGANDO!A:C,2,0)</f>
        <v>PENSION ALIMENTICIA</v>
      </c>
      <c r="N16" s="12" t="str">
        <f aca="false">VLOOKUP(M16,RECATALOGANDO!B:C,2,0)</f>
        <v>PENSION</v>
      </c>
      <c r="O16" s="2" t="s">
        <v>18</v>
      </c>
    </row>
    <row r="17" customFormat="false" ht="13.8" hidden="false" customHeight="false" outlineLevel="0" collapsed="false">
      <c r="A17" s="13" t="n">
        <v>45587</v>
      </c>
      <c r="B17" s="9" t="n">
        <f aca="false">DAY(A17)</f>
        <v>22</v>
      </c>
      <c r="C17" s="9" t="n">
        <f aca="false">MONTH(A17)</f>
        <v>10</v>
      </c>
      <c r="D17" s="9" t="n">
        <f aca="false">YEAR(A17)</f>
        <v>2024</v>
      </c>
      <c r="E17" s="9" t="n">
        <f aca="false">WEEKDAY(A17,2)</f>
        <v>2</v>
      </c>
      <c r="F17" s="10" t="n">
        <f aca="false">WEEKNUM(A17,2) - WEEKNUM(DATE(YEAR(A17),MONTH(A17),1),2) + 1</f>
        <v>4</v>
      </c>
      <c r="G17" s="10"/>
      <c r="H17" s="14" t="n">
        <v>7800</v>
      </c>
      <c r="I17" s="15" t="s">
        <v>20</v>
      </c>
      <c r="J17" s="15" t="s">
        <v>26</v>
      </c>
      <c r="K17" s="12"/>
      <c r="L17" s="9"/>
      <c r="M17" s="10" t="str">
        <f aca="false">VLOOKUP(J17,RECATALOGANDO!A:C,2,0)</f>
        <v>REEMBOLSO</v>
      </c>
      <c r="N17" s="12" t="str">
        <f aca="false">VLOOKUP(M17,RECATALOGANDO!B:C,2,0)</f>
        <v>DINERO DEVUELTO A ORIGEN</v>
      </c>
      <c r="O17" s="2" t="s">
        <v>18</v>
      </c>
    </row>
    <row r="18" customFormat="false" ht="13.8" hidden="false" customHeight="false" outlineLevel="0" collapsed="false">
      <c r="A18" s="8" t="n">
        <v>45589</v>
      </c>
      <c r="B18" s="9" t="n">
        <f aca="false">DAY(A18)</f>
        <v>24</v>
      </c>
      <c r="C18" s="9" t="n">
        <f aca="false">MONTH(A18)</f>
        <v>10</v>
      </c>
      <c r="D18" s="9" t="n">
        <f aca="false">YEAR(A18)</f>
        <v>2024</v>
      </c>
      <c r="E18" s="9" t="n">
        <f aca="false">WEEKDAY(A18,2)</f>
        <v>4</v>
      </c>
      <c r="F18" s="10" t="n">
        <f aca="false">WEEKNUM(A18,2) - WEEKNUM(DATE(YEAR(A18),MONTH(A18),1),2) + 1</f>
        <v>4</v>
      </c>
      <c r="G18" s="10"/>
      <c r="H18" s="11" t="n">
        <v>1340</v>
      </c>
      <c r="I18" s="12" t="s">
        <v>20</v>
      </c>
      <c r="J18" s="12" t="s">
        <v>27</v>
      </c>
      <c r="K18" s="12"/>
      <c r="L18" s="9"/>
      <c r="M18" s="10" t="str">
        <f aca="false">VLOOKUP(J18,RECATALOGANDO!A:C,2,0)</f>
        <v>REEMBOLSO</v>
      </c>
      <c r="N18" s="12" t="str">
        <f aca="false">VLOOKUP(M18,RECATALOGANDO!B:C,2,0)</f>
        <v>DINERO DEVUELTO A ORIGEN</v>
      </c>
      <c r="O18" s="2" t="s">
        <v>18</v>
      </c>
    </row>
    <row r="19" customFormat="false" ht="13.8" hidden="false" customHeight="false" outlineLevel="0" collapsed="false">
      <c r="A19" s="23" t="n">
        <v>45602</v>
      </c>
      <c r="B19" s="9" t="n">
        <f aca="false">DAY(A19)</f>
        <v>6</v>
      </c>
      <c r="C19" s="9" t="n">
        <f aca="false">MONTH(A19)</f>
        <v>11</v>
      </c>
      <c r="D19" s="9" t="n">
        <f aca="false">YEAR(A19)</f>
        <v>2024</v>
      </c>
      <c r="E19" s="9" t="n">
        <f aca="false">WEEKDAY(A19,2)</f>
        <v>3</v>
      </c>
      <c r="F19" s="10" t="n">
        <f aca="false">WEEKNUM(A19,2) - WEEKNUM(DATE(YEAR(A19),MONTH(A19),1),2) + 1</f>
        <v>2</v>
      </c>
      <c r="G19" s="10"/>
      <c r="H19" s="24" t="n">
        <v>226309.64</v>
      </c>
      <c r="I19" s="25" t="s">
        <v>15</v>
      </c>
      <c r="J19" s="25" t="s">
        <v>28</v>
      </c>
      <c r="K19" s="12"/>
      <c r="L19" s="9"/>
      <c r="M19" s="10" t="str">
        <f aca="false">VLOOKUP(J19,RECATALOGANDO!A:C,2,0)</f>
        <v>PENSION ALIMENTICIA</v>
      </c>
      <c r="N19" s="12" t="str">
        <f aca="false">VLOOKUP(M19,RECATALOGANDO!B:C,2,0)</f>
        <v>PENSION</v>
      </c>
      <c r="O19" s="2" t="s">
        <v>18</v>
      </c>
    </row>
    <row r="20" customFormat="false" ht="13.8" hidden="false" customHeight="false" outlineLevel="0" collapsed="false">
      <c r="A20" s="29" t="n">
        <v>45693</v>
      </c>
      <c r="B20" s="9" t="n">
        <f aca="false">DAY(A20)</f>
        <v>5</v>
      </c>
      <c r="C20" s="9" t="n">
        <f aca="false">MONTH(A20)</f>
        <v>2</v>
      </c>
      <c r="D20" s="9" t="n">
        <f aca="false">YEAR(A20)</f>
        <v>2025</v>
      </c>
      <c r="E20" s="9" t="n">
        <f aca="false">WEEKDAY(A20,2)</f>
        <v>3</v>
      </c>
      <c r="F20" s="10" t="n">
        <f aca="false">WEEKNUM(A20,2) - WEEKNUM(DATE(YEAR(A20),MONTH(A20),1),2) + 1</f>
        <v>2</v>
      </c>
      <c r="G20" s="10"/>
      <c r="H20" s="30" t="n">
        <v>676.46</v>
      </c>
      <c r="I20" s="31" t="s">
        <v>20</v>
      </c>
      <c r="J20" s="31" t="s">
        <v>29</v>
      </c>
      <c r="K20" s="12"/>
      <c r="L20" s="9"/>
      <c r="M20" s="10" t="str">
        <f aca="false">VLOOKUP(J20,RECATALOGANDO!A:C,2,0)</f>
        <v>REEMBOLSO</v>
      </c>
      <c r="N20" s="12" t="str">
        <f aca="false">VLOOKUP(M20,RECATALOGANDO!B:C,2,0)</f>
        <v>DINERO DEVUELTO A ORIGEN</v>
      </c>
      <c r="O20" s="2" t="s">
        <v>18</v>
      </c>
    </row>
    <row r="21" customFormat="false" ht="13.8" hidden="false" customHeight="false" outlineLevel="0" collapsed="false">
      <c r="A21" s="29" t="n">
        <v>45695</v>
      </c>
      <c r="B21" s="9" t="n">
        <f aca="false">DAY(A21)</f>
        <v>7</v>
      </c>
      <c r="C21" s="9" t="n">
        <f aca="false">MONTH(A21)</f>
        <v>2</v>
      </c>
      <c r="D21" s="9" t="n">
        <f aca="false">YEAR(A21)</f>
        <v>2025</v>
      </c>
      <c r="E21" s="9" t="n">
        <f aca="false">WEEKDAY(A21,2)</f>
        <v>5</v>
      </c>
      <c r="F21" s="10" t="n">
        <f aca="false">WEEKNUM(A21,2) - WEEKNUM(DATE(YEAR(A21),MONTH(A21),1),2) + 1</f>
        <v>2</v>
      </c>
      <c r="G21" s="10"/>
      <c r="H21" s="30" t="n">
        <v>676.46</v>
      </c>
      <c r="I21" s="31" t="s">
        <v>20</v>
      </c>
      <c r="J21" s="31" t="s">
        <v>29</v>
      </c>
      <c r="K21" s="12"/>
      <c r="L21" s="9"/>
      <c r="M21" s="10" t="str">
        <f aca="false">VLOOKUP(J21,RECATALOGANDO!A:C,2,0)</f>
        <v>REEMBOLSO</v>
      </c>
      <c r="N21" s="12" t="str">
        <f aca="false">VLOOKUP(M21,RECATALOGANDO!B:C,2,0)</f>
        <v>DINERO DEVUELTO A ORIGEN</v>
      </c>
      <c r="O21" s="2" t="s">
        <v>18</v>
      </c>
    </row>
    <row r="22" customFormat="false" ht="13.8" hidden="false" customHeight="false" outlineLevel="0" collapsed="false">
      <c r="A22" s="29" t="n">
        <v>45698</v>
      </c>
      <c r="B22" s="9" t="n">
        <f aca="false">DAY(A22)</f>
        <v>10</v>
      </c>
      <c r="C22" s="9" t="n">
        <f aca="false">MONTH(A22)</f>
        <v>2</v>
      </c>
      <c r="D22" s="9" t="n">
        <f aca="false">YEAR(A22)</f>
        <v>2025</v>
      </c>
      <c r="E22" s="9" t="n">
        <f aca="false">WEEKDAY(A22,2)</f>
        <v>1</v>
      </c>
      <c r="F22" s="10" t="n">
        <f aca="false">WEEKNUM(A22,2) - WEEKNUM(DATE(YEAR(A22),MONTH(A22),1),2) + 1</f>
        <v>3</v>
      </c>
      <c r="G22" s="10"/>
      <c r="H22" s="30" t="n">
        <v>676.46</v>
      </c>
      <c r="I22" s="31" t="s">
        <v>20</v>
      </c>
      <c r="J22" s="31" t="s">
        <v>29</v>
      </c>
      <c r="K22" s="12"/>
      <c r="L22" s="9"/>
      <c r="M22" s="10" t="str">
        <f aca="false">VLOOKUP(J22,RECATALOGANDO!A:C,2,0)</f>
        <v>REEMBOLSO</v>
      </c>
      <c r="N22" s="12" t="str">
        <f aca="false">VLOOKUP(M22,RECATALOGANDO!B:C,2,0)</f>
        <v>DINERO DEVUELTO A ORIGEN</v>
      </c>
      <c r="O22" s="2" t="s">
        <v>18</v>
      </c>
    </row>
    <row r="23" customFormat="false" ht="13.8" hidden="false" customHeight="false" outlineLevel="0" collapsed="false">
      <c r="A23" s="8" t="n">
        <v>44930</v>
      </c>
      <c r="B23" s="9" t="n">
        <f aca="false">DAY(A23)</f>
        <v>4</v>
      </c>
      <c r="C23" s="9" t="n">
        <f aca="false">MONTH(A23)</f>
        <v>1</v>
      </c>
      <c r="D23" s="9" t="n">
        <f aca="false">YEAR(A23)</f>
        <v>2023</v>
      </c>
      <c r="E23" s="9" t="n">
        <f aca="false">WEEKDAY(A23,2)</f>
        <v>3</v>
      </c>
      <c r="F23" s="10" t="n">
        <f aca="false">WEEKNUM(A23,2) - WEEKNUM(DATE(YEAR(A23),MONTH(A23),1),2) + 1</f>
        <v>2</v>
      </c>
      <c r="G23" s="10"/>
      <c r="H23" s="11" t="n">
        <v>1000</v>
      </c>
      <c r="I23" s="12" t="s">
        <v>20</v>
      </c>
      <c r="J23" s="12" t="s">
        <v>30</v>
      </c>
      <c r="K23" s="12"/>
      <c r="L23" s="9"/>
      <c r="M23" s="10" t="str">
        <f aca="false">VLOOKUP(J23,RECATALOGANDO!A:C,2,0)</f>
        <v>TRANSFERENCIA ENTRE CUENTAS</v>
      </c>
      <c r="N23" s="12" t="str">
        <f aca="false">VLOOKUP(M23,RECATALOGANDO!B:C,2,0)</f>
        <v>TRANSFERENCIAS</v>
      </c>
      <c r="O23" s="2" t="s">
        <v>31</v>
      </c>
    </row>
    <row r="24" customFormat="false" ht="13.8" hidden="false" customHeight="false" outlineLevel="0" collapsed="false">
      <c r="A24" s="8" t="n">
        <v>44941</v>
      </c>
      <c r="B24" s="9" t="n">
        <f aca="false">DAY(A24)</f>
        <v>15</v>
      </c>
      <c r="C24" s="9" t="n">
        <f aca="false">MONTH(A24)</f>
        <v>1</v>
      </c>
      <c r="D24" s="9" t="n">
        <f aca="false">YEAR(A24)</f>
        <v>2023</v>
      </c>
      <c r="E24" s="9" t="n">
        <f aca="false">WEEKDAY(A24,2)</f>
        <v>7</v>
      </c>
      <c r="F24" s="10" t="n">
        <f aca="false">WEEKNUM(A24,2) - WEEKNUM(DATE(YEAR(A24),MONTH(A24),1),2) + 1</f>
        <v>3</v>
      </c>
      <c r="G24" s="10"/>
      <c r="H24" s="11" t="n">
        <v>200</v>
      </c>
      <c r="I24" s="12" t="s">
        <v>15</v>
      </c>
      <c r="J24" s="12" t="s">
        <v>30</v>
      </c>
      <c r="K24" s="12"/>
      <c r="L24" s="9"/>
      <c r="M24" s="10" t="str">
        <f aca="false">VLOOKUP(J24,RECATALOGANDO!A:C,2,0)</f>
        <v>TRANSFERENCIA ENTRE CUENTAS</v>
      </c>
      <c r="N24" s="12" t="str">
        <f aca="false">VLOOKUP(M24,RECATALOGANDO!B:C,2,0)</f>
        <v>TRANSFERENCIAS</v>
      </c>
      <c r="O24" s="2" t="s">
        <v>31</v>
      </c>
    </row>
    <row r="25" customFormat="false" ht="13.8" hidden="false" customHeight="false" outlineLevel="0" collapsed="false">
      <c r="A25" s="8" t="n">
        <v>44956</v>
      </c>
      <c r="B25" s="9" t="n">
        <f aca="false">DAY(A25)</f>
        <v>30</v>
      </c>
      <c r="C25" s="9" t="n">
        <f aca="false">MONTH(A25)</f>
        <v>1</v>
      </c>
      <c r="D25" s="9" t="n">
        <f aca="false">YEAR(A25)</f>
        <v>2023</v>
      </c>
      <c r="E25" s="9" t="n">
        <f aca="false">WEEKDAY(A25,2)</f>
        <v>1</v>
      </c>
      <c r="F25" s="10" t="n">
        <f aca="false">WEEKNUM(A25,2) - WEEKNUM(DATE(YEAR(A25),MONTH(A25),1),2) + 1</f>
        <v>6</v>
      </c>
      <c r="G25" s="10" t="n">
        <v>2</v>
      </c>
      <c r="H25" s="11" t="n">
        <v>700</v>
      </c>
      <c r="I25" s="12" t="s">
        <v>15</v>
      </c>
      <c r="J25" s="12" t="s">
        <v>32</v>
      </c>
      <c r="K25" s="12"/>
      <c r="L25" s="9"/>
      <c r="M25" s="10" t="str">
        <f aca="false">VLOOKUP(J25,RECATALOGANDO!A:C,2,0)</f>
        <v>TRANSFERENCIA ENTRE CUENTAS</v>
      </c>
      <c r="N25" s="12" t="str">
        <f aca="false">VLOOKUP(M25,RECATALOGANDO!B:C,2,0)</f>
        <v>TRANSFERENCIAS</v>
      </c>
      <c r="O25" s="2" t="s">
        <v>31</v>
      </c>
    </row>
    <row r="26" customFormat="false" ht="13.8" hidden="false" customHeight="false" outlineLevel="0" collapsed="false">
      <c r="A26" s="8" t="n">
        <v>44956</v>
      </c>
      <c r="B26" s="9" t="n">
        <f aca="false">DAY(A26)</f>
        <v>30</v>
      </c>
      <c r="C26" s="9" t="n">
        <f aca="false">MONTH(A26)</f>
        <v>1</v>
      </c>
      <c r="D26" s="9" t="n">
        <f aca="false">YEAR(A26)</f>
        <v>2023</v>
      </c>
      <c r="E26" s="9" t="n">
        <f aca="false">WEEKDAY(A26,2)</f>
        <v>1</v>
      </c>
      <c r="F26" s="10" t="n">
        <f aca="false">WEEKNUM(A26,2) - WEEKNUM(DATE(YEAR(A26),MONTH(A26),1),2) + 1</f>
        <v>6</v>
      </c>
      <c r="G26" s="10" t="n">
        <v>2</v>
      </c>
      <c r="H26" s="11" t="n">
        <v>700</v>
      </c>
      <c r="I26" s="12" t="s">
        <v>15</v>
      </c>
      <c r="J26" s="12" t="s">
        <v>32</v>
      </c>
      <c r="K26" s="12"/>
      <c r="L26" s="9"/>
      <c r="M26" s="10" t="str">
        <f aca="false">VLOOKUP(J26,RECATALOGANDO!A:C,2,0)</f>
        <v>TRANSFERENCIA ENTRE CUENTAS</v>
      </c>
      <c r="N26" s="12" t="str">
        <f aca="false">VLOOKUP(M26,RECATALOGANDO!B:C,2,0)</f>
        <v>TRANSFERENCIAS</v>
      </c>
      <c r="O26" s="2" t="s">
        <v>31</v>
      </c>
    </row>
    <row r="27" customFormat="false" ht="13.8" hidden="false" customHeight="false" outlineLevel="0" collapsed="false">
      <c r="A27" s="8" t="n">
        <v>44958</v>
      </c>
      <c r="B27" s="9" t="n">
        <f aca="false">DAY(A27)</f>
        <v>1</v>
      </c>
      <c r="C27" s="9" t="n">
        <f aca="false">MONTH(A27)</f>
        <v>2</v>
      </c>
      <c r="D27" s="9" t="n">
        <f aca="false">YEAR(A27)</f>
        <v>2023</v>
      </c>
      <c r="E27" s="9" t="n">
        <f aca="false">WEEKDAY(A27,2)</f>
        <v>3</v>
      </c>
      <c r="F27" s="10" t="n">
        <f aca="false">WEEKNUM(A27,2) - WEEKNUM(DATE(YEAR(A27),MONTH(A27),1),2) + 1</f>
        <v>1</v>
      </c>
      <c r="G27" s="10"/>
      <c r="H27" s="11" t="n">
        <v>1000</v>
      </c>
      <c r="I27" s="12" t="s">
        <v>20</v>
      </c>
      <c r="J27" s="12" t="s">
        <v>32</v>
      </c>
      <c r="K27" s="12"/>
      <c r="L27" s="9"/>
      <c r="M27" s="10" t="str">
        <f aca="false">VLOOKUP(J27,RECATALOGANDO!A:C,2,0)</f>
        <v>TRANSFERENCIA ENTRE CUENTAS</v>
      </c>
      <c r="N27" s="12" t="str">
        <f aca="false">VLOOKUP(M27,RECATALOGANDO!B:C,2,0)</f>
        <v>TRANSFERENCIAS</v>
      </c>
      <c r="O27" s="2" t="s">
        <v>31</v>
      </c>
    </row>
    <row r="28" customFormat="false" ht="13.8" hidden="false" customHeight="false" outlineLevel="0" collapsed="false">
      <c r="A28" s="8" t="n">
        <v>44958</v>
      </c>
      <c r="B28" s="9" t="n">
        <f aca="false">DAY(A28)</f>
        <v>1</v>
      </c>
      <c r="C28" s="9" t="n">
        <f aca="false">MONTH(A28)</f>
        <v>2</v>
      </c>
      <c r="D28" s="9" t="n">
        <f aca="false">YEAR(A28)</f>
        <v>2023</v>
      </c>
      <c r="E28" s="9" t="n">
        <f aca="false">WEEKDAY(A28,2)</f>
        <v>3</v>
      </c>
      <c r="F28" s="10" t="n">
        <f aca="false">WEEKNUM(A28,2) - WEEKNUM(DATE(YEAR(A28),MONTH(A28),1),2) + 1</f>
        <v>1</v>
      </c>
      <c r="G28" s="10"/>
      <c r="H28" s="11" t="n">
        <v>1000</v>
      </c>
      <c r="I28" s="12" t="s">
        <v>20</v>
      </c>
      <c r="J28" s="12" t="s">
        <v>32</v>
      </c>
      <c r="K28" s="12"/>
      <c r="L28" s="9"/>
      <c r="M28" s="10" t="str">
        <f aca="false">VLOOKUP(J28,RECATALOGANDO!A:C,2,0)</f>
        <v>TRANSFERENCIA ENTRE CUENTAS</v>
      </c>
      <c r="N28" s="12" t="str">
        <f aca="false">VLOOKUP(M28,RECATALOGANDO!B:C,2,0)</f>
        <v>TRANSFERENCIAS</v>
      </c>
      <c r="O28" s="2" t="s">
        <v>31</v>
      </c>
    </row>
    <row r="29" customFormat="false" ht="13.8" hidden="false" customHeight="false" outlineLevel="0" collapsed="false">
      <c r="A29" s="8" t="n">
        <v>44965</v>
      </c>
      <c r="B29" s="9" t="n">
        <f aca="false">DAY(A29)</f>
        <v>8</v>
      </c>
      <c r="C29" s="9" t="n">
        <f aca="false">MONTH(A29)</f>
        <v>2</v>
      </c>
      <c r="D29" s="9" t="n">
        <f aca="false">YEAR(A29)</f>
        <v>2023</v>
      </c>
      <c r="E29" s="9" t="n">
        <f aca="false">WEEKDAY(A29,2)</f>
        <v>3</v>
      </c>
      <c r="F29" s="10" t="n">
        <f aca="false">WEEKNUM(A29,2) - WEEKNUM(DATE(YEAR(A29),MONTH(A29),1),2) + 1</f>
        <v>2</v>
      </c>
      <c r="G29" s="10"/>
      <c r="H29" s="11" t="n">
        <v>500</v>
      </c>
      <c r="I29" s="12" t="s">
        <v>20</v>
      </c>
      <c r="J29" s="12" t="s">
        <v>32</v>
      </c>
      <c r="K29" s="12"/>
      <c r="L29" s="9"/>
      <c r="M29" s="10" t="str">
        <f aca="false">VLOOKUP(J29,RECATALOGANDO!A:C,2,0)</f>
        <v>TRANSFERENCIA ENTRE CUENTAS</v>
      </c>
      <c r="N29" s="12" t="str">
        <f aca="false">VLOOKUP(M29,RECATALOGANDO!B:C,2,0)</f>
        <v>TRANSFERENCIAS</v>
      </c>
      <c r="O29" s="2" t="s">
        <v>31</v>
      </c>
    </row>
    <row r="30" customFormat="false" ht="13.8" hidden="false" customHeight="false" outlineLevel="0" collapsed="false">
      <c r="A30" s="8" t="n">
        <v>44965</v>
      </c>
      <c r="B30" s="9" t="n">
        <f aca="false">DAY(A30)</f>
        <v>8</v>
      </c>
      <c r="C30" s="9" t="n">
        <f aca="false">MONTH(A30)</f>
        <v>2</v>
      </c>
      <c r="D30" s="9" t="n">
        <f aca="false">YEAR(A30)</f>
        <v>2023</v>
      </c>
      <c r="E30" s="9" t="n">
        <f aca="false">WEEKDAY(A30,2)</f>
        <v>3</v>
      </c>
      <c r="F30" s="10" t="n">
        <f aca="false">WEEKNUM(A30,2) - WEEKNUM(DATE(YEAR(A30),MONTH(A30),1),2) + 1</f>
        <v>2</v>
      </c>
      <c r="G30" s="10"/>
      <c r="H30" s="11" t="n">
        <v>500</v>
      </c>
      <c r="I30" s="12" t="s">
        <v>20</v>
      </c>
      <c r="J30" s="12" t="s">
        <v>32</v>
      </c>
      <c r="K30" s="12"/>
      <c r="L30" s="9"/>
      <c r="M30" s="10" t="str">
        <f aca="false">VLOOKUP(J30,RECATALOGANDO!A:C,2,0)</f>
        <v>TRANSFERENCIA ENTRE CUENTAS</v>
      </c>
      <c r="N30" s="12" t="str">
        <f aca="false">VLOOKUP(M30,RECATALOGANDO!B:C,2,0)</f>
        <v>TRANSFERENCIAS</v>
      </c>
      <c r="O30" s="2" t="s">
        <v>31</v>
      </c>
    </row>
    <row r="31" customFormat="false" ht="13.8" hidden="false" customHeight="false" outlineLevel="0" collapsed="false">
      <c r="A31" s="8" t="n">
        <v>44970</v>
      </c>
      <c r="B31" s="9" t="n">
        <f aca="false">DAY(A31)</f>
        <v>13</v>
      </c>
      <c r="C31" s="9" t="n">
        <f aca="false">MONTH(A31)</f>
        <v>2</v>
      </c>
      <c r="D31" s="9" t="n">
        <f aca="false">YEAR(A31)</f>
        <v>2023</v>
      </c>
      <c r="E31" s="9" t="n">
        <f aca="false">WEEKDAY(A31,2)</f>
        <v>1</v>
      </c>
      <c r="F31" s="10" t="n">
        <f aca="false">WEEKNUM(A31,2) - WEEKNUM(DATE(YEAR(A31),MONTH(A31),1),2) + 1</f>
        <v>3</v>
      </c>
      <c r="G31" s="10"/>
      <c r="H31" s="11" t="n">
        <v>1700</v>
      </c>
      <c r="I31" s="12" t="s">
        <v>20</v>
      </c>
      <c r="J31" s="12" t="s">
        <v>32</v>
      </c>
      <c r="K31" s="12"/>
      <c r="L31" s="9"/>
      <c r="M31" s="10" t="str">
        <f aca="false">VLOOKUP(J31,RECATALOGANDO!A:C,2,0)</f>
        <v>TRANSFERENCIA ENTRE CUENTAS</v>
      </c>
      <c r="N31" s="12" t="str">
        <f aca="false">VLOOKUP(M31,RECATALOGANDO!B:C,2,0)</f>
        <v>TRANSFERENCIAS</v>
      </c>
      <c r="O31" s="2" t="s">
        <v>31</v>
      </c>
    </row>
    <row r="32" customFormat="false" ht="13.8" hidden="false" customHeight="false" outlineLevel="0" collapsed="false">
      <c r="A32" s="8" t="n">
        <v>44970</v>
      </c>
      <c r="B32" s="9" t="n">
        <f aca="false">DAY(A32)</f>
        <v>13</v>
      </c>
      <c r="C32" s="9" t="n">
        <f aca="false">MONTH(A32)</f>
        <v>2</v>
      </c>
      <c r="D32" s="9" t="n">
        <f aca="false">YEAR(A32)</f>
        <v>2023</v>
      </c>
      <c r="E32" s="9" t="n">
        <f aca="false">WEEKDAY(A32,2)</f>
        <v>1</v>
      </c>
      <c r="F32" s="10" t="n">
        <f aca="false">WEEKNUM(A32,2) - WEEKNUM(DATE(YEAR(A32),MONTH(A32),1),2) + 1</f>
        <v>3</v>
      </c>
      <c r="G32" s="10"/>
      <c r="H32" s="11" t="n">
        <v>1700</v>
      </c>
      <c r="I32" s="12" t="s">
        <v>20</v>
      </c>
      <c r="J32" s="12" t="s">
        <v>32</v>
      </c>
      <c r="K32" s="12"/>
      <c r="L32" s="9"/>
      <c r="M32" s="10" t="str">
        <f aca="false">VLOOKUP(J32,RECATALOGANDO!A:C,2,0)</f>
        <v>TRANSFERENCIA ENTRE CUENTAS</v>
      </c>
      <c r="N32" s="12" t="str">
        <f aca="false">VLOOKUP(M32,RECATALOGANDO!B:C,2,0)</f>
        <v>TRANSFERENCIAS</v>
      </c>
      <c r="O32" s="2" t="s">
        <v>31</v>
      </c>
    </row>
    <row r="33" customFormat="false" ht="13.8" hidden="false" customHeight="false" outlineLevel="0" collapsed="false">
      <c r="A33" s="8" t="n">
        <v>44974</v>
      </c>
      <c r="B33" s="9" t="n">
        <f aca="false">DAY(A33)</f>
        <v>17</v>
      </c>
      <c r="C33" s="9" t="n">
        <f aca="false">MONTH(A33)</f>
        <v>2</v>
      </c>
      <c r="D33" s="9" t="n">
        <f aca="false">YEAR(A33)</f>
        <v>2023</v>
      </c>
      <c r="E33" s="9" t="n">
        <f aca="false">WEEKDAY(A33,2)</f>
        <v>5</v>
      </c>
      <c r="F33" s="10" t="n">
        <f aca="false">WEEKNUM(A33,2) - WEEKNUM(DATE(YEAR(A33),MONTH(A33),1),2) + 1</f>
        <v>3</v>
      </c>
      <c r="G33" s="10"/>
      <c r="H33" s="11" t="n">
        <v>900</v>
      </c>
      <c r="I33" s="12" t="s">
        <v>15</v>
      </c>
      <c r="J33" s="12" t="s">
        <v>32</v>
      </c>
      <c r="K33" s="12"/>
      <c r="L33" s="9"/>
      <c r="M33" s="10" t="str">
        <f aca="false">VLOOKUP(J33,RECATALOGANDO!A:C,2,0)</f>
        <v>TRANSFERENCIA ENTRE CUENTAS</v>
      </c>
      <c r="N33" s="12" t="str">
        <f aca="false">VLOOKUP(M33,RECATALOGANDO!B:C,2,0)</f>
        <v>TRANSFERENCIAS</v>
      </c>
      <c r="O33" s="2" t="s">
        <v>31</v>
      </c>
    </row>
    <row r="34" customFormat="false" ht="13.8" hidden="false" customHeight="false" outlineLevel="0" collapsed="false">
      <c r="A34" s="8" t="n">
        <v>44974</v>
      </c>
      <c r="B34" s="9" t="n">
        <f aca="false">DAY(A34)</f>
        <v>17</v>
      </c>
      <c r="C34" s="9" t="n">
        <f aca="false">MONTH(A34)</f>
        <v>2</v>
      </c>
      <c r="D34" s="9" t="n">
        <f aca="false">YEAR(A34)</f>
        <v>2023</v>
      </c>
      <c r="E34" s="9" t="n">
        <f aca="false">WEEKDAY(A34,2)</f>
        <v>5</v>
      </c>
      <c r="F34" s="10" t="n">
        <f aca="false">WEEKNUM(A34,2) - WEEKNUM(DATE(YEAR(A34),MONTH(A34),1),2) + 1</f>
        <v>3</v>
      </c>
      <c r="G34" s="10"/>
      <c r="H34" s="11" t="n">
        <v>900</v>
      </c>
      <c r="I34" s="12" t="s">
        <v>15</v>
      </c>
      <c r="J34" s="12" t="s">
        <v>32</v>
      </c>
      <c r="K34" s="12"/>
      <c r="L34" s="9"/>
      <c r="M34" s="10" t="str">
        <f aca="false">VLOOKUP(J34,RECATALOGANDO!A:C,2,0)</f>
        <v>TRANSFERENCIA ENTRE CUENTAS</v>
      </c>
      <c r="N34" s="12" t="str">
        <f aca="false">VLOOKUP(M34,RECATALOGANDO!B:C,2,0)</f>
        <v>TRANSFERENCIAS</v>
      </c>
      <c r="O34" s="2" t="s">
        <v>31</v>
      </c>
    </row>
    <row r="35" customFormat="false" ht="13.8" hidden="false" customHeight="false" outlineLevel="0" collapsed="false">
      <c r="A35" s="8" t="n">
        <v>44982</v>
      </c>
      <c r="B35" s="9" t="n">
        <f aca="false">DAY(A35)</f>
        <v>25</v>
      </c>
      <c r="C35" s="9" t="n">
        <f aca="false">MONTH(A35)</f>
        <v>2</v>
      </c>
      <c r="D35" s="9" t="n">
        <f aca="false">YEAR(A35)</f>
        <v>2023</v>
      </c>
      <c r="E35" s="9" t="n">
        <f aca="false">WEEKDAY(A35,2)</f>
        <v>6</v>
      </c>
      <c r="F35" s="10" t="n">
        <f aca="false">WEEKNUM(A35,2) - WEEKNUM(DATE(YEAR(A35),MONTH(A35),1),2) + 1</f>
        <v>4</v>
      </c>
      <c r="G35" s="10"/>
      <c r="H35" s="11" t="n">
        <v>500</v>
      </c>
      <c r="I35" s="12" t="s">
        <v>15</v>
      </c>
      <c r="J35" s="12" t="s">
        <v>32</v>
      </c>
      <c r="K35" s="12"/>
      <c r="L35" s="9"/>
      <c r="M35" s="10" t="str">
        <f aca="false">VLOOKUP(J35,RECATALOGANDO!A:C,2,0)</f>
        <v>TRANSFERENCIA ENTRE CUENTAS</v>
      </c>
      <c r="N35" s="12" t="str">
        <f aca="false">VLOOKUP(M35,RECATALOGANDO!B:C,2,0)</f>
        <v>TRANSFERENCIAS</v>
      </c>
      <c r="O35" s="2" t="s">
        <v>31</v>
      </c>
    </row>
    <row r="36" customFormat="false" ht="13.8" hidden="false" customHeight="false" outlineLevel="0" collapsed="false">
      <c r="A36" s="8" t="n">
        <v>44982</v>
      </c>
      <c r="B36" s="9" t="n">
        <f aca="false">DAY(A36)</f>
        <v>25</v>
      </c>
      <c r="C36" s="9" t="n">
        <f aca="false">MONTH(A36)</f>
        <v>2</v>
      </c>
      <c r="D36" s="9" t="n">
        <f aca="false">YEAR(A36)</f>
        <v>2023</v>
      </c>
      <c r="E36" s="9" t="n">
        <f aca="false">WEEKDAY(A36,2)</f>
        <v>6</v>
      </c>
      <c r="F36" s="10" t="n">
        <f aca="false">WEEKNUM(A36,2) - WEEKNUM(DATE(YEAR(A36),MONTH(A36),1),2) + 1</f>
        <v>4</v>
      </c>
      <c r="G36" s="10"/>
      <c r="H36" s="11" t="n">
        <v>500</v>
      </c>
      <c r="I36" s="12" t="s">
        <v>15</v>
      </c>
      <c r="J36" s="12" t="s">
        <v>32</v>
      </c>
      <c r="K36" s="12"/>
      <c r="L36" s="9"/>
      <c r="M36" s="10" t="str">
        <f aca="false">VLOOKUP(J36,RECATALOGANDO!A:C,2,0)</f>
        <v>TRANSFERENCIA ENTRE CUENTAS</v>
      </c>
      <c r="N36" s="12" t="str">
        <f aca="false">VLOOKUP(M36,RECATALOGANDO!B:C,2,0)</f>
        <v>TRANSFERENCIAS</v>
      </c>
      <c r="O36" s="2" t="s">
        <v>31</v>
      </c>
    </row>
    <row r="37" customFormat="false" ht="13.8" hidden="false" customHeight="false" outlineLevel="0" collapsed="false">
      <c r="A37" s="29" t="n">
        <v>44988</v>
      </c>
      <c r="B37" s="9" t="n">
        <f aca="false">DAY(A37)</f>
        <v>3</v>
      </c>
      <c r="C37" s="9" t="n">
        <f aca="false">MONTH(A37)</f>
        <v>3</v>
      </c>
      <c r="D37" s="9" t="n">
        <f aca="false">YEAR(A37)</f>
        <v>2023</v>
      </c>
      <c r="E37" s="9" t="n">
        <f aca="false">WEEKDAY(A37,2)</f>
        <v>5</v>
      </c>
      <c r="F37" s="10" t="n">
        <f aca="false">WEEKNUM(A37,2) - WEEKNUM(DATE(YEAR(A37),MONTH(A37),1),2) + 1</f>
        <v>1</v>
      </c>
      <c r="G37" s="10"/>
      <c r="H37" s="30" t="n">
        <v>800</v>
      </c>
      <c r="I37" s="31" t="s">
        <v>15</v>
      </c>
      <c r="J37" s="31" t="s">
        <v>32</v>
      </c>
      <c r="K37" s="12"/>
      <c r="L37" s="9"/>
      <c r="M37" s="10" t="str">
        <f aca="false">VLOOKUP(J37,RECATALOGANDO!A:C,2,0)</f>
        <v>TRANSFERENCIA ENTRE CUENTAS</v>
      </c>
      <c r="N37" s="12" t="str">
        <f aca="false">VLOOKUP(M37,RECATALOGANDO!B:C,2,0)</f>
        <v>TRANSFERENCIAS</v>
      </c>
      <c r="O37" s="2" t="s">
        <v>31</v>
      </c>
    </row>
    <row r="38" customFormat="false" ht="13.8" hidden="false" customHeight="false" outlineLevel="0" collapsed="false">
      <c r="A38" s="29" t="n">
        <v>44995</v>
      </c>
      <c r="B38" s="9" t="n">
        <f aca="false">DAY(A38)</f>
        <v>10</v>
      </c>
      <c r="C38" s="9" t="n">
        <f aca="false">MONTH(A38)</f>
        <v>3</v>
      </c>
      <c r="D38" s="9" t="n">
        <f aca="false">YEAR(A38)</f>
        <v>2023</v>
      </c>
      <c r="E38" s="9" t="n">
        <f aca="false">WEEKDAY(A38,2)</f>
        <v>5</v>
      </c>
      <c r="F38" s="10" t="n">
        <f aca="false">WEEKNUM(A38,2) - WEEKNUM(DATE(YEAR(A38),MONTH(A38),1),2) + 1</f>
        <v>2</v>
      </c>
      <c r="G38" s="10"/>
      <c r="H38" s="30" t="n">
        <v>100</v>
      </c>
      <c r="I38" s="31" t="s">
        <v>20</v>
      </c>
      <c r="J38" s="31" t="s">
        <v>32</v>
      </c>
      <c r="K38" s="12"/>
      <c r="L38" s="9"/>
      <c r="M38" s="10" t="str">
        <f aca="false">VLOOKUP(J38,RECATALOGANDO!A:C,2,0)</f>
        <v>TRANSFERENCIA ENTRE CUENTAS</v>
      </c>
      <c r="N38" s="12" t="str">
        <f aca="false">VLOOKUP(M38,RECATALOGANDO!B:C,2,0)</f>
        <v>TRANSFERENCIAS</v>
      </c>
      <c r="O38" s="2" t="s">
        <v>31</v>
      </c>
    </row>
    <row r="39" customFormat="false" ht="13.8" hidden="false" customHeight="false" outlineLevel="0" collapsed="false">
      <c r="A39" s="29" t="n">
        <v>44998</v>
      </c>
      <c r="B39" s="9" t="n">
        <f aca="false">DAY(A39)</f>
        <v>13</v>
      </c>
      <c r="C39" s="9" t="n">
        <f aca="false">MONTH(A39)</f>
        <v>3</v>
      </c>
      <c r="D39" s="9" t="n">
        <f aca="false">YEAR(A39)</f>
        <v>2023</v>
      </c>
      <c r="E39" s="9" t="n">
        <f aca="false">WEEKDAY(A39,2)</f>
        <v>1</v>
      </c>
      <c r="F39" s="10" t="n">
        <f aca="false">WEEKNUM(A39,2) - WEEKNUM(DATE(YEAR(A39),MONTH(A39),1),2) + 1</f>
        <v>3</v>
      </c>
      <c r="G39" s="10"/>
      <c r="H39" s="30" t="n">
        <v>300</v>
      </c>
      <c r="I39" s="31" t="s">
        <v>20</v>
      </c>
      <c r="J39" s="31" t="s">
        <v>32</v>
      </c>
      <c r="K39" s="12"/>
      <c r="L39" s="9"/>
      <c r="M39" s="10" t="str">
        <f aca="false">VLOOKUP(J39,RECATALOGANDO!A:C,2,0)</f>
        <v>TRANSFERENCIA ENTRE CUENTAS</v>
      </c>
      <c r="N39" s="12" t="str">
        <f aca="false">VLOOKUP(M39,RECATALOGANDO!B:C,2,0)</f>
        <v>TRANSFERENCIAS</v>
      </c>
      <c r="O39" s="2" t="s">
        <v>31</v>
      </c>
    </row>
    <row r="40" customFormat="false" ht="13.8" hidden="false" customHeight="false" outlineLevel="0" collapsed="false">
      <c r="A40" s="29" t="n">
        <v>45007</v>
      </c>
      <c r="B40" s="9" t="n">
        <f aca="false">DAY(A40)</f>
        <v>22</v>
      </c>
      <c r="C40" s="9" t="n">
        <f aca="false">MONTH(A40)</f>
        <v>3</v>
      </c>
      <c r="D40" s="9" t="n">
        <f aca="false">YEAR(A40)</f>
        <v>2023</v>
      </c>
      <c r="E40" s="9" t="n">
        <f aca="false">WEEKDAY(A40,2)</f>
        <v>3</v>
      </c>
      <c r="F40" s="10" t="n">
        <f aca="false">WEEKNUM(A40,2) - WEEKNUM(DATE(YEAR(A40),MONTH(A40),1),2) + 1</f>
        <v>4</v>
      </c>
      <c r="G40" s="10"/>
      <c r="H40" s="30" t="n">
        <v>200</v>
      </c>
      <c r="I40" s="31" t="s">
        <v>20</v>
      </c>
      <c r="J40" s="31" t="s">
        <v>32</v>
      </c>
      <c r="K40" s="12"/>
      <c r="L40" s="9"/>
      <c r="M40" s="10" t="str">
        <f aca="false">VLOOKUP(J40,RECATALOGANDO!A:C,2,0)</f>
        <v>TRANSFERENCIA ENTRE CUENTAS</v>
      </c>
      <c r="N40" s="12" t="str">
        <f aca="false">VLOOKUP(M40,RECATALOGANDO!B:C,2,0)</f>
        <v>TRANSFERENCIAS</v>
      </c>
      <c r="O40" s="2" t="s">
        <v>31</v>
      </c>
    </row>
    <row r="41" customFormat="false" ht="13.8" hidden="false" customHeight="false" outlineLevel="0" collapsed="false">
      <c r="A41" s="29" t="n">
        <v>45012</v>
      </c>
      <c r="B41" s="9" t="n">
        <f aca="false">DAY(A41)</f>
        <v>27</v>
      </c>
      <c r="C41" s="9" t="n">
        <f aca="false">MONTH(A41)</f>
        <v>3</v>
      </c>
      <c r="D41" s="9" t="n">
        <f aca="false">YEAR(A41)</f>
        <v>2023</v>
      </c>
      <c r="E41" s="9" t="n">
        <f aca="false">WEEKDAY(A41,2)</f>
        <v>1</v>
      </c>
      <c r="F41" s="10" t="n">
        <f aca="false">WEEKNUM(A41,2) - WEEKNUM(DATE(YEAR(A41),MONTH(A41),1),2) + 1</f>
        <v>5</v>
      </c>
      <c r="G41" s="10"/>
      <c r="H41" s="30" t="n">
        <v>2000</v>
      </c>
      <c r="I41" s="31" t="s">
        <v>20</v>
      </c>
      <c r="J41" s="31" t="s">
        <v>32</v>
      </c>
      <c r="K41" s="12"/>
      <c r="L41" s="9"/>
      <c r="M41" s="10" t="str">
        <f aca="false">VLOOKUP(J41,RECATALOGANDO!A:C,2,0)</f>
        <v>TRANSFERENCIA ENTRE CUENTAS</v>
      </c>
      <c r="N41" s="12" t="str">
        <f aca="false">VLOOKUP(M41,RECATALOGANDO!B:C,2,0)</f>
        <v>TRANSFERENCIAS</v>
      </c>
      <c r="O41" s="2" t="s">
        <v>31</v>
      </c>
    </row>
    <row r="42" customFormat="false" ht="13.8" hidden="false" customHeight="false" outlineLevel="0" collapsed="false">
      <c r="A42" s="29" t="n">
        <v>45026</v>
      </c>
      <c r="B42" s="9" t="n">
        <f aca="false">DAY(A42)</f>
        <v>10</v>
      </c>
      <c r="C42" s="9" t="n">
        <f aca="false">MONTH(A42)</f>
        <v>4</v>
      </c>
      <c r="D42" s="9" t="n">
        <f aca="false">YEAR(A42)</f>
        <v>2023</v>
      </c>
      <c r="E42" s="9" t="n">
        <f aca="false">WEEKDAY(A42,2)</f>
        <v>1</v>
      </c>
      <c r="F42" s="10" t="n">
        <f aca="false">WEEKNUM(A42,2) - WEEKNUM(DATE(YEAR(A42),MONTH(A42),1),2) + 1</f>
        <v>3</v>
      </c>
      <c r="G42" s="10"/>
      <c r="H42" s="30" t="n">
        <v>5000</v>
      </c>
      <c r="I42" s="31" t="s">
        <v>15</v>
      </c>
      <c r="J42" s="31" t="s">
        <v>32</v>
      </c>
      <c r="K42" s="12"/>
      <c r="L42" s="9"/>
      <c r="M42" s="10" t="str">
        <f aca="false">VLOOKUP(J42,RECATALOGANDO!A:C,2,0)</f>
        <v>TRANSFERENCIA ENTRE CUENTAS</v>
      </c>
      <c r="N42" s="12" t="str">
        <f aca="false">VLOOKUP(M42,RECATALOGANDO!B:C,2,0)</f>
        <v>TRANSFERENCIAS</v>
      </c>
      <c r="O42" s="2" t="s">
        <v>31</v>
      </c>
    </row>
    <row r="43" customFormat="false" ht="13.8" hidden="false" customHeight="false" outlineLevel="0" collapsed="false">
      <c r="A43" s="29" t="n">
        <v>45028</v>
      </c>
      <c r="B43" s="9" t="n">
        <f aca="false">DAY(A43)</f>
        <v>12</v>
      </c>
      <c r="C43" s="9" t="n">
        <f aca="false">MONTH(A43)</f>
        <v>4</v>
      </c>
      <c r="D43" s="9" t="n">
        <f aca="false">YEAR(A43)</f>
        <v>2023</v>
      </c>
      <c r="E43" s="9" t="n">
        <f aca="false">WEEKDAY(A43,2)</f>
        <v>3</v>
      </c>
      <c r="F43" s="10" t="n">
        <f aca="false">WEEKNUM(A43,2) - WEEKNUM(DATE(YEAR(A43),MONTH(A43),1),2) + 1</f>
        <v>3</v>
      </c>
      <c r="G43" s="10"/>
      <c r="H43" s="30" t="n">
        <v>7000</v>
      </c>
      <c r="I43" s="31" t="s">
        <v>15</v>
      </c>
      <c r="J43" s="31" t="s">
        <v>32</v>
      </c>
      <c r="K43" s="12"/>
      <c r="L43" s="9"/>
      <c r="M43" s="10" t="str">
        <f aca="false">VLOOKUP(J43,RECATALOGANDO!A:C,2,0)</f>
        <v>TRANSFERENCIA ENTRE CUENTAS</v>
      </c>
      <c r="N43" s="12" t="str">
        <f aca="false">VLOOKUP(M43,RECATALOGANDO!B:C,2,0)</f>
        <v>TRANSFERENCIAS</v>
      </c>
      <c r="O43" s="2" t="s">
        <v>31</v>
      </c>
    </row>
    <row r="44" customFormat="false" ht="13.8" hidden="false" customHeight="false" outlineLevel="0" collapsed="false">
      <c r="A44" s="29" t="n">
        <v>45029</v>
      </c>
      <c r="B44" s="9" t="n">
        <f aca="false">DAY(A44)</f>
        <v>13</v>
      </c>
      <c r="C44" s="9" t="n">
        <f aca="false">MONTH(A44)</f>
        <v>4</v>
      </c>
      <c r="D44" s="9" t="n">
        <f aca="false">YEAR(A44)</f>
        <v>2023</v>
      </c>
      <c r="E44" s="9" t="n">
        <f aca="false">WEEKDAY(A44,2)</f>
        <v>4</v>
      </c>
      <c r="F44" s="10" t="n">
        <f aca="false">WEEKNUM(A44,2) - WEEKNUM(DATE(YEAR(A44),MONTH(A44),1),2) + 1</f>
        <v>3</v>
      </c>
      <c r="G44" s="10"/>
      <c r="H44" s="30" t="n">
        <v>280</v>
      </c>
      <c r="I44" s="31" t="s">
        <v>20</v>
      </c>
      <c r="J44" s="31" t="s">
        <v>32</v>
      </c>
      <c r="K44" s="12"/>
      <c r="L44" s="9"/>
      <c r="M44" s="10" t="str">
        <f aca="false">VLOOKUP(J44,RECATALOGANDO!A:C,2,0)</f>
        <v>TRANSFERENCIA ENTRE CUENTAS</v>
      </c>
      <c r="N44" s="12" t="str">
        <f aca="false">VLOOKUP(M44,RECATALOGANDO!B:C,2,0)</f>
        <v>TRANSFERENCIAS</v>
      </c>
      <c r="O44" s="2" t="s">
        <v>31</v>
      </c>
    </row>
    <row r="45" customFormat="false" ht="13.8" hidden="false" customHeight="false" outlineLevel="0" collapsed="false">
      <c r="A45" s="29" t="n">
        <v>45031</v>
      </c>
      <c r="B45" s="9" t="n">
        <f aca="false">DAY(A45)</f>
        <v>15</v>
      </c>
      <c r="C45" s="9" t="n">
        <f aca="false">MONTH(A45)</f>
        <v>4</v>
      </c>
      <c r="D45" s="9" t="n">
        <f aca="false">YEAR(A45)</f>
        <v>2023</v>
      </c>
      <c r="E45" s="9" t="n">
        <f aca="false">WEEKDAY(A45,2)</f>
        <v>6</v>
      </c>
      <c r="F45" s="10" t="n">
        <f aca="false">WEEKNUM(A45,2) - WEEKNUM(DATE(YEAR(A45),MONTH(A45),1),2) + 1</f>
        <v>3</v>
      </c>
      <c r="G45" s="10"/>
      <c r="H45" s="30" t="n">
        <v>1700</v>
      </c>
      <c r="I45" s="31" t="s">
        <v>20</v>
      </c>
      <c r="J45" s="31" t="s">
        <v>32</v>
      </c>
      <c r="K45" s="12"/>
      <c r="L45" s="9"/>
      <c r="M45" s="10" t="str">
        <f aca="false">VLOOKUP(J45,RECATALOGANDO!A:C,2,0)</f>
        <v>TRANSFERENCIA ENTRE CUENTAS</v>
      </c>
      <c r="N45" s="12" t="str">
        <f aca="false">VLOOKUP(M45,RECATALOGANDO!B:C,2,0)</f>
        <v>TRANSFERENCIAS</v>
      </c>
      <c r="O45" s="2" t="s">
        <v>31</v>
      </c>
    </row>
    <row r="46" customFormat="false" ht="13.8" hidden="false" customHeight="false" outlineLevel="0" collapsed="false">
      <c r="A46" s="29" t="n">
        <v>45040</v>
      </c>
      <c r="B46" s="9" t="n">
        <f aca="false">DAY(A46)</f>
        <v>24</v>
      </c>
      <c r="C46" s="9" t="n">
        <f aca="false">MONTH(A46)</f>
        <v>4</v>
      </c>
      <c r="D46" s="9" t="n">
        <f aca="false">YEAR(A46)</f>
        <v>2023</v>
      </c>
      <c r="E46" s="9" t="n">
        <f aca="false">WEEKDAY(A46,2)</f>
        <v>1</v>
      </c>
      <c r="F46" s="10" t="n">
        <f aca="false">WEEKNUM(A46,2) - WEEKNUM(DATE(YEAR(A46),MONTH(A46),1),2) + 1</f>
        <v>5</v>
      </c>
      <c r="G46" s="10"/>
      <c r="H46" s="30" t="n">
        <v>1400</v>
      </c>
      <c r="I46" s="31" t="s">
        <v>20</v>
      </c>
      <c r="J46" s="31" t="s">
        <v>32</v>
      </c>
      <c r="K46" s="12"/>
      <c r="L46" s="9"/>
      <c r="M46" s="10" t="str">
        <f aca="false">VLOOKUP(J46,RECATALOGANDO!A:C,2,0)</f>
        <v>TRANSFERENCIA ENTRE CUENTAS</v>
      </c>
      <c r="N46" s="12" t="str">
        <f aca="false">VLOOKUP(M46,RECATALOGANDO!B:C,2,0)</f>
        <v>TRANSFERENCIAS</v>
      </c>
      <c r="O46" s="2" t="s">
        <v>31</v>
      </c>
    </row>
    <row r="47" customFormat="false" ht="13.8" hidden="false" customHeight="false" outlineLevel="0" collapsed="false">
      <c r="A47" s="29" t="n">
        <v>45045</v>
      </c>
      <c r="B47" s="9" t="n">
        <f aca="false">DAY(A47)</f>
        <v>29</v>
      </c>
      <c r="C47" s="9" t="n">
        <f aca="false">MONTH(A47)</f>
        <v>4</v>
      </c>
      <c r="D47" s="9" t="n">
        <f aca="false">YEAR(A47)</f>
        <v>2023</v>
      </c>
      <c r="E47" s="9" t="n">
        <f aca="false">WEEKDAY(A47,2)</f>
        <v>6</v>
      </c>
      <c r="F47" s="10" t="n">
        <f aca="false">WEEKNUM(A47,2) - WEEKNUM(DATE(YEAR(A47),MONTH(A47),1),2) + 1</f>
        <v>5</v>
      </c>
      <c r="G47" s="10"/>
      <c r="H47" s="30" t="n">
        <v>3000</v>
      </c>
      <c r="I47" s="31" t="s">
        <v>20</v>
      </c>
      <c r="J47" s="31" t="s">
        <v>32</v>
      </c>
      <c r="K47" s="12"/>
      <c r="L47" s="9"/>
      <c r="M47" s="10" t="str">
        <f aca="false">VLOOKUP(J47,RECATALOGANDO!A:C,2,0)</f>
        <v>TRANSFERENCIA ENTRE CUENTAS</v>
      </c>
      <c r="N47" s="12" t="str">
        <f aca="false">VLOOKUP(M47,RECATALOGANDO!B:C,2,0)</f>
        <v>TRANSFERENCIAS</v>
      </c>
      <c r="O47" s="2" t="s">
        <v>31</v>
      </c>
    </row>
    <row r="48" customFormat="false" ht="13.8" hidden="false" customHeight="false" outlineLevel="0" collapsed="false">
      <c r="A48" s="29" t="n">
        <v>45048</v>
      </c>
      <c r="B48" s="9" t="n">
        <f aca="false">DAY(A48)</f>
        <v>2</v>
      </c>
      <c r="C48" s="9" t="n">
        <f aca="false">MONTH(A48)</f>
        <v>5</v>
      </c>
      <c r="D48" s="9" t="n">
        <f aca="false">YEAR(A48)</f>
        <v>2023</v>
      </c>
      <c r="E48" s="9" t="n">
        <f aca="false">WEEKDAY(A48,2)</f>
        <v>2</v>
      </c>
      <c r="F48" s="10" t="n">
        <f aca="false">WEEKNUM(A48,2) - WEEKNUM(DATE(YEAR(A48),MONTH(A48),1),2) + 1</f>
        <v>1</v>
      </c>
      <c r="G48" s="10"/>
      <c r="H48" s="30" t="n">
        <v>3041</v>
      </c>
      <c r="I48" s="31" t="s">
        <v>20</v>
      </c>
      <c r="J48" s="31" t="s">
        <v>32</v>
      </c>
      <c r="K48" s="12"/>
      <c r="L48" s="9"/>
      <c r="M48" s="10" t="str">
        <f aca="false">VLOOKUP(J48,RECATALOGANDO!A:C,2,0)</f>
        <v>TRANSFERENCIA ENTRE CUENTAS</v>
      </c>
      <c r="N48" s="12" t="str">
        <f aca="false">VLOOKUP(M48,RECATALOGANDO!B:C,2,0)</f>
        <v>TRANSFERENCIAS</v>
      </c>
      <c r="O48" s="2" t="s">
        <v>31</v>
      </c>
    </row>
    <row r="49" customFormat="false" ht="13.8" hidden="false" customHeight="false" outlineLevel="0" collapsed="false">
      <c r="A49" s="29" t="n">
        <v>45056</v>
      </c>
      <c r="B49" s="9" t="n">
        <f aca="false">DAY(A49)</f>
        <v>10</v>
      </c>
      <c r="C49" s="9" t="n">
        <f aca="false">MONTH(A49)</f>
        <v>5</v>
      </c>
      <c r="D49" s="9" t="n">
        <f aca="false">YEAR(A49)</f>
        <v>2023</v>
      </c>
      <c r="E49" s="9" t="n">
        <f aca="false">WEEKDAY(A49,2)</f>
        <v>3</v>
      </c>
      <c r="F49" s="10" t="n">
        <f aca="false">WEEKNUM(A49,2) - WEEKNUM(DATE(YEAR(A49),MONTH(A49),1),2) + 1</f>
        <v>2</v>
      </c>
      <c r="G49" s="10"/>
      <c r="H49" s="30" t="n">
        <v>250</v>
      </c>
      <c r="I49" s="31" t="s">
        <v>15</v>
      </c>
      <c r="J49" s="31" t="s">
        <v>32</v>
      </c>
      <c r="K49" s="12"/>
      <c r="L49" s="9"/>
      <c r="M49" s="10" t="str">
        <f aca="false">VLOOKUP(J49,RECATALOGANDO!A:C,2,0)</f>
        <v>TRANSFERENCIA ENTRE CUENTAS</v>
      </c>
      <c r="N49" s="12" t="str">
        <f aca="false">VLOOKUP(M49,RECATALOGANDO!B:C,2,0)</f>
        <v>TRANSFERENCIAS</v>
      </c>
      <c r="O49" s="2" t="s">
        <v>31</v>
      </c>
    </row>
    <row r="50" customFormat="false" ht="13.8" hidden="false" customHeight="false" outlineLevel="0" collapsed="false">
      <c r="A50" s="29" t="n">
        <v>45062</v>
      </c>
      <c r="B50" s="9" t="n">
        <f aca="false">DAY(A50)</f>
        <v>16</v>
      </c>
      <c r="C50" s="9" t="n">
        <f aca="false">MONTH(A50)</f>
        <v>5</v>
      </c>
      <c r="D50" s="9" t="n">
        <f aca="false">YEAR(A50)</f>
        <v>2023</v>
      </c>
      <c r="E50" s="9" t="n">
        <f aca="false">WEEKDAY(A50,2)</f>
        <v>2</v>
      </c>
      <c r="F50" s="10" t="n">
        <f aca="false">WEEKNUM(A50,2) - WEEKNUM(DATE(YEAR(A50),MONTH(A50),1),2) + 1</f>
        <v>3</v>
      </c>
      <c r="G50" s="10"/>
      <c r="H50" s="30" t="n">
        <v>2000</v>
      </c>
      <c r="I50" s="31" t="s">
        <v>20</v>
      </c>
      <c r="J50" s="31" t="s">
        <v>32</v>
      </c>
      <c r="K50" s="12"/>
      <c r="L50" s="9"/>
      <c r="M50" s="10" t="str">
        <f aca="false">VLOOKUP(J50,RECATALOGANDO!A:C,2,0)</f>
        <v>TRANSFERENCIA ENTRE CUENTAS</v>
      </c>
      <c r="N50" s="12" t="str">
        <f aca="false">VLOOKUP(M50,RECATALOGANDO!B:C,2,0)</f>
        <v>TRANSFERENCIAS</v>
      </c>
      <c r="O50" s="2" t="s">
        <v>31</v>
      </c>
    </row>
    <row r="51" customFormat="false" ht="13.8" hidden="false" customHeight="false" outlineLevel="0" collapsed="false">
      <c r="A51" s="29" t="n">
        <v>45069</v>
      </c>
      <c r="B51" s="9" t="n">
        <f aca="false">DAY(A51)</f>
        <v>23</v>
      </c>
      <c r="C51" s="9" t="n">
        <f aca="false">MONTH(A51)</f>
        <v>5</v>
      </c>
      <c r="D51" s="9" t="n">
        <f aca="false">YEAR(A51)</f>
        <v>2023</v>
      </c>
      <c r="E51" s="9" t="n">
        <f aca="false">WEEKDAY(A51,2)</f>
        <v>2</v>
      </c>
      <c r="F51" s="10" t="n">
        <f aca="false">WEEKNUM(A51,2) - WEEKNUM(DATE(YEAR(A51),MONTH(A51),1),2) + 1</f>
        <v>4</v>
      </c>
      <c r="G51" s="10"/>
      <c r="H51" s="30" t="n">
        <v>1500</v>
      </c>
      <c r="I51" s="31" t="s">
        <v>20</v>
      </c>
      <c r="J51" s="31" t="s">
        <v>32</v>
      </c>
      <c r="K51" s="12"/>
      <c r="L51" s="9"/>
      <c r="M51" s="10" t="str">
        <f aca="false">VLOOKUP(J51,RECATALOGANDO!A:C,2,0)</f>
        <v>TRANSFERENCIA ENTRE CUENTAS</v>
      </c>
      <c r="N51" s="12" t="str">
        <f aca="false">VLOOKUP(M51,RECATALOGANDO!B:C,2,0)</f>
        <v>TRANSFERENCIAS</v>
      </c>
      <c r="O51" s="2" t="s">
        <v>31</v>
      </c>
    </row>
    <row r="52" customFormat="false" ht="13.8" hidden="false" customHeight="false" outlineLevel="0" collapsed="false">
      <c r="A52" s="29" t="n">
        <v>45069</v>
      </c>
      <c r="B52" s="9" t="n">
        <f aca="false">DAY(A52)</f>
        <v>23</v>
      </c>
      <c r="C52" s="9" t="n">
        <f aca="false">MONTH(A52)</f>
        <v>5</v>
      </c>
      <c r="D52" s="9" t="n">
        <f aca="false">YEAR(A52)</f>
        <v>2023</v>
      </c>
      <c r="E52" s="9" t="n">
        <f aca="false">WEEKDAY(A52,2)</f>
        <v>2</v>
      </c>
      <c r="F52" s="10" t="n">
        <f aca="false">WEEKNUM(A52,2) - WEEKNUM(DATE(YEAR(A52),MONTH(A52),1),2) + 1</f>
        <v>4</v>
      </c>
      <c r="G52" s="10"/>
      <c r="H52" s="30" t="n">
        <v>2200</v>
      </c>
      <c r="I52" s="31" t="s">
        <v>15</v>
      </c>
      <c r="J52" s="31" t="s">
        <v>32</v>
      </c>
      <c r="K52" s="12"/>
      <c r="L52" s="9"/>
      <c r="M52" s="10" t="str">
        <f aca="false">VLOOKUP(J52,RECATALOGANDO!A:C,2,0)</f>
        <v>TRANSFERENCIA ENTRE CUENTAS</v>
      </c>
      <c r="N52" s="12" t="str">
        <f aca="false">VLOOKUP(M52,RECATALOGANDO!B:C,2,0)</f>
        <v>TRANSFERENCIAS</v>
      </c>
      <c r="O52" s="2" t="s">
        <v>31</v>
      </c>
    </row>
    <row r="53" customFormat="false" ht="13.8" hidden="false" customHeight="false" outlineLevel="0" collapsed="false">
      <c r="A53" s="29" t="n">
        <v>45070</v>
      </c>
      <c r="B53" s="9" t="n">
        <f aca="false">DAY(A53)</f>
        <v>24</v>
      </c>
      <c r="C53" s="9" t="n">
        <f aca="false">MONTH(A53)</f>
        <v>5</v>
      </c>
      <c r="D53" s="9" t="n">
        <f aca="false">YEAR(A53)</f>
        <v>2023</v>
      </c>
      <c r="E53" s="9" t="n">
        <f aca="false">WEEKDAY(A53,2)</f>
        <v>3</v>
      </c>
      <c r="F53" s="10" t="n">
        <f aca="false">WEEKNUM(A53,2) - WEEKNUM(DATE(YEAR(A53),MONTH(A53),1),2) + 1</f>
        <v>4</v>
      </c>
      <c r="G53" s="10"/>
      <c r="H53" s="30" t="n">
        <v>1400</v>
      </c>
      <c r="I53" s="31" t="s">
        <v>20</v>
      </c>
      <c r="J53" s="31" t="s">
        <v>32</v>
      </c>
      <c r="K53" s="12"/>
      <c r="L53" s="9"/>
      <c r="M53" s="10" t="str">
        <f aca="false">VLOOKUP(J53,RECATALOGANDO!A:C,2,0)</f>
        <v>TRANSFERENCIA ENTRE CUENTAS</v>
      </c>
      <c r="N53" s="12" t="str">
        <f aca="false">VLOOKUP(M53,RECATALOGANDO!B:C,2,0)</f>
        <v>TRANSFERENCIAS</v>
      </c>
      <c r="O53" s="2" t="s">
        <v>31</v>
      </c>
    </row>
    <row r="54" customFormat="false" ht="13.8" hidden="false" customHeight="false" outlineLevel="0" collapsed="false">
      <c r="A54" s="29" t="n">
        <v>45081</v>
      </c>
      <c r="B54" s="9" t="n">
        <f aca="false">DAY(A54)</f>
        <v>4</v>
      </c>
      <c r="C54" s="9" t="n">
        <f aca="false">MONTH(A54)</f>
        <v>6</v>
      </c>
      <c r="D54" s="9" t="n">
        <f aca="false">YEAR(A54)</f>
        <v>2023</v>
      </c>
      <c r="E54" s="9" t="n">
        <f aca="false">WEEKDAY(A54,2)</f>
        <v>7</v>
      </c>
      <c r="F54" s="10" t="n">
        <f aca="false">WEEKNUM(A54,2) - WEEKNUM(DATE(YEAR(A54),MONTH(A54),1),2) + 1</f>
        <v>1</v>
      </c>
      <c r="G54" s="10"/>
      <c r="H54" s="30" t="n">
        <v>1000</v>
      </c>
      <c r="I54" s="31" t="s">
        <v>15</v>
      </c>
      <c r="J54" s="31" t="s">
        <v>32</v>
      </c>
      <c r="K54" s="12"/>
      <c r="L54" s="9"/>
      <c r="M54" s="10" t="str">
        <f aca="false">VLOOKUP(J54,RECATALOGANDO!A:C,2,0)</f>
        <v>TRANSFERENCIA ENTRE CUENTAS</v>
      </c>
      <c r="N54" s="12" t="str">
        <f aca="false">VLOOKUP(M54,RECATALOGANDO!B:C,2,0)</f>
        <v>TRANSFERENCIAS</v>
      </c>
      <c r="O54" s="2" t="s">
        <v>31</v>
      </c>
    </row>
    <row r="55" customFormat="false" ht="13.8" hidden="false" customHeight="false" outlineLevel="0" collapsed="false">
      <c r="A55" s="29" t="n">
        <v>45082</v>
      </c>
      <c r="B55" s="9" t="n">
        <f aca="false">DAY(A55)</f>
        <v>5</v>
      </c>
      <c r="C55" s="9" t="n">
        <f aca="false">MONTH(A55)</f>
        <v>6</v>
      </c>
      <c r="D55" s="9" t="n">
        <f aca="false">YEAR(A55)</f>
        <v>2023</v>
      </c>
      <c r="E55" s="9" t="n">
        <f aca="false">WEEKDAY(A55,2)</f>
        <v>1</v>
      </c>
      <c r="F55" s="10" t="n">
        <f aca="false">WEEKNUM(A55,2) - WEEKNUM(DATE(YEAR(A55),MONTH(A55),1),2) + 1</f>
        <v>2</v>
      </c>
      <c r="G55" s="10"/>
      <c r="H55" s="30" t="n">
        <v>600</v>
      </c>
      <c r="I55" s="31" t="s">
        <v>15</v>
      </c>
      <c r="J55" s="31" t="s">
        <v>32</v>
      </c>
      <c r="K55" s="12"/>
      <c r="L55" s="9"/>
      <c r="M55" s="10" t="str">
        <f aca="false">VLOOKUP(J55,RECATALOGANDO!A:C,2,0)</f>
        <v>TRANSFERENCIA ENTRE CUENTAS</v>
      </c>
      <c r="N55" s="12" t="str">
        <f aca="false">VLOOKUP(M55,RECATALOGANDO!B:C,2,0)</f>
        <v>TRANSFERENCIAS</v>
      </c>
      <c r="O55" s="2" t="s">
        <v>31</v>
      </c>
    </row>
    <row r="56" customFormat="false" ht="13.8" hidden="false" customHeight="false" outlineLevel="0" collapsed="false">
      <c r="A56" s="29" t="n">
        <v>45091</v>
      </c>
      <c r="B56" s="9" t="n">
        <f aca="false">DAY(A56)</f>
        <v>14</v>
      </c>
      <c r="C56" s="9" t="n">
        <f aca="false">MONTH(A56)</f>
        <v>6</v>
      </c>
      <c r="D56" s="9" t="n">
        <f aca="false">YEAR(A56)</f>
        <v>2023</v>
      </c>
      <c r="E56" s="9" t="n">
        <f aca="false">WEEKDAY(A56,2)</f>
        <v>3</v>
      </c>
      <c r="F56" s="10" t="n">
        <f aca="false">WEEKNUM(A56,2) - WEEKNUM(DATE(YEAR(A56),MONTH(A56),1),2) + 1</f>
        <v>3</v>
      </c>
      <c r="G56" s="10"/>
      <c r="H56" s="30" t="n">
        <v>2000</v>
      </c>
      <c r="I56" s="31" t="s">
        <v>15</v>
      </c>
      <c r="J56" s="31" t="s">
        <v>32</v>
      </c>
      <c r="K56" s="12"/>
      <c r="L56" s="9"/>
      <c r="M56" s="10" t="str">
        <f aca="false">VLOOKUP(J56,RECATALOGANDO!A:C,2,0)</f>
        <v>TRANSFERENCIA ENTRE CUENTAS</v>
      </c>
      <c r="N56" s="12" t="str">
        <f aca="false">VLOOKUP(M56,RECATALOGANDO!B:C,2,0)</f>
        <v>TRANSFERENCIAS</v>
      </c>
      <c r="O56" s="2" t="s">
        <v>31</v>
      </c>
    </row>
    <row r="57" customFormat="false" ht="13.8" hidden="false" customHeight="false" outlineLevel="0" collapsed="false">
      <c r="A57" s="29" t="n">
        <v>45099</v>
      </c>
      <c r="B57" s="9" t="n">
        <f aca="false">DAY(A57)</f>
        <v>22</v>
      </c>
      <c r="C57" s="9" t="n">
        <f aca="false">MONTH(A57)</f>
        <v>6</v>
      </c>
      <c r="D57" s="9" t="n">
        <f aca="false">YEAR(A57)</f>
        <v>2023</v>
      </c>
      <c r="E57" s="9" t="n">
        <f aca="false">WEEKDAY(A57,2)</f>
        <v>4</v>
      </c>
      <c r="F57" s="10" t="n">
        <f aca="false">WEEKNUM(A57,2) - WEEKNUM(DATE(YEAR(A57),MONTH(A57),1),2) + 1</f>
        <v>4</v>
      </c>
      <c r="G57" s="10"/>
      <c r="H57" s="30" t="n">
        <v>3000</v>
      </c>
      <c r="I57" s="31" t="s">
        <v>15</v>
      </c>
      <c r="J57" s="31" t="s">
        <v>32</v>
      </c>
      <c r="K57" s="12"/>
      <c r="L57" s="9"/>
      <c r="M57" s="10" t="str">
        <f aca="false">VLOOKUP(J57,RECATALOGANDO!A:C,2,0)</f>
        <v>TRANSFERENCIA ENTRE CUENTAS</v>
      </c>
      <c r="N57" s="12" t="str">
        <f aca="false">VLOOKUP(M57,RECATALOGANDO!B:C,2,0)</f>
        <v>TRANSFERENCIAS</v>
      </c>
      <c r="O57" s="2" t="s">
        <v>31</v>
      </c>
    </row>
    <row r="58" customFormat="false" ht="13.8" hidden="false" customHeight="false" outlineLevel="0" collapsed="false">
      <c r="A58" s="29" t="n">
        <v>45105</v>
      </c>
      <c r="B58" s="9" t="n">
        <f aca="false">DAY(A58)</f>
        <v>28</v>
      </c>
      <c r="C58" s="9" t="n">
        <f aca="false">MONTH(A58)</f>
        <v>6</v>
      </c>
      <c r="D58" s="9" t="n">
        <f aca="false">YEAR(A58)</f>
        <v>2023</v>
      </c>
      <c r="E58" s="9" t="n">
        <f aca="false">WEEKDAY(A58,2)</f>
        <v>3</v>
      </c>
      <c r="F58" s="10" t="n">
        <f aca="false">WEEKNUM(A58,2) - WEEKNUM(DATE(YEAR(A58),MONTH(A58),1),2) + 1</f>
        <v>5</v>
      </c>
      <c r="G58" s="10"/>
      <c r="H58" s="30" t="n">
        <v>700</v>
      </c>
      <c r="I58" s="31" t="s">
        <v>20</v>
      </c>
      <c r="J58" s="31" t="s">
        <v>32</v>
      </c>
      <c r="K58" s="12"/>
      <c r="L58" s="9"/>
      <c r="M58" s="10" t="str">
        <f aca="false">VLOOKUP(J58,RECATALOGANDO!A:C,2,0)</f>
        <v>TRANSFERENCIA ENTRE CUENTAS</v>
      </c>
      <c r="N58" s="12" t="str">
        <f aca="false">VLOOKUP(M58,RECATALOGANDO!B:C,2,0)</f>
        <v>TRANSFERENCIAS</v>
      </c>
      <c r="O58" s="2" t="s">
        <v>31</v>
      </c>
    </row>
    <row r="59" customFormat="false" ht="13.8" hidden="false" customHeight="false" outlineLevel="0" collapsed="false">
      <c r="A59" s="29" t="n">
        <v>45111</v>
      </c>
      <c r="B59" s="9" t="n">
        <f aca="false">DAY(A59)</f>
        <v>4</v>
      </c>
      <c r="C59" s="9" t="n">
        <f aca="false">MONTH(A59)</f>
        <v>7</v>
      </c>
      <c r="D59" s="9" t="n">
        <f aca="false">YEAR(A59)</f>
        <v>2023</v>
      </c>
      <c r="E59" s="9" t="n">
        <f aca="false">WEEKDAY(A59,2)</f>
        <v>2</v>
      </c>
      <c r="F59" s="10" t="n">
        <f aca="false">WEEKNUM(A59,2) - WEEKNUM(DATE(YEAR(A59),MONTH(A59),1),2) + 1</f>
        <v>2</v>
      </c>
      <c r="G59" s="10"/>
      <c r="H59" s="30" t="n">
        <v>1000</v>
      </c>
      <c r="I59" s="31" t="s">
        <v>15</v>
      </c>
      <c r="J59" s="31" t="s">
        <v>32</v>
      </c>
      <c r="K59" s="12"/>
      <c r="L59" s="9"/>
      <c r="M59" s="10" t="str">
        <f aca="false">VLOOKUP(J59,RECATALOGANDO!A:C,2,0)</f>
        <v>TRANSFERENCIA ENTRE CUENTAS</v>
      </c>
      <c r="N59" s="12" t="str">
        <f aca="false">VLOOKUP(M59,RECATALOGANDO!B:C,2,0)</f>
        <v>TRANSFERENCIAS</v>
      </c>
      <c r="O59" s="2" t="s">
        <v>31</v>
      </c>
    </row>
    <row r="60" customFormat="false" ht="13.8" hidden="false" customHeight="false" outlineLevel="0" collapsed="false">
      <c r="A60" s="29" t="n">
        <v>45113</v>
      </c>
      <c r="B60" s="9" t="n">
        <f aca="false">DAY(A60)</f>
        <v>6</v>
      </c>
      <c r="C60" s="9" t="n">
        <f aca="false">MONTH(A60)</f>
        <v>7</v>
      </c>
      <c r="D60" s="9" t="n">
        <f aca="false">YEAR(A60)</f>
        <v>2023</v>
      </c>
      <c r="E60" s="9" t="n">
        <f aca="false">WEEKDAY(A60,2)</f>
        <v>4</v>
      </c>
      <c r="F60" s="10" t="n">
        <f aca="false">WEEKNUM(A60,2) - WEEKNUM(DATE(YEAR(A60),MONTH(A60),1),2) + 1</f>
        <v>2</v>
      </c>
      <c r="G60" s="10"/>
      <c r="H60" s="30" t="n">
        <v>2500</v>
      </c>
      <c r="I60" s="31" t="s">
        <v>15</v>
      </c>
      <c r="J60" s="31" t="s">
        <v>32</v>
      </c>
      <c r="K60" s="12"/>
      <c r="L60" s="9"/>
      <c r="M60" s="10" t="str">
        <f aca="false">VLOOKUP(J60,RECATALOGANDO!A:C,2,0)</f>
        <v>TRANSFERENCIA ENTRE CUENTAS</v>
      </c>
      <c r="N60" s="12" t="str">
        <f aca="false">VLOOKUP(M60,RECATALOGANDO!B:C,2,0)</f>
        <v>TRANSFERENCIAS</v>
      </c>
      <c r="O60" s="2" t="s">
        <v>31</v>
      </c>
    </row>
    <row r="61" customFormat="false" ht="13.8" hidden="false" customHeight="false" outlineLevel="0" collapsed="false">
      <c r="A61" s="29" t="n">
        <v>45133</v>
      </c>
      <c r="B61" s="9" t="n">
        <f aca="false">DAY(A61)</f>
        <v>26</v>
      </c>
      <c r="C61" s="9" t="n">
        <f aca="false">MONTH(A61)</f>
        <v>7</v>
      </c>
      <c r="D61" s="9" t="n">
        <f aca="false">YEAR(A61)</f>
        <v>2023</v>
      </c>
      <c r="E61" s="9" t="n">
        <f aca="false">WEEKDAY(A61,2)</f>
        <v>3</v>
      </c>
      <c r="F61" s="10" t="n">
        <f aca="false">WEEKNUM(A61,2) - WEEKNUM(DATE(YEAR(A61),MONTH(A61),1),2) + 1</f>
        <v>5</v>
      </c>
      <c r="G61" s="10"/>
      <c r="H61" s="30" t="n">
        <v>5000</v>
      </c>
      <c r="I61" s="31" t="s">
        <v>20</v>
      </c>
      <c r="J61" s="31" t="s">
        <v>32</v>
      </c>
      <c r="K61" s="12"/>
      <c r="L61" s="9"/>
      <c r="M61" s="10" t="str">
        <f aca="false">VLOOKUP(J61,RECATALOGANDO!A:C,2,0)</f>
        <v>TRANSFERENCIA ENTRE CUENTAS</v>
      </c>
      <c r="N61" s="12" t="str">
        <f aca="false">VLOOKUP(M61,RECATALOGANDO!B:C,2,0)</f>
        <v>TRANSFERENCIAS</v>
      </c>
      <c r="O61" s="2" t="s">
        <v>31</v>
      </c>
    </row>
    <row r="62" customFormat="false" ht="13.8" hidden="false" customHeight="false" outlineLevel="0" collapsed="false">
      <c r="A62" s="29" t="n">
        <v>45180</v>
      </c>
      <c r="B62" s="9" t="n">
        <f aca="false">DAY(A62)</f>
        <v>11</v>
      </c>
      <c r="C62" s="9" t="n">
        <f aca="false">MONTH(A62)</f>
        <v>9</v>
      </c>
      <c r="D62" s="9" t="n">
        <f aca="false">YEAR(A62)</f>
        <v>2023</v>
      </c>
      <c r="E62" s="9" t="n">
        <f aca="false">WEEKDAY(A62,2)</f>
        <v>1</v>
      </c>
      <c r="F62" s="10" t="n">
        <f aca="false">WEEKNUM(A62,2) - WEEKNUM(DATE(YEAR(A62),MONTH(A62),1),2) + 1</f>
        <v>3</v>
      </c>
      <c r="G62" s="10"/>
      <c r="H62" s="30" t="n">
        <v>400</v>
      </c>
      <c r="I62" s="31" t="s">
        <v>20</v>
      </c>
      <c r="J62" s="31" t="s">
        <v>32</v>
      </c>
      <c r="K62" s="12"/>
      <c r="L62" s="9"/>
      <c r="M62" s="10" t="str">
        <f aca="false">VLOOKUP(J62,RECATALOGANDO!A:C,2,0)</f>
        <v>TRANSFERENCIA ENTRE CUENTAS</v>
      </c>
      <c r="N62" s="12" t="str">
        <f aca="false">VLOOKUP(M62,RECATALOGANDO!B:C,2,0)</f>
        <v>TRANSFERENCIAS</v>
      </c>
      <c r="O62" s="2" t="s">
        <v>31</v>
      </c>
    </row>
    <row r="63" customFormat="false" ht="13.8" hidden="false" customHeight="false" outlineLevel="0" collapsed="false">
      <c r="A63" s="29" t="n">
        <v>45183</v>
      </c>
      <c r="B63" s="9" t="n">
        <f aca="false">DAY(A63)</f>
        <v>14</v>
      </c>
      <c r="C63" s="9" t="n">
        <f aca="false">MONTH(A63)</f>
        <v>9</v>
      </c>
      <c r="D63" s="9" t="n">
        <f aca="false">YEAR(A63)</f>
        <v>2023</v>
      </c>
      <c r="E63" s="9" t="n">
        <f aca="false">WEEKDAY(A63,2)</f>
        <v>4</v>
      </c>
      <c r="F63" s="10" t="n">
        <f aca="false">WEEKNUM(A63,2) - WEEKNUM(DATE(YEAR(A63),MONTH(A63),1),2) + 1</f>
        <v>3</v>
      </c>
      <c r="G63" s="10"/>
      <c r="H63" s="30" t="n">
        <v>1800</v>
      </c>
      <c r="I63" s="31" t="s">
        <v>20</v>
      </c>
      <c r="J63" s="31" t="s">
        <v>32</v>
      </c>
      <c r="K63" s="12"/>
      <c r="L63" s="9"/>
      <c r="M63" s="10" t="str">
        <f aca="false">VLOOKUP(J63,RECATALOGANDO!A:C,2,0)</f>
        <v>TRANSFERENCIA ENTRE CUENTAS</v>
      </c>
      <c r="N63" s="12" t="str">
        <f aca="false">VLOOKUP(M63,RECATALOGANDO!B:C,2,0)</f>
        <v>TRANSFERENCIAS</v>
      </c>
      <c r="O63" s="2" t="s">
        <v>31</v>
      </c>
    </row>
    <row r="64" customFormat="false" ht="13.8" hidden="false" customHeight="false" outlineLevel="0" collapsed="false">
      <c r="A64" s="29" t="n">
        <v>45188</v>
      </c>
      <c r="B64" s="9" t="n">
        <f aca="false">DAY(A64)</f>
        <v>19</v>
      </c>
      <c r="C64" s="9" t="n">
        <f aca="false">MONTH(A64)</f>
        <v>9</v>
      </c>
      <c r="D64" s="9" t="n">
        <f aca="false">YEAR(A64)</f>
        <v>2023</v>
      </c>
      <c r="E64" s="9" t="n">
        <f aca="false">WEEKDAY(A64,2)</f>
        <v>2</v>
      </c>
      <c r="F64" s="10" t="n">
        <f aca="false">WEEKNUM(A64,2) - WEEKNUM(DATE(YEAR(A64),MONTH(A64),1),2) + 1</f>
        <v>4</v>
      </c>
      <c r="G64" s="10"/>
      <c r="H64" s="30" t="n">
        <v>5330</v>
      </c>
      <c r="I64" s="31" t="s">
        <v>15</v>
      </c>
      <c r="J64" s="31" t="s">
        <v>32</v>
      </c>
      <c r="K64" s="12"/>
      <c r="L64" s="9"/>
      <c r="M64" s="10" t="str">
        <f aca="false">VLOOKUP(J64,RECATALOGANDO!A:C,2,0)</f>
        <v>TRANSFERENCIA ENTRE CUENTAS</v>
      </c>
      <c r="N64" s="12" t="str">
        <f aca="false">VLOOKUP(M64,RECATALOGANDO!B:C,2,0)</f>
        <v>TRANSFERENCIAS</v>
      </c>
      <c r="O64" s="2" t="s">
        <v>31</v>
      </c>
    </row>
    <row r="65" customFormat="false" ht="13.8" hidden="false" customHeight="false" outlineLevel="0" collapsed="false">
      <c r="A65" s="29" t="n">
        <v>45191</v>
      </c>
      <c r="B65" s="9" t="n">
        <f aca="false">DAY(A65)</f>
        <v>22</v>
      </c>
      <c r="C65" s="9" t="n">
        <f aca="false">MONTH(A65)</f>
        <v>9</v>
      </c>
      <c r="D65" s="9" t="n">
        <f aca="false">YEAR(A65)</f>
        <v>2023</v>
      </c>
      <c r="E65" s="9" t="n">
        <f aca="false">WEEKDAY(A65,2)</f>
        <v>5</v>
      </c>
      <c r="F65" s="10" t="n">
        <f aca="false">WEEKNUM(A65,2) - WEEKNUM(DATE(YEAR(A65),MONTH(A65),1),2) + 1</f>
        <v>4</v>
      </c>
      <c r="G65" s="10"/>
      <c r="H65" s="30" t="n">
        <v>4800</v>
      </c>
      <c r="I65" s="31" t="s">
        <v>15</v>
      </c>
      <c r="J65" s="31" t="s">
        <v>32</v>
      </c>
      <c r="K65" s="12"/>
      <c r="L65" s="9"/>
      <c r="M65" s="10" t="str">
        <f aca="false">VLOOKUP(J65,RECATALOGANDO!A:C,2,0)</f>
        <v>TRANSFERENCIA ENTRE CUENTAS</v>
      </c>
      <c r="N65" s="12" t="str">
        <f aca="false">VLOOKUP(M65,RECATALOGANDO!B:C,2,0)</f>
        <v>TRANSFERENCIAS</v>
      </c>
      <c r="O65" s="2" t="s">
        <v>31</v>
      </c>
    </row>
    <row r="66" customFormat="false" ht="13.8" hidden="false" customHeight="false" outlineLevel="0" collapsed="false">
      <c r="A66" s="29" t="n">
        <v>45191</v>
      </c>
      <c r="B66" s="9" t="n">
        <f aca="false">DAY(A66)</f>
        <v>22</v>
      </c>
      <c r="C66" s="9" t="n">
        <f aca="false">MONTH(A66)</f>
        <v>9</v>
      </c>
      <c r="D66" s="9" t="n">
        <f aca="false">YEAR(A66)</f>
        <v>2023</v>
      </c>
      <c r="E66" s="9" t="n">
        <f aca="false">WEEKDAY(A66,2)</f>
        <v>5</v>
      </c>
      <c r="F66" s="10" t="n">
        <f aca="false">WEEKNUM(A66,2) - WEEKNUM(DATE(YEAR(A66),MONTH(A66),1),2) + 1</f>
        <v>4</v>
      </c>
      <c r="G66" s="10"/>
      <c r="H66" s="30" t="n">
        <v>5000</v>
      </c>
      <c r="I66" s="31" t="s">
        <v>15</v>
      </c>
      <c r="J66" s="31" t="s">
        <v>32</v>
      </c>
      <c r="K66" s="12"/>
      <c r="L66" s="9"/>
      <c r="M66" s="10" t="str">
        <f aca="false">VLOOKUP(J66,RECATALOGANDO!A:C,2,0)</f>
        <v>TRANSFERENCIA ENTRE CUENTAS</v>
      </c>
      <c r="N66" s="12" t="str">
        <f aca="false">VLOOKUP(M66,RECATALOGANDO!B:C,2,0)</f>
        <v>TRANSFERENCIAS</v>
      </c>
      <c r="O66" s="2" t="s">
        <v>31</v>
      </c>
    </row>
    <row r="67" customFormat="false" ht="13.8" hidden="false" customHeight="false" outlineLevel="0" collapsed="false">
      <c r="A67" s="29" t="n">
        <v>45194</v>
      </c>
      <c r="B67" s="9" t="n">
        <f aca="false">DAY(A67)</f>
        <v>25</v>
      </c>
      <c r="C67" s="9" t="n">
        <f aca="false">MONTH(A67)</f>
        <v>9</v>
      </c>
      <c r="D67" s="9" t="n">
        <f aca="false">YEAR(A67)</f>
        <v>2023</v>
      </c>
      <c r="E67" s="9" t="n">
        <f aca="false">WEEKDAY(A67,2)</f>
        <v>1</v>
      </c>
      <c r="F67" s="10" t="n">
        <f aca="false">WEEKNUM(A67,2) - WEEKNUM(DATE(YEAR(A67),MONTH(A67),1),2) + 1</f>
        <v>5</v>
      </c>
      <c r="G67" s="10"/>
      <c r="H67" s="30" t="n">
        <v>500</v>
      </c>
      <c r="I67" s="31" t="s">
        <v>20</v>
      </c>
      <c r="J67" s="31" t="s">
        <v>32</v>
      </c>
      <c r="K67" s="12"/>
      <c r="L67" s="9"/>
      <c r="M67" s="10" t="str">
        <f aca="false">VLOOKUP(J67,RECATALOGANDO!A:C,2,0)</f>
        <v>TRANSFERENCIA ENTRE CUENTAS</v>
      </c>
      <c r="N67" s="12" t="str">
        <f aca="false">VLOOKUP(M67,RECATALOGANDO!B:C,2,0)</f>
        <v>TRANSFERENCIAS</v>
      </c>
      <c r="O67" s="2" t="s">
        <v>31</v>
      </c>
    </row>
    <row r="68" customFormat="false" ht="13.8" hidden="false" customHeight="false" outlineLevel="0" collapsed="false">
      <c r="A68" s="32" t="n">
        <v>45200</v>
      </c>
      <c r="B68" s="9" t="n">
        <f aca="false">DAY(A68)</f>
        <v>1</v>
      </c>
      <c r="C68" s="9" t="n">
        <f aca="false">MONTH(A68)</f>
        <v>10</v>
      </c>
      <c r="D68" s="9" t="n">
        <f aca="false">YEAR(A68)</f>
        <v>2023</v>
      </c>
      <c r="E68" s="9" t="n">
        <f aca="false">WEEKDAY(A68,2)</f>
        <v>7</v>
      </c>
      <c r="F68" s="10" t="n">
        <f aca="false">WEEKNUM(A68,2) - WEEKNUM(DATE(YEAR(A68),MONTH(A68),1),2) + 1</f>
        <v>1</v>
      </c>
      <c r="G68" s="10"/>
      <c r="H68" s="33" t="n">
        <v>1000</v>
      </c>
      <c r="I68" s="34" t="s">
        <v>15</v>
      </c>
      <c r="J68" s="34" t="s">
        <v>33</v>
      </c>
      <c r="K68" s="12"/>
      <c r="L68" s="9"/>
      <c r="M68" s="10" t="str">
        <f aca="false">VLOOKUP(J68,RECATALOGANDO!A:C,2,0)</f>
        <v>TRANSFERENCIA FAMILIAR</v>
      </c>
      <c r="N68" s="12" t="str">
        <f aca="false">VLOOKUP(M68,RECATALOGANDO!B:C,2,0)</f>
        <v>TRANSFERENCIAS</v>
      </c>
      <c r="O68" s="2" t="s">
        <v>31</v>
      </c>
    </row>
    <row r="69" customFormat="false" ht="13.8" hidden="false" customHeight="false" outlineLevel="0" collapsed="false">
      <c r="A69" s="29" t="n">
        <v>45201</v>
      </c>
      <c r="B69" s="9" t="n">
        <f aca="false">DAY(A69)</f>
        <v>2</v>
      </c>
      <c r="C69" s="9" t="n">
        <f aca="false">MONTH(A69)</f>
        <v>10</v>
      </c>
      <c r="D69" s="9" t="n">
        <f aca="false">YEAR(A69)</f>
        <v>2023</v>
      </c>
      <c r="E69" s="9" t="n">
        <f aca="false">WEEKDAY(A69,2)</f>
        <v>1</v>
      </c>
      <c r="F69" s="10" t="n">
        <f aca="false">WEEKNUM(A69,2) - WEEKNUM(DATE(YEAR(A69),MONTH(A69),1),2) + 1</f>
        <v>2</v>
      </c>
      <c r="G69" s="10"/>
      <c r="H69" s="30" t="n">
        <v>300</v>
      </c>
      <c r="I69" s="31" t="s">
        <v>20</v>
      </c>
      <c r="J69" s="31" t="s">
        <v>32</v>
      </c>
      <c r="K69" s="12"/>
      <c r="L69" s="9"/>
      <c r="M69" s="10" t="str">
        <f aca="false">VLOOKUP(J69,RECATALOGANDO!A:C,2,0)</f>
        <v>TRANSFERENCIA ENTRE CUENTAS</v>
      </c>
      <c r="N69" s="12" t="str">
        <f aca="false">VLOOKUP(M69,RECATALOGANDO!B:C,2,0)</f>
        <v>TRANSFERENCIAS</v>
      </c>
      <c r="O69" s="2" t="s">
        <v>31</v>
      </c>
    </row>
    <row r="70" customFormat="false" ht="13.8" hidden="false" customHeight="false" outlineLevel="0" collapsed="false">
      <c r="A70" s="32" t="n">
        <v>45203</v>
      </c>
      <c r="B70" s="9" t="n">
        <f aca="false">DAY(A70)</f>
        <v>4</v>
      </c>
      <c r="C70" s="9" t="n">
        <f aca="false">MONTH(A70)</f>
        <v>10</v>
      </c>
      <c r="D70" s="9" t="n">
        <f aca="false">YEAR(A70)</f>
        <v>2023</v>
      </c>
      <c r="E70" s="9" t="n">
        <f aca="false">WEEKDAY(A70,2)</f>
        <v>3</v>
      </c>
      <c r="F70" s="10" t="n">
        <f aca="false">WEEKNUM(A70,2) - WEEKNUM(DATE(YEAR(A70),MONTH(A70),1),2) + 1</f>
        <v>2</v>
      </c>
      <c r="G70" s="10"/>
      <c r="H70" s="33" t="n">
        <v>660</v>
      </c>
      <c r="I70" s="34" t="s">
        <v>15</v>
      </c>
      <c r="J70" s="34" t="s">
        <v>33</v>
      </c>
      <c r="K70" s="12"/>
      <c r="L70" s="9"/>
      <c r="M70" s="10" t="str">
        <f aca="false">VLOOKUP(J70,RECATALOGANDO!A:C,2,0)</f>
        <v>TRANSFERENCIA FAMILIAR</v>
      </c>
      <c r="N70" s="12" t="str">
        <f aca="false">VLOOKUP(M70,RECATALOGANDO!B:C,2,0)</f>
        <v>TRANSFERENCIAS</v>
      </c>
      <c r="O70" s="2" t="s">
        <v>31</v>
      </c>
    </row>
    <row r="71" customFormat="false" ht="13.8" hidden="false" customHeight="false" outlineLevel="0" collapsed="false">
      <c r="A71" s="32" t="n">
        <v>45203</v>
      </c>
      <c r="B71" s="9" t="n">
        <f aca="false">DAY(A71)</f>
        <v>4</v>
      </c>
      <c r="C71" s="9" t="n">
        <f aca="false">MONTH(A71)</f>
        <v>10</v>
      </c>
      <c r="D71" s="9" t="n">
        <f aca="false">YEAR(A71)</f>
        <v>2023</v>
      </c>
      <c r="E71" s="9" t="n">
        <f aca="false">WEEKDAY(A71,2)</f>
        <v>3</v>
      </c>
      <c r="F71" s="10" t="n">
        <f aca="false">WEEKNUM(A71,2) - WEEKNUM(DATE(YEAR(A71),MONTH(A71),1),2) + 1</f>
        <v>2</v>
      </c>
      <c r="G71" s="10"/>
      <c r="H71" s="33" t="n">
        <v>2500</v>
      </c>
      <c r="I71" s="34" t="s">
        <v>15</v>
      </c>
      <c r="J71" s="34" t="s">
        <v>33</v>
      </c>
      <c r="K71" s="12"/>
      <c r="L71" s="9"/>
      <c r="M71" s="10" t="str">
        <f aca="false">VLOOKUP(J71,RECATALOGANDO!A:C,2,0)</f>
        <v>TRANSFERENCIA FAMILIAR</v>
      </c>
      <c r="N71" s="12" t="str">
        <f aca="false">VLOOKUP(M71,RECATALOGANDO!B:C,2,0)</f>
        <v>TRANSFERENCIAS</v>
      </c>
      <c r="O71" s="2" t="s">
        <v>31</v>
      </c>
    </row>
    <row r="72" customFormat="false" ht="13.8" hidden="false" customHeight="false" outlineLevel="0" collapsed="false">
      <c r="A72" s="29" t="n">
        <v>45217</v>
      </c>
      <c r="B72" s="9" t="n">
        <f aca="false">DAY(A72)</f>
        <v>18</v>
      </c>
      <c r="C72" s="9" t="n">
        <f aca="false">MONTH(A72)</f>
        <v>10</v>
      </c>
      <c r="D72" s="9" t="n">
        <f aca="false">YEAR(A72)</f>
        <v>2023</v>
      </c>
      <c r="E72" s="9" t="n">
        <f aca="false">WEEKDAY(A72,2)</f>
        <v>3</v>
      </c>
      <c r="F72" s="10" t="n">
        <f aca="false">WEEKNUM(A72,2) - WEEKNUM(DATE(YEAR(A72),MONTH(A72),1),2) + 1</f>
        <v>4</v>
      </c>
      <c r="G72" s="10"/>
      <c r="H72" s="30" t="n">
        <v>2100</v>
      </c>
      <c r="I72" s="31" t="s">
        <v>20</v>
      </c>
      <c r="J72" s="31" t="s">
        <v>32</v>
      </c>
      <c r="K72" s="12"/>
      <c r="L72" s="9"/>
      <c r="M72" s="10" t="str">
        <f aca="false">VLOOKUP(J72,RECATALOGANDO!A:C,2,0)</f>
        <v>TRANSFERENCIA ENTRE CUENTAS</v>
      </c>
      <c r="N72" s="12" t="str">
        <f aca="false">VLOOKUP(M72,RECATALOGANDO!B:C,2,0)</f>
        <v>TRANSFERENCIAS</v>
      </c>
      <c r="O72" s="2" t="s">
        <v>31</v>
      </c>
    </row>
    <row r="73" customFormat="false" ht="13.8" hidden="false" customHeight="false" outlineLevel="0" collapsed="false">
      <c r="A73" s="29" t="n">
        <v>45229</v>
      </c>
      <c r="B73" s="9" t="n">
        <f aca="false">DAY(A73)</f>
        <v>30</v>
      </c>
      <c r="C73" s="9" t="n">
        <f aca="false">MONTH(A73)</f>
        <v>10</v>
      </c>
      <c r="D73" s="9" t="n">
        <f aca="false">YEAR(A73)</f>
        <v>2023</v>
      </c>
      <c r="E73" s="9" t="n">
        <f aca="false">WEEKDAY(A73,2)</f>
        <v>1</v>
      </c>
      <c r="F73" s="10" t="n">
        <f aca="false">WEEKNUM(A73,2) - WEEKNUM(DATE(YEAR(A73),MONTH(A73),1),2) + 1</f>
        <v>6</v>
      </c>
      <c r="G73" s="10" t="n">
        <v>2</v>
      </c>
      <c r="H73" s="30" t="n">
        <v>565</v>
      </c>
      <c r="I73" s="31" t="s">
        <v>20</v>
      </c>
      <c r="J73" s="31" t="s">
        <v>32</v>
      </c>
      <c r="K73" s="12"/>
      <c r="L73" s="9"/>
      <c r="M73" s="10" t="str">
        <f aca="false">VLOOKUP(J73,RECATALOGANDO!A:C,2,0)</f>
        <v>TRANSFERENCIA ENTRE CUENTAS</v>
      </c>
      <c r="N73" s="12" t="str">
        <f aca="false">VLOOKUP(M73,RECATALOGANDO!B:C,2,0)</f>
        <v>TRANSFERENCIAS</v>
      </c>
      <c r="O73" s="2" t="s">
        <v>31</v>
      </c>
    </row>
    <row r="74" customFormat="false" ht="13.8" hidden="false" customHeight="false" outlineLevel="0" collapsed="false">
      <c r="A74" s="35" t="n">
        <v>45237</v>
      </c>
      <c r="B74" s="9" t="n">
        <f aca="false">DAY(A74)</f>
        <v>7</v>
      </c>
      <c r="C74" s="9" t="n">
        <f aca="false">MONTH(A74)</f>
        <v>11</v>
      </c>
      <c r="D74" s="9" t="n">
        <f aca="false">YEAR(A74)</f>
        <v>2023</v>
      </c>
      <c r="E74" s="9" t="n">
        <f aca="false">WEEKDAY(A74,2)</f>
        <v>2</v>
      </c>
      <c r="F74" s="10" t="n">
        <f aca="false">WEEKNUM(A74,2) - WEEKNUM(DATE(YEAR(A74),MONTH(A74),1),2) + 1</f>
        <v>2</v>
      </c>
      <c r="G74" s="10"/>
      <c r="H74" s="36" t="n">
        <v>2375</v>
      </c>
      <c r="I74" s="37" t="s">
        <v>15</v>
      </c>
      <c r="J74" s="37" t="s">
        <v>34</v>
      </c>
      <c r="K74" s="12"/>
      <c r="L74" s="9"/>
      <c r="M74" s="10" t="str">
        <f aca="false">VLOOKUP(J74,RECATALOGANDO!A:C,2,0)</f>
        <v>TRANSFERENCIA FAMILIAR</v>
      </c>
      <c r="N74" s="12" t="str">
        <f aca="false">VLOOKUP(M74,RECATALOGANDO!B:C,2,0)</f>
        <v>TRANSFERENCIAS</v>
      </c>
      <c r="O74" s="2" t="s">
        <v>31</v>
      </c>
    </row>
    <row r="75" customFormat="false" ht="13.8" hidden="false" customHeight="false" outlineLevel="0" collapsed="false">
      <c r="A75" s="29" t="n">
        <v>45251</v>
      </c>
      <c r="B75" s="9" t="n">
        <f aca="false">DAY(A75)</f>
        <v>21</v>
      </c>
      <c r="C75" s="9" t="n">
        <f aca="false">MONTH(A75)</f>
        <v>11</v>
      </c>
      <c r="D75" s="9" t="n">
        <f aca="false">YEAR(A75)</f>
        <v>2023</v>
      </c>
      <c r="E75" s="9" t="n">
        <f aca="false">WEEKDAY(A75,2)</f>
        <v>2</v>
      </c>
      <c r="F75" s="10" t="n">
        <f aca="false">WEEKNUM(A75,2) - WEEKNUM(DATE(YEAR(A75),MONTH(A75),1),2) + 1</f>
        <v>4</v>
      </c>
      <c r="G75" s="10"/>
      <c r="H75" s="30" t="n">
        <v>300</v>
      </c>
      <c r="I75" s="31" t="s">
        <v>20</v>
      </c>
      <c r="J75" s="31" t="s">
        <v>32</v>
      </c>
      <c r="K75" s="12"/>
      <c r="L75" s="9"/>
      <c r="M75" s="10" t="str">
        <f aca="false">VLOOKUP(J75,RECATALOGANDO!A:C,2,0)</f>
        <v>TRANSFERENCIA ENTRE CUENTAS</v>
      </c>
      <c r="N75" s="12" t="str">
        <f aca="false">VLOOKUP(M75,RECATALOGANDO!B:C,2,0)</f>
        <v>TRANSFERENCIAS</v>
      </c>
      <c r="O75" s="2" t="s">
        <v>31</v>
      </c>
    </row>
    <row r="76" customFormat="false" ht="13.8" hidden="false" customHeight="false" outlineLevel="0" collapsed="false">
      <c r="A76" s="29" t="n">
        <v>45252</v>
      </c>
      <c r="B76" s="9" t="n">
        <f aca="false">DAY(A76)</f>
        <v>22</v>
      </c>
      <c r="C76" s="9" t="n">
        <f aca="false">MONTH(A76)</f>
        <v>11</v>
      </c>
      <c r="D76" s="9" t="n">
        <f aca="false">YEAR(A76)</f>
        <v>2023</v>
      </c>
      <c r="E76" s="9" t="n">
        <f aca="false">WEEKDAY(A76,2)</f>
        <v>3</v>
      </c>
      <c r="F76" s="10" t="n">
        <f aca="false">WEEKNUM(A76,2) - WEEKNUM(DATE(YEAR(A76),MONTH(A76),1),2) + 1</f>
        <v>4</v>
      </c>
      <c r="G76" s="10"/>
      <c r="H76" s="30" t="n">
        <v>1000</v>
      </c>
      <c r="I76" s="31" t="s">
        <v>20</v>
      </c>
      <c r="J76" s="31" t="s">
        <v>32</v>
      </c>
      <c r="K76" s="12"/>
      <c r="L76" s="9"/>
      <c r="M76" s="10" t="str">
        <f aca="false">VLOOKUP(J76,RECATALOGANDO!A:C,2,0)</f>
        <v>TRANSFERENCIA ENTRE CUENTAS</v>
      </c>
      <c r="N76" s="12" t="str">
        <f aca="false">VLOOKUP(M76,RECATALOGANDO!B:C,2,0)</f>
        <v>TRANSFERENCIAS</v>
      </c>
      <c r="O76" s="2" t="s">
        <v>31</v>
      </c>
    </row>
    <row r="77" customFormat="false" ht="13.8" hidden="false" customHeight="false" outlineLevel="0" collapsed="false">
      <c r="A77" s="29" t="n">
        <v>45253</v>
      </c>
      <c r="B77" s="9" t="n">
        <f aca="false">DAY(A77)</f>
        <v>23</v>
      </c>
      <c r="C77" s="9" t="n">
        <f aca="false">MONTH(A77)</f>
        <v>11</v>
      </c>
      <c r="D77" s="9" t="n">
        <f aca="false">YEAR(A77)</f>
        <v>2023</v>
      </c>
      <c r="E77" s="9" t="n">
        <f aca="false">WEEKDAY(A77,2)</f>
        <v>4</v>
      </c>
      <c r="F77" s="10" t="n">
        <f aca="false">WEEKNUM(A77,2) - WEEKNUM(DATE(YEAR(A77),MONTH(A77),1),2) + 1</f>
        <v>4</v>
      </c>
      <c r="G77" s="10"/>
      <c r="H77" s="30" t="n">
        <v>300</v>
      </c>
      <c r="I77" s="31" t="s">
        <v>20</v>
      </c>
      <c r="J77" s="31" t="s">
        <v>32</v>
      </c>
      <c r="K77" s="12"/>
      <c r="L77" s="9"/>
      <c r="M77" s="10" t="str">
        <f aca="false">VLOOKUP(J77,RECATALOGANDO!A:C,2,0)</f>
        <v>TRANSFERENCIA ENTRE CUENTAS</v>
      </c>
      <c r="N77" s="12" t="str">
        <f aca="false">VLOOKUP(M77,RECATALOGANDO!B:C,2,0)</f>
        <v>TRANSFERENCIAS</v>
      </c>
      <c r="O77" s="2" t="s">
        <v>31</v>
      </c>
    </row>
    <row r="78" customFormat="false" ht="13.8" hidden="false" customHeight="false" outlineLevel="0" collapsed="false">
      <c r="A78" s="29" t="n">
        <v>45253</v>
      </c>
      <c r="B78" s="9" t="n">
        <f aca="false">DAY(A78)</f>
        <v>23</v>
      </c>
      <c r="C78" s="9" t="n">
        <f aca="false">MONTH(A78)</f>
        <v>11</v>
      </c>
      <c r="D78" s="9" t="n">
        <f aca="false">YEAR(A78)</f>
        <v>2023</v>
      </c>
      <c r="E78" s="9" t="n">
        <f aca="false">WEEKDAY(A78,2)</f>
        <v>4</v>
      </c>
      <c r="F78" s="10" t="n">
        <f aca="false">WEEKNUM(A78,2) - WEEKNUM(DATE(YEAR(A78),MONTH(A78),1),2) + 1</f>
        <v>4</v>
      </c>
      <c r="G78" s="10"/>
      <c r="H78" s="30" t="n">
        <v>950</v>
      </c>
      <c r="I78" s="31" t="s">
        <v>20</v>
      </c>
      <c r="J78" s="31" t="s">
        <v>32</v>
      </c>
      <c r="K78" s="12"/>
      <c r="L78" s="9"/>
      <c r="M78" s="10" t="str">
        <f aca="false">VLOOKUP(J78,RECATALOGANDO!A:C,2,0)</f>
        <v>TRANSFERENCIA ENTRE CUENTAS</v>
      </c>
      <c r="N78" s="12" t="str">
        <f aca="false">VLOOKUP(M78,RECATALOGANDO!B:C,2,0)</f>
        <v>TRANSFERENCIAS</v>
      </c>
      <c r="O78" s="2" t="s">
        <v>31</v>
      </c>
    </row>
    <row r="79" customFormat="false" ht="13.8" hidden="false" customHeight="false" outlineLevel="0" collapsed="false">
      <c r="A79" s="29" t="n">
        <v>45269</v>
      </c>
      <c r="B79" s="9" t="n">
        <f aca="false">DAY(A79)</f>
        <v>9</v>
      </c>
      <c r="C79" s="9" t="n">
        <f aca="false">MONTH(A79)</f>
        <v>12</v>
      </c>
      <c r="D79" s="9" t="n">
        <f aca="false">YEAR(A79)</f>
        <v>2023</v>
      </c>
      <c r="E79" s="9" t="n">
        <f aca="false">WEEKDAY(A79,2)</f>
        <v>6</v>
      </c>
      <c r="F79" s="10" t="n">
        <f aca="false">WEEKNUM(A79,2) - WEEKNUM(DATE(YEAR(A79),MONTH(A79),1),2) + 1</f>
        <v>2</v>
      </c>
      <c r="G79" s="10"/>
      <c r="H79" s="30" t="n">
        <v>800</v>
      </c>
      <c r="I79" s="31" t="s">
        <v>15</v>
      </c>
      <c r="J79" s="31" t="s">
        <v>32</v>
      </c>
      <c r="K79" s="12"/>
      <c r="L79" s="9"/>
      <c r="M79" s="10" t="str">
        <f aca="false">VLOOKUP(J79,RECATALOGANDO!A:C,2,0)</f>
        <v>TRANSFERENCIA ENTRE CUENTAS</v>
      </c>
      <c r="N79" s="12" t="str">
        <f aca="false">VLOOKUP(M79,RECATALOGANDO!B:C,2,0)</f>
        <v>TRANSFERENCIAS</v>
      </c>
      <c r="O79" s="2" t="s">
        <v>31</v>
      </c>
    </row>
    <row r="80" customFormat="false" ht="13.8" hidden="false" customHeight="false" outlineLevel="0" collapsed="false">
      <c r="A80" s="29" t="n">
        <v>45269</v>
      </c>
      <c r="B80" s="9" t="n">
        <f aca="false">DAY(A80)</f>
        <v>9</v>
      </c>
      <c r="C80" s="9" t="n">
        <f aca="false">MONTH(A80)</f>
        <v>12</v>
      </c>
      <c r="D80" s="9" t="n">
        <f aca="false">YEAR(A80)</f>
        <v>2023</v>
      </c>
      <c r="E80" s="9" t="n">
        <f aca="false">WEEKDAY(A80,2)</f>
        <v>6</v>
      </c>
      <c r="F80" s="10" t="n">
        <f aca="false">WEEKNUM(A80,2) - WEEKNUM(DATE(YEAR(A80),MONTH(A80),1),2) + 1</f>
        <v>2</v>
      </c>
      <c r="G80" s="10"/>
      <c r="H80" s="30" t="n">
        <v>3000</v>
      </c>
      <c r="I80" s="31" t="s">
        <v>15</v>
      </c>
      <c r="J80" s="31" t="s">
        <v>32</v>
      </c>
      <c r="K80" s="12"/>
      <c r="L80" s="9"/>
      <c r="M80" s="10" t="str">
        <f aca="false">VLOOKUP(J80,RECATALOGANDO!A:C,2,0)</f>
        <v>TRANSFERENCIA ENTRE CUENTAS</v>
      </c>
      <c r="N80" s="12" t="str">
        <f aca="false">VLOOKUP(M80,RECATALOGANDO!B:C,2,0)</f>
        <v>TRANSFERENCIAS</v>
      </c>
      <c r="O80" s="2" t="s">
        <v>31</v>
      </c>
    </row>
    <row r="81" customFormat="false" ht="13.8" hidden="false" customHeight="false" outlineLevel="0" collapsed="false">
      <c r="A81" s="35" t="n">
        <v>45271</v>
      </c>
      <c r="B81" s="9" t="n">
        <f aca="false">DAY(A81)</f>
        <v>11</v>
      </c>
      <c r="C81" s="9" t="n">
        <f aca="false">MONTH(A81)</f>
        <v>12</v>
      </c>
      <c r="D81" s="9" t="n">
        <f aca="false">YEAR(A81)</f>
        <v>2023</v>
      </c>
      <c r="E81" s="9" t="n">
        <f aca="false">WEEKDAY(A81,2)</f>
        <v>1</v>
      </c>
      <c r="F81" s="10" t="n">
        <f aca="false">WEEKNUM(A81,2) - WEEKNUM(DATE(YEAR(A81),MONTH(A81),1),2) + 1</f>
        <v>3</v>
      </c>
      <c r="G81" s="10"/>
      <c r="H81" s="36" t="n">
        <v>1000</v>
      </c>
      <c r="I81" s="37" t="s">
        <v>15</v>
      </c>
      <c r="J81" s="37" t="s">
        <v>34</v>
      </c>
      <c r="K81" s="12"/>
      <c r="L81" s="9"/>
      <c r="M81" s="10" t="str">
        <f aca="false">VLOOKUP(J81,RECATALOGANDO!A:C,2,0)</f>
        <v>TRANSFERENCIA FAMILIAR</v>
      </c>
      <c r="N81" s="12" t="str">
        <f aca="false">VLOOKUP(M81,RECATALOGANDO!B:C,2,0)</f>
        <v>TRANSFERENCIAS</v>
      </c>
      <c r="O81" s="2" t="s">
        <v>31</v>
      </c>
    </row>
    <row r="82" customFormat="false" ht="13.8" hidden="false" customHeight="false" outlineLevel="0" collapsed="false">
      <c r="A82" s="35" t="n">
        <v>45274</v>
      </c>
      <c r="B82" s="9" t="n">
        <f aca="false">DAY(A82)</f>
        <v>14</v>
      </c>
      <c r="C82" s="9" t="n">
        <f aca="false">MONTH(A82)</f>
        <v>12</v>
      </c>
      <c r="D82" s="9" t="n">
        <f aca="false">YEAR(A82)</f>
        <v>2023</v>
      </c>
      <c r="E82" s="9" t="n">
        <f aca="false">WEEKDAY(A82,2)</f>
        <v>4</v>
      </c>
      <c r="F82" s="10" t="n">
        <f aca="false">WEEKNUM(A82,2) - WEEKNUM(DATE(YEAR(A82),MONTH(A82),1),2) + 1</f>
        <v>3</v>
      </c>
      <c r="G82" s="10"/>
      <c r="H82" s="36" t="n">
        <v>500</v>
      </c>
      <c r="I82" s="37" t="s">
        <v>15</v>
      </c>
      <c r="J82" s="37" t="s">
        <v>34</v>
      </c>
      <c r="K82" s="12"/>
      <c r="L82" s="9"/>
      <c r="M82" s="10" t="str">
        <f aca="false">VLOOKUP(J82,RECATALOGANDO!A:C,2,0)</f>
        <v>TRANSFERENCIA FAMILIAR</v>
      </c>
      <c r="N82" s="12" t="str">
        <f aca="false">VLOOKUP(M82,RECATALOGANDO!B:C,2,0)</f>
        <v>TRANSFERENCIAS</v>
      </c>
      <c r="O82" s="2" t="s">
        <v>31</v>
      </c>
    </row>
    <row r="83" customFormat="false" ht="13.8" hidden="false" customHeight="false" outlineLevel="0" collapsed="false">
      <c r="A83" s="29" t="n">
        <v>45275</v>
      </c>
      <c r="B83" s="9" t="n">
        <f aca="false">DAY(A83)</f>
        <v>15</v>
      </c>
      <c r="C83" s="9" t="n">
        <f aca="false">MONTH(A83)</f>
        <v>12</v>
      </c>
      <c r="D83" s="9" t="n">
        <f aca="false">YEAR(A83)</f>
        <v>2023</v>
      </c>
      <c r="E83" s="9" t="n">
        <f aca="false">WEEKDAY(A83,2)</f>
        <v>5</v>
      </c>
      <c r="F83" s="10" t="n">
        <f aca="false">WEEKNUM(A83,2) - WEEKNUM(DATE(YEAR(A83),MONTH(A83),1),2) + 1</f>
        <v>3</v>
      </c>
      <c r="G83" s="10" t="n">
        <v>1</v>
      </c>
      <c r="H83" s="30" t="n">
        <v>800</v>
      </c>
      <c r="I83" s="31" t="s">
        <v>15</v>
      </c>
      <c r="J83" s="31" t="s">
        <v>32</v>
      </c>
      <c r="K83" s="12"/>
      <c r="L83" s="9"/>
      <c r="M83" s="10" t="str">
        <f aca="false">VLOOKUP(J83,RECATALOGANDO!A:C,2,0)</f>
        <v>TRANSFERENCIA ENTRE CUENTAS</v>
      </c>
      <c r="N83" s="12" t="str">
        <f aca="false">VLOOKUP(M83,RECATALOGANDO!B:C,2,0)</f>
        <v>TRANSFERENCIAS</v>
      </c>
      <c r="O83" s="2" t="s">
        <v>31</v>
      </c>
    </row>
    <row r="84" customFormat="false" ht="13.8" hidden="false" customHeight="false" outlineLevel="0" collapsed="false">
      <c r="A84" s="35" t="n">
        <v>45275</v>
      </c>
      <c r="B84" s="9" t="n">
        <f aca="false">DAY(A84)</f>
        <v>15</v>
      </c>
      <c r="C84" s="9" t="n">
        <f aca="false">MONTH(A84)</f>
        <v>12</v>
      </c>
      <c r="D84" s="9" t="n">
        <f aca="false">YEAR(A84)</f>
        <v>2023</v>
      </c>
      <c r="E84" s="9" t="n">
        <f aca="false">WEEKDAY(A84,2)</f>
        <v>5</v>
      </c>
      <c r="F84" s="10" t="n">
        <f aca="false">WEEKNUM(A84,2) - WEEKNUM(DATE(YEAR(A84),MONTH(A84),1),2) + 1</f>
        <v>3</v>
      </c>
      <c r="G84" s="10" t="n">
        <v>1</v>
      </c>
      <c r="H84" s="36" t="n">
        <v>1600</v>
      </c>
      <c r="I84" s="37" t="s">
        <v>15</v>
      </c>
      <c r="J84" s="37" t="s">
        <v>34</v>
      </c>
      <c r="K84" s="12"/>
      <c r="L84" s="9"/>
      <c r="M84" s="10" t="str">
        <f aca="false">VLOOKUP(J84,RECATALOGANDO!A:C,2,0)</f>
        <v>TRANSFERENCIA FAMILIAR</v>
      </c>
      <c r="N84" s="12" t="str">
        <f aca="false">VLOOKUP(M84,RECATALOGANDO!B:C,2,0)</f>
        <v>TRANSFERENCIAS</v>
      </c>
      <c r="O84" s="2" t="s">
        <v>31</v>
      </c>
    </row>
    <row r="85" customFormat="false" ht="13.8" hidden="false" customHeight="false" outlineLevel="0" collapsed="false">
      <c r="A85" s="35" t="n">
        <v>45276</v>
      </c>
      <c r="B85" s="9" t="n">
        <f aca="false">DAY(A85)</f>
        <v>16</v>
      </c>
      <c r="C85" s="9" t="n">
        <f aca="false">MONTH(A85)</f>
        <v>12</v>
      </c>
      <c r="D85" s="9" t="n">
        <f aca="false">YEAR(A85)</f>
        <v>2023</v>
      </c>
      <c r="E85" s="9" t="n">
        <f aca="false">WEEKDAY(A85,2)</f>
        <v>6</v>
      </c>
      <c r="F85" s="10" t="n">
        <f aca="false">WEEKNUM(A85,2) - WEEKNUM(DATE(YEAR(A85),MONTH(A85),1),2) + 1</f>
        <v>3</v>
      </c>
      <c r="G85" s="10"/>
      <c r="H85" s="36" t="n">
        <v>650</v>
      </c>
      <c r="I85" s="37" t="s">
        <v>15</v>
      </c>
      <c r="J85" s="37" t="s">
        <v>34</v>
      </c>
      <c r="K85" s="12"/>
      <c r="L85" s="9"/>
      <c r="M85" s="10" t="str">
        <f aca="false">VLOOKUP(J85,RECATALOGANDO!A:C,2,0)</f>
        <v>TRANSFERENCIA FAMILIAR</v>
      </c>
      <c r="N85" s="12" t="str">
        <f aca="false">VLOOKUP(M85,RECATALOGANDO!B:C,2,0)</f>
        <v>TRANSFERENCIAS</v>
      </c>
      <c r="O85" s="2" t="s">
        <v>31</v>
      </c>
    </row>
    <row r="86" customFormat="false" ht="13.8" hidden="false" customHeight="false" outlineLevel="0" collapsed="false">
      <c r="A86" s="29" t="n">
        <v>45287</v>
      </c>
      <c r="B86" s="9" t="n">
        <f aca="false">DAY(A86)</f>
        <v>27</v>
      </c>
      <c r="C86" s="9" t="n">
        <f aca="false">MONTH(A86)</f>
        <v>12</v>
      </c>
      <c r="D86" s="9" t="n">
        <f aca="false">YEAR(A86)</f>
        <v>2023</v>
      </c>
      <c r="E86" s="9" t="n">
        <f aca="false">WEEKDAY(A86,2)</f>
        <v>3</v>
      </c>
      <c r="F86" s="10" t="n">
        <f aca="false">WEEKNUM(A86,2) - WEEKNUM(DATE(YEAR(A86),MONTH(A86),1),2) + 1</f>
        <v>5</v>
      </c>
      <c r="G86" s="10"/>
      <c r="H86" s="30" t="n">
        <v>500</v>
      </c>
      <c r="I86" s="31" t="s">
        <v>15</v>
      </c>
      <c r="J86" s="31" t="s">
        <v>32</v>
      </c>
      <c r="K86" s="12"/>
      <c r="L86" s="9"/>
      <c r="M86" s="10" t="str">
        <f aca="false">VLOOKUP(J86,RECATALOGANDO!A:C,2,0)</f>
        <v>TRANSFERENCIA ENTRE CUENTAS</v>
      </c>
      <c r="N86" s="12" t="str">
        <f aca="false">VLOOKUP(M86,RECATALOGANDO!B:C,2,0)</f>
        <v>TRANSFERENCIAS</v>
      </c>
      <c r="O86" s="2" t="s">
        <v>31</v>
      </c>
    </row>
    <row r="87" customFormat="false" ht="13.8" hidden="false" customHeight="false" outlineLevel="0" collapsed="false">
      <c r="A87" s="8" t="n">
        <v>45324</v>
      </c>
      <c r="B87" s="9" t="n">
        <f aca="false">DAY(A87)</f>
        <v>2</v>
      </c>
      <c r="C87" s="9" t="n">
        <f aca="false">MONTH(A87)</f>
        <v>2</v>
      </c>
      <c r="D87" s="9" t="n">
        <f aca="false">YEAR(A87)</f>
        <v>2024</v>
      </c>
      <c r="E87" s="9" t="n">
        <f aca="false">WEEKDAY(A87,2)</f>
        <v>5</v>
      </c>
      <c r="F87" s="10" t="n">
        <f aca="false">WEEKNUM(A87,2) - WEEKNUM(DATE(YEAR(A87),MONTH(A87),1),2) + 1</f>
        <v>1</v>
      </c>
      <c r="G87" s="10"/>
      <c r="H87" s="11" t="n">
        <v>350</v>
      </c>
      <c r="I87" s="12" t="s">
        <v>15</v>
      </c>
      <c r="J87" s="12" t="s">
        <v>35</v>
      </c>
      <c r="K87" s="12"/>
      <c r="L87" s="9"/>
      <c r="M87" s="10" t="str">
        <f aca="false">VLOOKUP(J87,RECATALOGANDO!A:C,2,0)</f>
        <v>TRANSFERENCIA ENTRE CUENTAS</v>
      </c>
      <c r="N87" s="12" t="str">
        <f aca="false">VLOOKUP(M87,RECATALOGANDO!B:C,2,0)</f>
        <v>TRANSFERENCIAS</v>
      </c>
      <c r="O87" s="2" t="s">
        <v>31</v>
      </c>
    </row>
    <row r="88" customFormat="false" ht="13.8" hidden="false" customHeight="false" outlineLevel="0" collapsed="false">
      <c r="A88" s="8" t="n">
        <v>45330</v>
      </c>
      <c r="B88" s="9" t="n">
        <f aca="false">DAY(A88)</f>
        <v>8</v>
      </c>
      <c r="C88" s="9" t="n">
        <f aca="false">MONTH(A88)</f>
        <v>2</v>
      </c>
      <c r="D88" s="9" t="n">
        <f aca="false">YEAR(A88)</f>
        <v>2024</v>
      </c>
      <c r="E88" s="9" t="n">
        <f aca="false">WEEKDAY(A88,2)</f>
        <v>4</v>
      </c>
      <c r="F88" s="10" t="n">
        <f aca="false">WEEKNUM(A88,2) - WEEKNUM(DATE(YEAR(A88),MONTH(A88),1),2) + 1</f>
        <v>2</v>
      </c>
      <c r="G88" s="10"/>
      <c r="H88" s="11" t="n">
        <v>960</v>
      </c>
      <c r="I88" s="12" t="s">
        <v>15</v>
      </c>
      <c r="J88" s="12" t="s">
        <v>33</v>
      </c>
      <c r="K88" s="12"/>
      <c r="L88" s="9"/>
      <c r="M88" s="10" t="str">
        <f aca="false">VLOOKUP(J88,RECATALOGANDO!A:C,2,0)</f>
        <v>TRANSFERENCIA FAMILIAR</v>
      </c>
      <c r="N88" s="12" t="str">
        <f aca="false">VLOOKUP(M88,RECATALOGANDO!B:C,2,0)</f>
        <v>TRANSFERENCIAS</v>
      </c>
      <c r="O88" s="2" t="s">
        <v>31</v>
      </c>
    </row>
    <row r="89" customFormat="false" ht="13.8" hidden="false" customHeight="false" outlineLevel="0" collapsed="false">
      <c r="A89" s="8" t="n">
        <v>45336</v>
      </c>
      <c r="B89" s="9" t="n">
        <f aca="false">DAY(A89)</f>
        <v>14</v>
      </c>
      <c r="C89" s="9" t="n">
        <f aca="false">MONTH(A89)</f>
        <v>2</v>
      </c>
      <c r="D89" s="9" t="n">
        <f aca="false">YEAR(A89)</f>
        <v>2024</v>
      </c>
      <c r="E89" s="9" t="n">
        <f aca="false">WEEKDAY(A89,2)</f>
        <v>3</v>
      </c>
      <c r="F89" s="10" t="n">
        <f aca="false">WEEKNUM(A89,2) - WEEKNUM(DATE(YEAR(A89),MONTH(A89),1),2) + 1</f>
        <v>3</v>
      </c>
      <c r="G89" s="10"/>
      <c r="H89" s="11" t="n">
        <v>1000</v>
      </c>
      <c r="I89" s="12" t="s">
        <v>20</v>
      </c>
      <c r="J89" s="12" t="s">
        <v>35</v>
      </c>
      <c r="K89" s="12"/>
      <c r="L89" s="9"/>
      <c r="M89" s="10" t="str">
        <f aca="false">VLOOKUP(J89,RECATALOGANDO!A:C,2,0)</f>
        <v>TRANSFERENCIA ENTRE CUENTAS</v>
      </c>
      <c r="N89" s="12" t="str">
        <f aca="false">VLOOKUP(M89,RECATALOGANDO!B:C,2,0)</f>
        <v>TRANSFERENCIAS</v>
      </c>
      <c r="O89" s="2" t="s">
        <v>31</v>
      </c>
    </row>
    <row r="90" customFormat="false" ht="13.8" hidden="false" customHeight="false" outlineLevel="0" collapsed="false">
      <c r="A90" s="8" t="n">
        <v>45337</v>
      </c>
      <c r="B90" s="9" t="n">
        <f aca="false">DAY(A90)</f>
        <v>15</v>
      </c>
      <c r="C90" s="9" t="n">
        <f aca="false">MONTH(A90)</f>
        <v>2</v>
      </c>
      <c r="D90" s="9" t="n">
        <f aca="false">YEAR(A90)</f>
        <v>2024</v>
      </c>
      <c r="E90" s="9" t="n">
        <f aca="false">WEEKDAY(A90,2)</f>
        <v>4</v>
      </c>
      <c r="F90" s="10" t="n">
        <f aca="false">WEEKNUM(A90,2) - WEEKNUM(DATE(YEAR(A90),MONTH(A90),1),2) + 1</f>
        <v>3</v>
      </c>
      <c r="G90" s="10" t="n">
        <v>1</v>
      </c>
      <c r="H90" s="11" t="n">
        <v>800</v>
      </c>
      <c r="I90" s="12" t="s">
        <v>15</v>
      </c>
      <c r="J90" s="12" t="s">
        <v>33</v>
      </c>
      <c r="K90" s="12"/>
      <c r="L90" s="9"/>
      <c r="M90" s="10" t="str">
        <f aca="false">VLOOKUP(J90,RECATALOGANDO!A:C,2,0)</f>
        <v>TRANSFERENCIA FAMILIAR</v>
      </c>
      <c r="N90" s="12" t="str">
        <f aca="false">VLOOKUP(M90,RECATALOGANDO!B:C,2,0)</f>
        <v>TRANSFERENCIAS</v>
      </c>
      <c r="O90" s="2" t="s">
        <v>31</v>
      </c>
    </row>
    <row r="91" customFormat="false" ht="13.8" hidden="false" customHeight="false" outlineLevel="0" collapsed="false">
      <c r="A91" s="8" t="n">
        <v>45338</v>
      </c>
      <c r="B91" s="9" t="n">
        <f aca="false">DAY(A91)</f>
        <v>16</v>
      </c>
      <c r="C91" s="9" t="n">
        <f aca="false">MONTH(A91)</f>
        <v>2</v>
      </c>
      <c r="D91" s="9" t="n">
        <f aca="false">YEAR(A91)</f>
        <v>2024</v>
      </c>
      <c r="E91" s="9" t="n">
        <f aca="false">WEEKDAY(A91,2)</f>
        <v>5</v>
      </c>
      <c r="F91" s="10" t="n">
        <f aca="false">WEEKNUM(A91,2) - WEEKNUM(DATE(YEAR(A91),MONTH(A91),1),2) + 1</f>
        <v>3</v>
      </c>
      <c r="G91" s="10"/>
      <c r="H91" s="11" t="n">
        <v>324</v>
      </c>
      <c r="I91" s="12" t="s">
        <v>20</v>
      </c>
      <c r="J91" s="12" t="s">
        <v>35</v>
      </c>
      <c r="K91" s="12"/>
      <c r="L91" s="9"/>
      <c r="M91" s="10" t="str">
        <f aca="false">VLOOKUP(J91,RECATALOGANDO!A:C,2,0)</f>
        <v>TRANSFERENCIA ENTRE CUENTAS</v>
      </c>
      <c r="N91" s="12" t="str">
        <f aca="false">VLOOKUP(M91,RECATALOGANDO!B:C,2,0)</f>
        <v>TRANSFERENCIAS</v>
      </c>
      <c r="O91" s="2" t="s">
        <v>31</v>
      </c>
    </row>
    <row r="92" customFormat="false" ht="13.8" hidden="false" customHeight="false" outlineLevel="0" collapsed="false">
      <c r="A92" s="8" t="n">
        <v>45338</v>
      </c>
      <c r="B92" s="9" t="n">
        <f aca="false">DAY(A92)</f>
        <v>16</v>
      </c>
      <c r="C92" s="9" t="n">
        <f aca="false">MONTH(A92)</f>
        <v>2</v>
      </c>
      <c r="D92" s="9" t="n">
        <f aca="false">YEAR(A92)</f>
        <v>2024</v>
      </c>
      <c r="E92" s="9" t="n">
        <f aca="false">WEEKDAY(A92,2)</f>
        <v>5</v>
      </c>
      <c r="F92" s="10" t="n">
        <f aca="false">WEEKNUM(A92,2) - WEEKNUM(DATE(YEAR(A92),MONTH(A92),1),2) + 1</f>
        <v>3</v>
      </c>
      <c r="G92" s="10"/>
      <c r="H92" s="11" t="n">
        <v>2000</v>
      </c>
      <c r="I92" s="12" t="s">
        <v>20</v>
      </c>
      <c r="J92" s="12" t="s">
        <v>33</v>
      </c>
      <c r="K92" s="12"/>
      <c r="L92" s="9"/>
      <c r="M92" s="10" t="str">
        <f aca="false">VLOOKUP(J92,RECATALOGANDO!A:C,2,0)</f>
        <v>TRANSFERENCIA FAMILIAR</v>
      </c>
      <c r="N92" s="12" t="str">
        <f aca="false">VLOOKUP(M92,RECATALOGANDO!B:C,2,0)</f>
        <v>TRANSFERENCIAS</v>
      </c>
      <c r="O92" s="2" t="s">
        <v>31</v>
      </c>
    </row>
    <row r="93" customFormat="false" ht="13.8" hidden="false" customHeight="false" outlineLevel="0" collapsed="false">
      <c r="A93" s="8" t="n">
        <v>45338</v>
      </c>
      <c r="B93" s="9" t="n">
        <f aca="false">DAY(A93)</f>
        <v>16</v>
      </c>
      <c r="C93" s="9" t="n">
        <f aca="false">MONTH(A93)</f>
        <v>2</v>
      </c>
      <c r="D93" s="9" t="n">
        <f aca="false">YEAR(A93)</f>
        <v>2024</v>
      </c>
      <c r="E93" s="9" t="n">
        <f aca="false">WEEKDAY(A93,2)</f>
        <v>5</v>
      </c>
      <c r="F93" s="10" t="n">
        <f aca="false">WEEKNUM(A93,2) - WEEKNUM(DATE(YEAR(A93),MONTH(A93),1),2) + 1</f>
        <v>3</v>
      </c>
      <c r="G93" s="10"/>
      <c r="H93" s="11" t="n">
        <v>2900</v>
      </c>
      <c r="I93" s="12" t="s">
        <v>15</v>
      </c>
      <c r="J93" s="12" t="s">
        <v>35</v>
      </c>
      <c r="K93" s="12"/>
      <c r="L93" s="9"/>
      <c r="M93" s="10" t="str">
        <f aca="false">VLOOKUP(J93,RECATALOGANDO!A:C,2,0)</f>
        <v>TRANSFERENCIA ENTRE CUENTAS</v>
      </c>
      <c r="N93" s="12" t="str">
        <f aca="false">VLOOKUP(M93,RECATALOGANDO!B:C,2,0)</f>
        <v>TRANSFERENCIAS</v>
      </c>
      <c r="O93" s="2" t="s">
        <v>31</v>
      </c>
    </row>
    <row r="94" customFormat="false" ht="13.8" hidden="false" customHeight="false" outlineLevel="0" collapsed="false">
      <c r="A94" s="8" t="n">
        <v>45342</v>
      </c>
      <c r="B94" s="9" t="n">
        <f aca="false">DAY(A94)</f>
        <v>20</v>
      </c>
      <c r="C94" s="9" t="n">
        <f aca="false">MONTH(A94)</f>
        <v>2</v>
      </c>
      <c r="D94" s="9" t="n">
        <f aca="false">YEAR(A94)</f>
        <v>2024</v>
      </c>
      <c r="E94" s="9" t="n">
        <f aca="false">WEEKDAY(A94,2)</f>
        <v>2</v>
      </c>
      <c r="F94" s="10" t="n">
        <f aca="false">WEEKNUM(A94,2) - WEEKNUM(DATE(YEAR(A94),MONTH(A94),1),2) + 1</f>
        <v>4</v>
      </c>
      <c r="G94" s="10"/>
      <c r="H94" s="11" t="n">
        <v>1100</v>
      </c>
      <c r="I94" s="12" t="s">
        <v>20</v>
      </c>
      <c r="J94" s="12" t="s">
        <v>35</v>
      </c>
      <c r="K94" s="12"/>
      <c r="L94" s="9"/>
      <c r="M94" s="10" t="str">
        <f aca="false">VLOOKUP(J94,RECATALOGANDO!A:C,2,0)</f>
        <v>TRANSFERENCIA ENTRE CUENTAS</v>
      </c>
      <c r="N94" s="12" t="str">
        <f aca="false">VLOOKUP(M94,RECATALOGANDO!B:C,2,0)</f>
        <v>TRANSFERENCIAS</v>
      </c>
      <c r="O94" s="2" t="s">
        <v>31</v>
      </c>
    </row>
    <row r="95" customFormat="false" ht="13.8" hidden="false" customHeight="false" outlineLevel="0" collapsed="false">
      <c r="A95" s="29" t="n">
        <v>45352</v>
      </c>
      <c r="B95" s="9" t="n">
        <f aca="false">DAY(A95)</f>
        <v>1</v>
      </c>
      <c r="C95" s="9" t="n">
        <f aca="false">MONTH(A95)</f>
        <v>3</v>
      </c>
      <c r="D95" s="9" t="n">
        <f aca="false">YEAR(A95)</f>
        <v>2024</v>
      </c>
      <c r="E95" s="9" t="n">
        <f aca="false">WEEKDAY(A95,2)</f>
        <v>5</v>
      </c>
      <c r="F95" s="10" t="n">
        <f aca="false">WEEKNUM(A95,2) - WEEKNUM(DATE(YEAR(A95),MONTH(A95),1),2) + 1</f>
        <v>1</v>
      </c>
      <c r="G95" s="10"/>
      <c r="H95" s="30" t="n">
        <v>300</v>
      </c>
      <c r="I95" s="31" t="s">
        <v>20</v>
      </c>
      <c r="J95" s="31" t="s">
        <v>35</v>
      </c>
      <c r="K95" s="12"/>
      <c r="L95" s="9"/>
      <c r="M95" s="10" t="str">
        <f aca="false">VLOOKUP(J95,RECATALOGANDO!A:C,2,0)</f>
        <v>TRANSFERENCIA ENTRE CUENTAS</v>
      </c>
      <c r="N95" s="12" t="str">
        <f aca="false">VLOOKUP(M95,RECATALOGANDO!B:C,2,0)</f>
        <v>TRANSFERENCIAS</v>
      </c>
      <c r="O95" s="2" t="s">
        <v>31</v>
      </c>
    </row>
    <row r="96" customFormat="false" ht="13.8" hidden="false" customHeight="false" outlineLevel="0" collapsed="false">
      <c r="A96" s="35" t="n">
        <v>45355</v>
      </c>
      <c r="B96" s="9" t="n">
        <f aca="false">DAY(A96)</f>
        <v>4</v>
      </c>
      <c r="C96" s="9" t="n">
        <f aca="false">MONTH(A96)</f>
        <v>3</v>
      </c>
      <c r="D96" s="9" t="n">
        <f aca="false">YEAR(A96)</f>
        <v>2024</v>
      </c>
      <c r="E96" s="9" t="n">
        <f aca="false">WEEKDAY(A96,2)</f>
        <v>1</v>
      </c>
      <c r="F96" s="10" t="n">
        <f aca="false">WEEKNUM(A96,2) - WEEKNUM(DATE(YEAR(A96),MONTH(A96),1),2) + 1</f>
        <v>2</v>
      </c>
      <c r="G96" s="10"/>
      <c r="H96" s="36" t="n">
        <v>700</v>
      </c>
      <c r="I96" s="37" t="s">
        <v>15</v>
      </c>
      <c r="J96" s="37" t="s">
        <v>34</v>
      </c>
      <c r="K96" s="12"/>
      <c r="L96" s="9"/>
      <c r="M96" s="10" t="str">
        <f aca="false">VLOOKUP(J96,RECATALOGANDO!A:C,2,0)</f>
        <v>TRANSFERENCIA FAMILIAR</v>
      </c>
      <c r="N96" s="12" t="str">
        <f aca="false">VLOOKUP(M96,RECATALOGANDO!B:C,2,0)</f>
        <v>TRANSFERENCIAS</v>
      </c>
      <c r="O96" s="2" t="s">
        <v>31</v>
      </c>
    </row>
    <row r="97" customFormat="false" ht="13.8" hidden="false" customHeight="false" outlineLevel="0" collapsed="false">
      <c r="A97" s="35" t="n">
        <v>45355</v>
      </c>
      <c r="B97" s="9" t="n">
        <f aca="false">DAY(A97)</f>
        <v>4</v>
      </c>
      <c r="C97" s="9" t="n">
        <f aca="false">MONTH(A97)</f>
        <v>3</v>
      </c>
      <c r="D97" s="9" t="n">
        <f aca="false">YEAR(A97)</f>
        <v>2024</v>
      </c>
      <c r="E97" s="9" t="n">
        <f aca="false">WEEKDAY(A97,2)</f>
        <v>1</v>
      </c>
      <c r="F97" s="10" t="n">
        <f aca="false">WEEKNUM(A97,2) - WEEKNUM(DATE(YEAR(A97),MONTH(A97),1),2) + 1</f>
        <v>2</v>
      </c>
      <c r="G97" s="10"/>
      <c r="H97" s="36" t="n">
        <v>2400</v>
      </c>
      <c r="I97" s="37" t="s">
        <v>20</v>
      </c>
      <c r="J97" s="37" t="s">
        <v>34</v>
      </c>
      <c r="K97" s="12"/>
      <c r="L97" s="9"/>
      <c r="M97" s="10" t="str">
        <f aca="false">VLOOKUP(J97,RECATALOGANDO!A:C,2,0)</f>
        <v>TRANSFERENCIA FAMILIAR</v>
      </c>
      <c r="N97" s="12" t="str">
        <f aca="false">VLOOKUP(M97,RECATALOGANDO!B:C,2,0)</f>
        <v>TRANSFERENCIAS</v>
      </c>
      <c r="O97" s="2" t="s">
        <v>31</v>
      </c>
    </row>
    <row r="98" customFormat="false" ht="13.8" hidden="false" customHeight="false" outlineLevel="0" collapsed="false">
      <c r="A98" s="29" t="n">
        <v>45357</v>
      </c>
      <c r="B98" s="9" t="n">
        <f aca="false">DAY(A98)</f>
        <v>6</v>
      </c>
      <c r="C98" s="9" t="n">
        <f aca="false">MONTH(A98)</f>
        <v>3</v>
      </c>
      <c r="D98" s="9" t="n">
        <f aca="false">YEAR(A98)</f>
        <v>2024</v>
      </c>
      <c r="E98" s="9" t="n">
        <f aca="false">WEEKDAY(A98,2)</f>
        <v>3</v>
      </c>
      <c r="F98" s="10" t="n">
        <f aca="false">WEEKNUM(A98,2) - WEEKNUM(DATE(YEAR(A98),MONTH(A98),1),2) + 1</f>
        <v>2</v>
      </c>
      <c r="G98" s="10"/>
      <c r="H98" s="30" t="n">
        <v>450</v>
      </c>
      <c r="I98" s="31" t="s">
        <v>15</v>
      </c>
      <c r="J98" s="31" t="s">
        <v>35</v>
      </c>
      <c r="K98" s="12"/>
      <c r="L98" s="9"/>
      <c r="M98" s="10" t="str">
        <f aca="false">VLOOKUP(J98,RECATALOGANDO!A:C,2,0)</f>
        <v>TRANSFERENCIA ENTRE CUENTAS</v>
      </c>
      <c r="N98" s="12" t="str">
        <f aca="false">VLOOKUP(M98,RECATALOGANDO!B:C,2,0)</f>
        <v>TRANSFERENCIAS</v>
      </c>
      <c r="O98" s="2" t="s">
        <v>31</v>
      </c>
    </row>
    <row r="99" customFormat="false" ht="13.8" hidden="false" customHeight="false" outlineLevel="0" collapsed="false">
      <c r="A99" s="35" t="n">
        <v>45357</v>
      </c>
      <c r="B99" s="9" t="n">
        <f aca="false">DAY(A99)</f>
        <v>6</v>
      </c>
      <c r="C99" s="9" t="n">
        <f aca="false">MONTH(A99)</f>
        <v>3</v>
      </c>
      <c r="D99" s="9" t="n">
        <f aca="false">YEAR(A99)</f>
        <v>2024</v>
      </c>
      <c r="E99" s="9" t="n">
        <f aca="false">WEEKDAY(A99,2)</f>
        <v>3</v>
      </c>
      <c r="F99" s="10" t="n">
        <f aca="false">WEEKNUM(A99,2) - WEEKNUM(DATE(YEAR(A99),MONTH(A99),1),2) + 1</f>
        <v>2</v>
      </c>
      <c r="G99" s="10"/>
      <c r="H99" s="36" t="n">
        <v>2750</v>
      </c>
      <c r="I99" s="37" t="s">
        <v>15</v>
      </c>
      <c r="J99" s="37" t="s">
        <v>34</v>
      </c>
      <c r="K99" s="12"/>
      <c r="L99" s="9"/>
      <c r="M99" s="10" t="str">
        <f aca="false">VLOOKUP(J99,RECATALOGANDO!A:C,2,0)</f>
        <v>TRANSFERENCIA FAMILIAR</v>
      </c>
      <c r="N99" s="12" t="str">
        <f aca="false">VLOOKUP(M99,RECATALOGANDO!B:C,2,0)</f>
        <v>TRANSFERENCIAS</v>
      </c>
      <c r="O99" s="2" t="s">
        <v>31</v>
      </c>
    </row>
    <row r="100" customFormat="false" ht="13.8" hidden="false" customHeight="false" outlineLevel="0" collapsed="false">
      <c r="A100" s="35" t="n">
        <v>45365</v>
      </c>
      <c r="B100" s="9" t="n">
        <f aca="false">DAY(A100)</f>
        <v>14</v>
      </c>
      <c r="C100" s="9" t="n">
        <f aca="false">MONTH(A100)</f>
        <v>3</v>
      </c>
      <c r="D100" s="9" t="n">
        <f aca="false">YEAR(A100)</f>
        <v>2024</v>
      </c>
      <c r="E100" s="9" t="n">
        <f aca="false">WEEKDAY(A100,2)</f>
        <v>4</v>
      </c>
      <c r="F100" s="10" t="n">
        <f aca="false">WEEKNUM(A100,2) - WEEKNUM(DATE(YEAR(A100),MONTH(A100),1),2) + 1</f>
        <v>3</v>
      </c>
      <c r="G100" s="10"/>
      <c r="H100" s="36" t="n">
        <v>2200</v>
      </c>
      <c r="I100" s="37" t="s">
        <v>15</v>
      </c>
      <c r="J100" s="37" t="s">
        <v>34</v>
      </c>
      <c r="K100" s="12"/>
      <c r="L100" s="9"/>
      <c r="M100" s="10" t="str">
        <f aca="false">VLOOKUP(J100,RECATALOGANDO!A:C,2,0)</f>
        <v>TRANSFERENCIA FAMILIAR</v>
      </c>
      <c r="N100" s="12" t="str">
        <f aca="false">VLOOKUP(M100,RECATALOGANDO!B:C,2,0)</f>
        <v>TRANSFERENCIAS</v>
      </c>
      <c r="O100" s="2" t="s">
        <v>31</v>
      </c>
    </row>
    <row r="101" customFormat="false" ht="13.8" hidden="false" customHeight="false" outlineLevel="0" collapsed="false">
      <c r="A101" s="35" t="n">
        <v>45369</v>
      </c>
      <c r="B101" s="9" t="n">
        <f aca="false">DAY(A101)</f>
        <v>18</v>
      </c>
      <c r="C101" s="9" t="n">
        <f aca="false">MONTH(A101)</f>
        <v>3</v>
      </c>
      <c r="D101" s="9" t="n">
        <f aca="false">YEAR(A101)</f>
        <v>2024</v>
      </c>
      <c r="E101" s="9" t="n">
        <f aca="false">WEEKDAY(A101,2)</f>
        <v>1</v>
      </c>
      <c r="F101" s="10" t="n">
        <f aca="false">WEEKNUM(A101,2) - WEEKNUM(DATE(YEAR(A101),MONTH(A101),1),2) + 1</f>
        <v>4</v>
      </c>
      <c r="G101" s="10"/>
      <c r="H101" s="36" t="n">
        <v>500</v>
      </c>
      <c r="I101" s="37" t="s">
        <v>15</v>
      </c>
      <c r="J101" s="37" t="s">
        <v>34</v>
      </c>
      <c r="K101" s="12"/>
      <c r="L101" s="9"/>
      <c r="M101" s="10" t="str">
        <f aca="false">VLOOKUP(J101,RECATALOGANDO!A:C,2,0)</f>
        <v>TRANSFERENCIA FAMILIAR</v>
      </c>
      <c r="N101" s="12" t="str">
        <f aca="false">VLOOKUP(M101,RECATALOGANDO!B:C,2,0)</f>
        <v>TRANSFERENCIAS</v>
      </c>
      <c r="O101" s="2" t="s">
        <v>31</v>
      </c>
    </row>
    <row r="102" customFormat="false" ht="13.8" hidden="false" customHeight="false" outlineLevel="0" collapsed="false">
      <c r="A102" s="8" t="n">
        <v>45376</v>
      </c>
      <c r="B102" s="9" t="n">
        <f aca="false">DAY(A102)</f>
        <v>25</v>
      </c>
      <c r="C102" s="9" t="n">
        <f aca="false">MONTH(A102)</f>
        <v>3</v>
      </c>
      <c r="D102" s="9" t="n">
        <f aca="false">YEAR(A102)</f>
        <v>2024</v>
      </c>
      <c r="E102" s="9" t="n">
        <f aca="false">WEEKDAY(A102,2)</f>
        <v>1</v>
      </c>
      <c r="F102" s="10" t="n">
        <f aca="false">WEEKNUM(A102,2) - WEEKNUM(DATE(YEAR(A102),MONTH(A102),1),2) + 1</f>
        <v>5</v>
      </c>
      <c r="G102" s="10"/>
      <c r="H102" s="11" t="n">
        <v>200</v>
      </c>
      <c r="I102" s="12" t="s">
        <v>20</v>
      </c>
      <c r="J102" s="12" t="s">
        <v>35</v>
      </c>
      <c r="K102" s="12"/>
      <c r="L102" s="9"/>
      <c r="M102" s="10" t="str">
        <f aca="false">VLOOKUP(J102,RECATALOGANDO!A:C,2,0)</f>
        <v>TRANSFERENCIA ENTRE CUENTAS</v>
      </c>
      <c r="N102" s="12" t="str">
        <f aca="false">VLOOKUP(M102,RECATALOGANDO!B:C,2,0)</f>
        <v>TRANSFERENCIAS</v>
      </c>
      <c r="O102" s="2" t="s">
        <v>31</v>
      </c>
    </row>
    <row r="103" customFormat="false" ht="13.8" hidden="false" customHeight="false" outlineLevel="0" collapsed="false">
      <c r="A103" s="29" t="n">
        <v>45383</v>
      </c>
      <c r="B103" s="9" t="n">
        <f aca="false">DAY(A103)</f>
        <v>1</v>
      </c>
      <c r="C103" s="9" t="n">
        <f aca="false">MONTH(A103)</f>
        <v>4</v>
      </c>
      <c r="D103" s="9" t="n">
        <f aca="false">YEAR(A103)</f>
        <v>2024</v>
      </c>
      <c r="E103" s="9" t="n">
        <f aca="false">WEEKDAY(A103,2)</f>
        <v>1</v>
      </c>
      <c r="F103" s="10" t="n">
        <f aca="false">WEEKNUM(A103,2) - WEEKNUM(DATE(YEAR(A103),MONTH(A103),1),2) + 1</f>
        <v>1</v>
      </c>
      <c r="G103" s="10"/>
      <c r="H103" s="30" t="n">
        <v>500</v>
      </c>
      <c r="I103" s="31" t="s">
        <v>20</v>
      </c>
      <c r="J103" s="31" t="s">
        <v>32</v>
      </c>
      <c r="K103" s="12"/>
      <c r="L103" s="9"/>
      <c r="M103" s="10" t="str">
        <f aca="false">VLOOKUP(J103,RECATALOGANDO!A:C,2,0)</f>
        <v>TRANSFERENCIA ENTRE CUENTAS</v>
      </c>
      <c r="N103" s="12" t="str">
        <f aca="false">VLOOKUP(M103,RECATALOGANDO!B:C,2,0)</f>
        <v>TRANSFERENCIAS</v>
      </c>
      <c r="O103" s="2" t="s">
        <v>31</v>
      </c>
    </row>
    <row r="104" customFormat="false" ht="13.8" hidden="false" customHeight="false" outlineLevel="0" collapsed="false">
      <c r="A104" s="29" t="n">
        <v>45386</v>
      </c>
      <c r="B104" s="9" t="n">
        <f aca="false">DAY(A104)</f>
        <v>4</v>
      </c>
      <c r="C104" s="9" t="n">
        <f aca="false">MONTH(A104)</f>
        <v>4</v>
      </c>
      <c r="D104" s="9" t="n">
        <f aca="false">YEAR(A104)</f>
        <v>2024</v>
      </c>
      <c r="E104" s="9" t="n">
        <f aca="false">WEEKDAY(A104,2)</f>
        <v>4</v>
      </c>
      <c r="F104" s="10" t="n">
        <f aca="false">WEEKNUM(A104,2) - WEEKNUM(DATE(YEAR(A104),MONTH(A104),1),2) + 1</f>
        <v>1</v>
      </c>
      <c r="G104" s="10"/>
      <c r="H104" s="30" t="n">
        <v>100</v>
      </c>
      <c r="I104" s="31" t="s">
        <v>20</v>
      </c>
      <c r="J104" s="31" t="s">
        <v>32</v>
      </c>
      <c r="K104" s="12"/>
      <c r="L104" s="9"/>
      <c r="M104" s="10" t="str">
        <f aca="false">VLOOKUP(J104,RECATALOGANDO!A:C,2,0)</f>
        <v>TRANSFERENCIA ENTRE CUENTAS</v>
      </c>
      <c r="N104" s="12" t="str">
        <f aca="false">VLOOKUP(M104,RECATALOGANDO!B:C,2,0)</f>
        <v>TRANSFERENCIAS</v>
      </c>
      <c r="O104" s="2" t="s">
        <v>31</v>
      </c>
    </row>
    <row r="105" customFormat="false" ht="13.8" hidden="false" customHeight="false" outlineLevel="0" collapsed="false">
      <c r="A105" s="29" t="n">
        <v>45386</v>
      </c>
      <c r="B105" s="9" t="n">
        <f aca="false">DAY(A105)</f>
        <v>4</v>
      </c>
      <c r="C105" s="9" t="n">
        <f aca="false">MONTH(A105)</f>
        <v>4</v>
      </c>
      <c r="D105" s="9" t="n">
        <f aca="false">YEAR(A105)</f>
        <v>2024</v>
      </c>
      <c r="E105" s="9" t="n">
        <f aca="false">WEEKDAY(A105,2)</f>
        <v>4</v>
      </c>
      <c r="F105" s="10" t="n">
        <f aca="false">WEEKNUM(A105,2) - WEEKNUM(DATE(YEAR(A105),MONTH(A105),1),2) + 1</f>
        <v>1</v>
      </c>
      <c r="G105" s="10"/>
      <c r="H105" s="30" t="n">
        <v>500</v>
      </c>
      <c r="I105" s="31" t="s">
        <v>20</v>
      </c>
      <c r="J105" s="31" t="s">
        <v>32</v>
      </c>
      <c r="K105" s="12"/>
      <c r="L105" s="9"/>
      <c r="M105" s="10" t="str">
        <f aca="false">VLOOKUP(J105,RECATALOGANDO!A:C,2,0)</f>
        <v>TRANSFERENCIA ENTRE CUENTAS</v>
      </c>
      <c r="N105" s="12" t="str">
        <f aca="false">VLOOKUP(M105,RECATALOGANDO!B:C,2,0)</f>
        <v>TRANSFERENCIAS</v>
      </c>
      <c r="O105" s="2" t="s">
        <v>31</v>
      </c>
    </row>
    <row r="106" customFormat="false" ht="13.8" hidden="false" customHeight="false" outlineLevel="0" collapsed="false">
      <c r="A106" s="35" t="n">
        <v>45386</v>
      </c>
      <c r="B106" s="9" t="n">
        <f aca="false">DAY(A106)</f>
        <v>4</v>
      </c>
      <c r="C106" s="9" t="n">
        <f aca="false">MONTH(A106)</f>
        <v>4</v>
      </c>
      <c r="D106" s="9" t="n">
        <f aca="false">YEAR(A106)</f>
        <v>2024</v>
      </c>
      <c r="E106" s="9" t="n">
        <f aca="false">WEEKDAY(A106,2)</f>
        <v>4</v>
      </c>
      <c r="F106" s="10" t="n">
        <f aca="false">WEEKNUM(A106,2) - WEEKNUM(DATE(YEAR(A106),MONTH(A106),1),2) + 1</f>
        <v>1</v>
      </c>
      <c r="G106" s="10"/>
      <c r="H106" s="36" t="n">
        <v>3000</v>
      </c>
      <c r="I106" s="37" t="s">
        <v>15</v>
      </c>
      <c r="J106" s="37" t="s">
        <v>33</v>
      </c>
      <c r="K106" s="12"/>
      <c r="L106" s="9"/>
      <c r="M106" s="10" t="str">
        <f aca="false">VLOOKUP(J106,RECATALOGANDO!A:C,2,0)</f>
        <v>TRANSFERENCIA FAMILIAR</v>
      </c>
      <c r="N106" s="12" t="str">
        <f aca="false">VLOOKUP(M106,RECATALOGANDO!B:C,2,0)</f>
        <v>TRANSFERENCIAS</v>
      </c>
      <c r="O106" s="2" t="s">
        <v>31</v>
      </c>
    </row>
    <row r="107" customFormat="false" ht="13.8" hidden="false" customHeight="false" outlineLevel="0" collapsed="false">
      <c r="A107" s="29" t="n">
        <v>45394</v>
      </c>
      <c r="B107" s="9" t="n">
        <f aca="false">DAY(A107)</f>
        <v>12</v>
      </c>
      <c r="C107" s="9" t="n">
        <f aca="false">MONTH(A107)</f>
        <v>4</v>
      </c>
      <c r="D107" s="9" t="n">
        <f aca="false">YEAR(A107)</f>
        <v>2024</v>
      </c>
      <c r="E107" s="9" t="n">
        <f aca="false">WEEKDAY(A107,2)</f>
        <v>5</v>
      </c>
      <c r="F107" s="10" t="n">
        <f aca="false">WEEKNUM(A107,2) - WEEKNUM(DATE(YEAR(A107),MONTH(A107),1),2) + 1</f>
        <v>2</v>
      </c>
      <c r="G107" s="10"/>
      <c r="H107" s="30" t="n">
        <v>730</v>
      </c>
      <c r="I107" s="31" t="s">
        <v>20</v>
      </c>
      <c r="J107" s="31" t="s">
        <v>32</v>
      </c>
      <c r="K107" s="12"/>
      <c r="L107" s="9"/>
      <c r="M107" s="10" t="str">
        <f aca="false">VLOOKUP(J107,RECATALOGANDO!A:C,2,0)</f>
        <v>TRANSFERENCIA ENTRE CUENTAS</v>
      </c>
      <c r="N107" s="12" t="str">
        <f aca="false">VLOOKUP(M107,RECATALOGANDO!B:C,2,0)</f>
        <v>TRANSFERENCIAS</v>
      </c>
      <c r="O107" s="2" t="s">
        <v>31</v>
      </c>
    </row>
    <row r="108" customFormat="false" ht="13.8" hidden="false" customHeight="false" outlineLevel="0" collapsed="false">
      <c r="A108" s="35" t="n">
        <v>45395</v>
      </c>
      <c r="B108" s="9" t="n">
        <f aca="false">DAY(A108)</f>
        <v>13</v>
      </c>
      <c r="C108" s="9" t="n">
        <f aca="false">MONTH(A108)</f>
        <v>4</v>
      </c>
      <c r="D108" s="9" t="n">
        <f aca="false">YEAR(A108)</f>
        <v>2024</v>
      </c>
      <c r="E108" s="9" t="n">
        <f aca="false">WEEKDAY(A108,2)</f>
        <v>6</v>
      </c>
      <c r="F108" s="10" t="n">
        <f aca="false">WEEKNUM(A108,2) - WEEKNUM(DATE(YEAR(A108),MONTH(A108),1),2) + 1</f>
        <v>2</v>
      </c>
      <c r="G108" s="10"/>
      <c r="H108" s="36" t="n">
        <v>225</v>
      </c>
      <c r="I108" s="37" t="s">
        <v>15</v>
      </c>
      <c r="J108" s="37" t="s">
        <v>33</v>
      </c>
      <c r="K108" s="12"/>
      <c r="L108" s="9"/>
      <c r="M108" s="10" t="str">
        <f aca="false">VLOOKUP(J108,RECATALOGANDO!A:C,2,0)</f>
        <v>TRANSFERENCIA FAMILIAR</v>
      </c>
      <c r="N108" s="12" t="str">
        <f aca="false">VLOOKUP(M108,RECATALOGANDO!B:C,2,0)</f>
        <v>TRANSFERENCIAS</v>
      </c>
      <c r="O108" s="2" t="s">
        <v>31</v>
      </c>
    </row>
    <row r="109" customFormat="false" ht="13.8" hidden="false" customHeight="false" outlineLevel="0" collapsed="false">
      <c r="A109" s="29" t="n">
        <v>45404</v>
      </c>
      <c r="B109" s="9" t="n">
        <f aca="false">DAY(A109)</f>
        <v>22</v>
      </c>
      <c r="C109" s="9" t="n">
        <f aca="false">MONTH(A109)</f>
        <v>4</v>
      </c>
      <c r="D109" s="9" t="n">
        <f aca="false">YEAR(A109)</f>
        <v>2024</v>
      </c>
      <c r="E109" s="9" t="n">
        <f aca="false">WEEKDAY(A109,2)</f>
        <v>1</v>
      </c>
      <c r="F109" s="10" t="n">
        <f aca="false">WEEKNUM(A109,2) - WEEKNUM(DATE(YEAR(A109),MONTH(A109),1),2) + 1</f>
        <v>4</v>
      </c>
      <c r="G109" s="10"/>
      <c r="H109" s="30" t="n">
        <v>650</v>
      </c>
      <c r="I109" s="31" t="s">
        <v>20</v>
      </c>
      <c r="J109" s="31" t="s">
        <v>32</v>
      </c>
      <c r="K109" s="12"/>
      <c r="L109" s="9"/>
      <c r="M109" s="10" t="str">
        <f aca="false">VLOOKUP(J109,RECATALOGANDO!A:C,2,0)</f>
        <v>TRANSFERENCIA ENTRE CUENTAS</v>
      </c>
      <c r="N109" s="12" t="str">
        <f aca="false">VLOOKUP(M109,RECATALOGANDO!B:C,2,0)</f>
        <v>TRANSFERENCIAS</v>
      </c>
      <c r="O109" s="2" t="s">
        <v>31</v>
      </c>
    </row>
    <row r="110" customFormat="false" ht="13.8" hidden="false" customHeight="false" outlineLevel="0" collapsed="false">
      <c r="A110" s="29" t="n">
        <v>45408</v>
      </c>
      <c r="B110" s="9" t="n">
        <f aca="false">DAY(A110)</f>
        <v>26</v>
      </c>
      <c r="C110" s="9" t="n">
        <f aca="false">MONTH(A110)</f>
        <v>4</v>
      </c>
      <c r="D110" s="9" t="n">
        <f aca="false">YEAR(A110)</f>
        <v>2024</v>
      </c>
      <c r="E110" s="9" t="n">
        <f aca="false">WEEKDAY(A110,2)</f>
        <v>5</v>
      </c>
      <c r="F110" s="10" t="n">
        <f aca="false">WEEKNUM(A110,2) - WEEKNUM(DATE(YEAR(A110),MONTH(A110),1),2) + 1</f>
        <v>4</v>
      </c>
      <c r="G110" s="10"/>
      <c r="H110" s="30" t="n">
        <v>500</v>
      </c>
      <c r="I110" s="31" t="s">
        <v>15</v>
      </c>
      <c r="J110" s="31" t="s">
        <v>32</v>
      </c>
      <c r="K110" s="12"/>
      <c r="L110" s="9"/>
      <c r="M110" s="10" t="str">
        <f aca="false">VLOOKUP(J110,RECATALOGANDO!A:C,2,0)</f>
        <v>TRANSFERENCIA ENTRE CUENTAS</v>
      </c>
      <c r="N110" s="12" t="str">
        <f aca="false">VLOOKUP(M110,RECATALOGANDO!B:C,2,0)</f>
        <v>TRANSFERENCIAS</v>
      </c>
      <c r="O110" s="2" t="s">
        <v>31</v>
      </c>
    </row>
    <row r="111" customFormat="false" ht="13.8" hidden="false" customHeight="false" outlineLevel="0" collapsed="false">
      <c r="A111" s="29" t="n">
        <v>45411</v>
      </c>
      <c r="B111" s="9" t="n">
        <f aca="false">DAY(A111)</f>
        <v>29</v>
      </c>
      <c r="C111" s="9" t="n">
        <f aca="false">MONTH(A111)</f>
        <v>4</v>
      </c>
      <c r="D111" s="9" t="n">
        <f aca="false">YEAR(A111)</f>
        <v>2024</v>
      </c>
      <c r="E111" s="9" t="n">
        <f aca="false">WEEKDAY(A111,2)</f>
        <v>1</v>
      </c>
      <c r="F111" s="10" t="n">
        <f aca="false">WEEKNUM(A111,2) - WEEKNUM(DATE(YEAR(A111),MONTH(A111),1),2) + 1</f>
        <v>5</v>
      </c>
      <c r="G111" s="10"/>
      <c r="H111" s="30" t="n">
        <v>265</v>
      </c>
      <c r="I111" s="31" t="s">
        <v>15</v>
      </c>
      <c r="J111" s="31" t="s">
        <v>32</v>
      </c>
      <c r="K111" s="12"/>
      <c r="L111" s="9"/>
      <c r="M111" s="10" t="str">
        <f aca="false">VLOOKUP(J111,RECATALOGANDO!A:C,2,0)</f>
        <v>TRANSFERENCIA ENTRE CUENTAS</v>
      </c>
      <c r="N111" s="12" t="str">
        <f aca="false">VLOOKUP(M111,RECATALOGANDO!B:C,2,0)</f>
        <v>TRANSFERENCIAS</v>
      </c>
      <c r="O111" s="2" t="s">
        <v>31</v>
      </c>
    </row>
    <row r="112" customFormat="false" ht="13.8" hidden="false" customHeight="false" outlineLevel="0" collapsed="false">
      <c r="A112" s="35" t="n">
        <v>45411</v>
      </c>
      <c r="B112" s="9" t="n">
        <f aca="false">DAY(A112)</f>
        <v>29</v>
      </c>
      <c r="C112" s="9" t="n">
        <f aca="false">MONTH(A112)</f>
        <v>4</v>
      </c>
      <c r="D112" s="9" t="n">
        <f aca="false">YEAR(A112)</f>
        <v>2024</v>
      </c>
      <c r="E112" s="9" t="n">
        <f aca="false">WEEKDAY(A112,2)</f>
        <v>1</v>
      </c>
      <c r="F112" s="10" t="n">
        <f aca="false">WEEKNUM(A112,2) - WEEKNUM(DATE(YEAR(A112),MONTH(A112),1),2) + 1</f>
        <v>5</v>
      </c>
      <c r="G112" s="10"/>
      <c r="H112" s="36" t="n">
        <v>500</v>
      </c>
      <c r="I112" s="37" t="s">
        <v>15</v>
      </c>
      <c r="J112" s="37" t="s">
        <v>34</v>
      </c>
      <c r="K112" s="12"/>
      <c r="L112" s="9"/>
      <c r="M112" s="10" t="str">
        <f aca="false">VLOOKUP(J112,RECATALOGANDO!A:C,2,0)</f>
        <v>TRANSFERENCIA FAMILIAR</v>
      </c>
      <c r="N112" s="12" t="str">
        <f aca="false">VLOOKUP(M112,RECATALOGANDO!B:C,2,0)</f>
        <v>TRANSFERENCIAS</v>
      </c>
      <c r="O112" s="2" t="s">
        <v>31</v>
      </c>
    </row>
    <row r="113" customFormat="false" ht="13.8" hidden="false" customHeight="false" outlineLevel="0" collapsed="false">
      <c r="A113" s="29" t="n">
        <v>45411</v>
      </c>
      <c r="B113" s="9" t="n">
        <f aca="false">DAY(A113)</f>
        <v>29</v>
      </c>
      <c r="C113" s="9" t="n">
        <f aca="false">MONTH(A113)</f>
        <v>4</v>
      </c>
      <c r="D113" s="9" t="n">
        <f aca="false">YEAR(A113)</f>
        <v>2024</v>
      </c>
      <c r="E113" s="9" t="n">
        <f aca="false">WEEKDAY(A113,2)</f>
        <v>1</v>
      </c>
      <c r="F113" s="10" t="n">
        <f aca="false">WEEKNUM(A113,2) - WEEKNUM(DATE(YEAR(A113),MONTH(A113),1),2) + 1</f>
        <v>5</v>
      </c>
      <c r="G113" s="10"/>
      <c r="H113" s="30" t="n">
        <v>500</v>
      </c>
      <c r="I113" s="31" t="s">
        <v>20</v>
      </c>
      <c r="J113" s="31" t="s">
        <v>32</v>
      </c>
      <c r="K113" s="12"/>
      <c r="L113" s="9"/>
      <c r="M113" s="10" t="str">
        <f aca="false">VLOOKUP(J113,RECATALOGANDO!A:C,2,0)</f>
        <v>TRANSFERENCIA ENTRE CUENTAS</v>
      </c>
      <c r="N113" s="12" t="str">
        <f aca="false">VLOOKUP(M113,RECATALOGANDO!B:C,2,0)</f>
        <v>TRANSFERENCIAS</v>
      </c>
      <c r="O113" s="2" t="s">
        <v>31</v>
      </c>
    </row>
    <row r="114" customFormat="false" ht="13.8" hidden="false" customHeight="false" outlineLevel="0" collapsed="false">
      <c r="A114" s="29" t="n">
        <v>45411</v>
      </c>
      <c r="B114" s="9" t="n">
        <f aca="false">DAY(A114)</f>
        <v>29</v>
      </c>
      <c r="C114" s="9" t="n">
        <f aca="false">MONTH(A114)</f>
        <v>4</v>
      </c>
      <c r="D114" s="9" t="n">
        <f aca="false">YEAR(A114)</f>
        <v>2024</v>
      </c>
      <c r="E114" s="9" t="n">
        <f aca="false">WEEKDAY(A114,2)</f>
        <v>1</v>
      </c>
      <c r="F114" s="10" t="n">
        <f aca="false">WEEKNUM(A114,2) - WEEKNUM(DATE(YEAR(A114),MONTH(A114),1),2) + 1</f>
        <v>5</v>
      </c>
      <c r="G114" s="10"/>
      <c r="H114" s="30" t="n">
        <v>2929</v>
      </c>
      <c r="I114" s="31" t="s">
        <v>20</v>
      </c>
      <c r="J114" s="31" t="s">
        <v>32</v>
      </c>
      <c r="K114" s="12"/>
      <c r="L114" s="9"/>
      <c r="M114" s="10" t="str">
        <f aca="false">VLOOKUP(J114,RECATALOGANDO!A:C,2,0)</f>
        <v>TRANSFERENCIA ENTRE CUENTAS</v>
      </c>
      <c r="N114" s="12" t="str">
        <f aca="false">VLOOKUP(M114,RECATALOGANDO!B:C,2,0)</f>
        <v>TRANSFERENCIAS</v>
      </c>
      <c r="O114" s="2" t="s">
        <v>31</v>
      </c>
    </row>
    <row r="115" customFormat="false" ht="13.8" hidden="false" customHeight="false" outlineLevel="0" collapsed="false">
      <c r="A115" s="29" t="n">
        <v>45414</v>
      </c>
      <c r="B115" s="9" t="n">
        <f aca="false">DAY(A115)</f>
        <v>2</v>
      </c>
      <c r="C115" s="9" t="n">
        <f aca="false">MONTH(A115)</f>
        <v>5</v>
      </c>
      <c r="D115" s="9" t="n">
        <f aca="false">YEAR(A115)</f>
        <v>2024</v>
      </c>
      <c r="E115" s="9" t="n">
        <f aca="false">WEEKDAY(A115,2)</f>
        <v>4</v>
      </c>
      <c r="F115" s="10" t="n">
        <f aca="false">WEEKNUM(A115,2) - WEEKNUM(DATE(YEAR(A115),MONTH(A115),1),2) + 1</f>
        <v>1</v>
      </c>
      <c r="G115" s="10"/>
      <c r="H115" s="30" t="n">
        <v>600</v>
      </c>
      <c r="I115" s="31" t="s">
        <v>20</v>
      </c>
      <c r="J115" s="31" t="s">
        <v>32</v>
      </c>
      <c r="K115" s="12"/>
      <c r="L115" s="9"/>
      <c r="M115" s="10" t="str">
        <f aca="false">VLOOKUP(J115,RECATALOGANDO!A:C,2,0)</f>
        <v>TRANSFERENCIA ENTRE CUENTAS</v>
      </c>
      <c r="N115" s="12" t="str">
        <f aca="false">VLOOKUP(M115,RECATALOGANDO!B:C,2,0)</f>
        <v>TRANSFERENCIAS</v>
      </c>
      <c r="O115" s="2" t="s">
        <v>31</v>
      </c>
    </row>
    <row r="116" customFormat="false" ht="13.8" hidden="false" customHeight="false" outlineLevel="0" collapsed="false">
      <c r="A116" s="8" t="n">
        <v>45426</v>
      </c>
      <c r="B116" s="9" t="n">
        <f aca="false">DAY(A116)</f>
        <v>14</v>
      </c>
      <c r="C116" s="9" t="n">
        <f aca="false">MONTH(A116)</f>
        <v>5</v>
      </c>
      <c r="D116" s="9" t="n">
        <f aca="false">YEAR(A116)</f>
        <v>2024</v>
      </c>
      <c r="E116" s="9" t="n">
        <f aca="false">WEEKDAY(A116,2)</f>
        <v>2</v>
      </c>
      <c r="F116" s="10" t="n">
        <f aca="false">WEEKNUM(A116,2) - WEEKNUM(DATE(YEAR(A116),MONTH(A116),1),2) + 1</f>
        <v>3</v>
      </c>
      <c r="G116" s="10"/>
      <c r="H116" s="11" t="n">
        <v>1500</v>
      </c>
      <c r="I116" s="12" t="s">
        <v>20</v>
      </c>
      <c r="J116" s="12" t="s">
        <v>35</v>
      </c>
      <c r="K116" s="12"/>
      <c r="L116" s="9"/>
      <c r="M116" s="10" t="str">
        <f aca="false">VLOOKUP(J116,RECATALOGANDO!A:C,2,0)</f>
        <v>TRANSFERENCIA ENTRE CUENTAS</v>
      </c>
      <c r="N116" s="12" t="str">
        <f aca="false">VLOOKUP(M116,RECATALOGANDO!B:C,2,0)</f>
        <v>TRANSFERENCIAS</v>
      </c>
      <c r="O116" s="2" t="s">
        <v>31</v>
      </c>
    </row>
    <row r="117" customFormat="false" ht="13.8" hidden="false" customHeight="false" outlineLevel="0" collapsed="false">
      <c r="A117" s="35" t="n">
        <v>45427</v>
      </c>
      <c r="B117" s="9" t="n">
        <f aca="false">DAY(A117)</f>
        <v>15</v>
      </c>
      <c r="C117" s="9" t="n">
        <f aca="false">MONTH(A117)</f>
        <v>5</v>
      </c>
      <c r="D117" s="9" t="n">
        <f aca="false">YEAR(A117)</f>
        <v>2024</v>
      </c>
      <c r="E117" s="9" t="n">
        <f aca="false">WEEKDAY(A117,2)</f>
        <v>3</v>
      </c>
      <c r="F117" s="10" t="n">
        <f aca="false">WEEKNUM(A117,2) - WEEKNUM(DATE(YEAR(A117),MONTH(A117),1),2) + 1</f>
        <v>3</v>
      </c>
      <c r="G117" s="10" t="n">
        <v>1</v>
      </c>
      <c r="H117" s="36" t="n">
        <v>500</v>
      </c>
      <c r="I117" s="37" t="s">
        <v>20</v>
      </c>
      <c r="J117" s="37" t="s">
        <v>33</v>
      </c>
      <c r="K117" s="12"/>
      <c r="L117" s="9"/>
      <c r="M117" s="10" t="str">
        <f aca="false">VLOOKUP(J117,RECATALOGANDO!A:C,2,0)</f>
        <v>TRANSFERENCIA FAMILIAR</v>
      </c>
      <c r="N117" s="12" t="str">
        <f aca="false">VLOOKUP(M117,RECATALOGANDO!B:C,2,0)</f>
        <v>TRANSFERENCIAS</v>
      </c>
      <c r="O117" s="2" t="s">
        <v>31</v>
      </c>
    </row>
    <row r="118" customFormat="false" ht="13.8" hidden="false" customHeight="false" outlineLevel="0" collapsed="false">
      <c r="A118" s="29" t="n">
        <v>45428</v>
      </c>
      <c r="B118" s="9" t="n">
        <f aca="false">DAY(A118)</f>
        <v>16</v>
      </c>
      <c r="C118" s="9" t="n">
        <f aca="false">MONTH(A118)</f>
        <v>5</v>
      </c>
      <c r="D118" s="9" t="n">
        <f aca="false">YEAR(A118)</f>
        <v>2024</v>
      </c>
      <c r="E118" s="9" t="n">
        <f aca="false">WEEKDAY(A118,2)</f>
        <v>4</v>
      </c>
      <c r="F118" s="10" t="n">
        <f aca="false">WEEKNUM(A118,2) - WEEKNUM(DATE(YEAR(A118),MONTH(A118),1),2) + 1</f>
        <v>3</v>
      </c>
      <c r="G118" s="10"/>
      <c r="H118" s="30" t="n">
        <v>490</v>
      </c>
      <c r="I118" s="31" t="s">
        <v>15</v>
      </c>
      <c r="J118" s="31" t="s">
        <v>32</v>
      </c>
      <c r="K118" s="12"/>
      <c r="L118" s="9"/>
      <c r="M118" s="10" t="str">
        <f aca="false">VLOOKUP(J118,RECATALOGANDO!A:C,2,0)</f>
        <v>TRANSFERENCIA ENTRE CUENTAS</v>
      </c>
      <c r="N118" s="12" t="str">
        <f aca="false">VLOOKUP(M118,RECATALOGANDO!B:C,2,0)</f>
        <v>TRANSFERENCIAS</v>
      </c>
      <c r="O118" s="2" t="s">
        <v>31</v>
      </c>
    </row>
    <row r="119" customFormat="false" ht="13.8" hidden="false" customHeight="false" outlineLevel="0" collapsed="false">
      <c r="A119" s="8" t="n">
        <v>45428</v>
      </c>
      <c r="B119" s="9" t="n">
        <f aca="false">DAY(A119)</f>
        <v>16</v>
      </c>
      <c r="C119" s="9" t="n">
        <f aca="false">MONTH(A119)</f>
        <v>5</v>
      </c>
      <c r="D119" s="9" t="n">
        <f aca="false">YEAR(A119)</f>
        <v>2024</v>
      </c>
      <c r="E119" s="9" t="n">
        <f aca="false">WEEKDAY(A119,2)</f>
        <v>4</v>
      </c>
      <c r="F119" s="10" t="n">
        <f aca="false">WEEKNUM(A119,2) - WEEKNUM(DATE(YEAR(A119),MONTH(A119),1),2) + 1</f>
        <v>3</v>
      </c>
      <c r="G119" s="10"/>
      <c r="H119" s="11" t="n">
        <v>550</v>
      </c>
      <c r="I119" s="12" t="s">
        <v>20</v>
      </c>
      <c r="J119" s="12" t="s">
        <v>33</v>
      </c>
      <c r="K119" s="12"/>
      <c r="L119" s="9"/>
      <c r="M119" s="10" t="str">
        <f aca="false">VLOOKUP(J119,RECATALOGANDO!A:C,2,0)</f>
        <v>TRANSFERENCIA FAMILIAR</v>
      </c>
      <c r="N119" s="12" t="str">
        <f aca="false">VLOOKUP(M119,RECATALOGANDO!B:C,2,0)</f>
        <v>TRANSFERENCIAS</v>
      </c>
      <c r="O119" s="2" t="s">
        <v>31</v>
      </c>
    </row>
    <row r="120" customFormat="false" ht="13.8" hidden="false" customHeight="false" outlineLevel="0" collapsed="false">
      <c r="A120" s="29" t="n">
        <v>45428</v>
      </c>
      <c r="B120" s="9" t="n">
        <f aca="false">DAY(A120)</f>
        <v>16</v>
      </c>
      <c r="C120" s="9" t="n">
        <f aca="false">MONTH(A120)</f>
        <v>5</v>
      </c>
      <c r="D120" s="9" t="n">
        <f aca="false">YEAR(A120)</f>
        <v>2024</v>
      </c>
      <c r="E120" s="9" t="n">
        <f aca="false">WEEKDAY(A120,2)</f>
        <v>4</v>
      </c>
      <c r="F120" s="10" t="n">
        <f aca="false">WEEKNUM(A120,2) - WEEKNUM(DATE(YEAR(A120),MONTH(A120),1),2) + 1</f>
        <v>3</v>
      </c>
      <c r="G120" s="10"/>
      <c r="H120" s="30" t="n">
        <v>800</v>
      </c>
      <c r="I120" s="31" t="s">
        <v>20</v>
      </c>
      <c r="J120" s="31" t="s">
        <v>32</v>
      </c>
      <c r="K120" s="12"/>
      <c r="L120" s="9"/>
      <c r="M120" s="10" t="str">
        <f aca="false">VLOOKUP(J120,RECATALOGANDO!A:C,2,0)</f>
        <v>TRANSFERENCIA ENTRE CUENTAS</v>
      </c>
      <c r="N120" s="12" t="str">
        <f aca="false">VLOOKUP(M120,RECATALOGANDO!B:C,2,0)</f>
        <v>TRANSFERENCIAS</v>
      </c>
      <c r="O120" s="2" t="s">
        <v>31</v>
      </c>
    </row>
    <row r="121" customFormat="false" ht="13.8" hidden="false" customHeight="false" outlineLevel="0" collapsed="false">
      <c r="A121" s="35" t="n">
        <v>45432</v>
      </c>
      <c r="B121" s="9" t="n">
        <f aca="false">DAY(A121)</f>
        <v>20</v>
      </c>
      <c r="C121" s="9" t="n">
        <f aca="false">MONTH(A121)</f>
        <v>5</v>
      </c>
      <c r="D121" s="9" t="n">
        <f aca="false">YEAR(A121)</f>
        <v>2024</v>
      </c>
      <c r="E121" s="9" t="n">
        <f aca="false">WEEKDAY(A121,2)</f>
        <v>1</v>
      </c>
      <c r="F121" s="10" t="n">
        <f aca="false">WEEKNUM(A121,2) - WEEKNUM(DATE(YEAR(A121),MONTH(A121),1),2) + 1</f>
        <v>4</v>
      </c>
      <c r="G121" s="10"/>
      <c r="H121" s="36" t="n">
        <v>200</v>
      </c>
      <c r="I121" s="37" t="s">
        <v>20</v>
      </c>
      <c r="J121" s="37" t="s">
        <v>33</v>
      </c>
      <c r="K121" s="12"/>
      <c r="L121" s="9"/>
      <c r="M121" s="10" t="str">
        <f aca="false">VLOOKUP(J121,RECATALOGANDO!A:C,2,0)</f>
        <v>TRANSFERENCIA FAMILIAR</v>
      </c>
      <c r="N121" s="12" t="str">
        <f aca="false">VLOOKUP(M121,RECATALOGANDO!B:C,2,0)</f>
        <v>TRANSFERENCIAS</v>
      </c>
      <c r="O121" s="2" t="s">
        <v>31</v>
      </c>
    </row>
    <row r="122" customFormat="false" ht="13.8" hidden="false" customHeight="false" outlineLevel="0" collapsed="false">
      <c r="A122" s="35" t="n">
        <v>45433</v>
      </c>
      <c r="B122" s="9" t="n">
        <f aca="false">DAY(A122)</f>
        <v>21</v>
      </c>
      <c r="C122" s="9" t="n">
        <f aca="false">MONTH(A122)</f>
        <v>5</v>
      </c>
      <c r="D122" s="9" t="n">
        <f aca="false">YEAR(A122)</f>
        <v>2024</v>
      </c>
      <c r="E122" s="9" t="n">
        <f aca="false">WEEKDAY(A122,2)</f>
        <v>2</v>
      </c>
      <c r="F122" s="10" t="n">
        <f aca="false">WEEKNUM(A122,2) - WEEKNUM(DATE(YEAR(A122),MONTH(A122),1),2) + 1</f>
        <v>4</v>
      </c>
      <c r="G122" s="10"/>
      <c r="H122" s="36" t="n">
        <v>500</v>
      </c>
      <c r="I122" s="37" t="s">
        <v>15</v>
      </c>
      <c r="J122" s="37" t="s">
        <v>33</v>
      </c>
      <c r="K122" s="12"/>
      <c r="L122" s="9"/>
      <c r="M122" s="10" t="str">
        <f aca="false">VLOOKUP(J122,RECATALOGANDO!A:C,2,0)</f>
        <v>TRANSFERENCIA FAMILIAR</v>
      </c>
      <c r="N122" s="12" t="str">
        <f aca="false">VLOOKUP(M122,RECATALOGANDO!B:C,2,0)</f>
        <v>TRANSFERENCIAS</v>
      </c>
      <c r="O122" s="2" t="s">
        <v>31</v>
      </c>
    </row>
    <row r="123" customFormat="false" ht="13.8" hidden="false" customHeight="false" outlineLevel="0" collapsed="false">
      <c r="A123" s="29" t="n">
        <v>45433</v>
      </c>
      <c r="B123" s="9" t="n">
        <f aca="false">DAY(A123)</f>
        <v>21</v>
      </c>
      <c r="C123" s="9" t="n">
        <f aca="false">MONTH(A123)</f>
        <v>5</v>
      </c>
      <c r="D123" s="9" t="n">
        <f aca="false">YEAR(A123)</f>
        <v>2024</v>
      </c>
      <c r="E123" s="9" t="n">
        <f aca="false">WEEKDAY(A123,2)</f>
        <v>2</v>
      </c>
      <c r="F123" s="10" t="n">
        <f aca="false">WEEKNUM(A123,2) - WEEKNUM(DATE(YEAR(A123),MONTH(A123),1),2) + 1</f>
        <v>4</v>
      </c>
      <c r="G123" s="10"/>
      <c r="H123" s="30" t="n">
        <v>1500</v>
      </c>
      <c r="I123" s="31" t="s">
        <v>15</v>
      </c>
      <c r="J123" s="31" t="s">
        <v>32</v>
      </c>
      <c r="K123" s="12"/>
      <c r="L123" s="9"/>
      <c r="M123" s="10" t="str">
        <f aca="false">VLOOKUP(J123,RECATALOGANDO!A:C,2,0)</f>
        <v>TRANSFERENCIA ENTRE CUENTAS</v>
      </c>
      <c r="N123" s="12" t="str">
        <f aca="false">VLOOKUP(M123,RECATALOGANDO!B:C,2,0)</f>
        <v>TRANSFERENCIAS</v>
      </c>
      <c r="O123" s="2" t="s">
        <v>31</v>
      </c>
    </row>
    <row r="124" customFormat="false" ht="13.8" hidden="false" customHeight="false" outlineLevel="0" collapsed="false">
      <c r="A124" s="35" t="n">
        <v>45434</v>
      </c>
      <c r="B124" s="9" t="n">
        <f aca="false">DAY(A124)</f>
        <v>22</v>
      </c>
      <c r="C124" s="9" t="n">
        <f aca="false">MONTH(A124)</f>
        <v>5</v>
      </c>
      <c r="D124" s="9" t="n">
        <f aca="false">YEAR(A124)</f>
        <v>2024</v>
      </c>
      <c r="E124" s="9" t="n">
        <f aca="false">WEEKDAY(A124,2)</f>
        <v>3</v>
      </c>
      <c r="F124" s="10" t="n">
        <f aca="false">WEEKNUM(A124,2) - WEEKNUM(DATE(YEAR(A124),MONTH(A124),1),2) + 1</f>
        <v>4</v>
      </c>
      <c r="G124" s="10"/>
      <c r="H124" s="36" t="n">
        <v>500</v>
      </c>
      <c r="I124" s="37" t="s">
        <v>20</v>
      </c>
      <c r="J124" s="37" t="s">
        <v>33</v>
      </c>
      <c r="K124" s="12"/>
      <c r="L124" s="9"/>
      <c r="M124" s="10" t="str">
        <f aca="false">VLOOKUP(J124,RECATALOGANDO!A:C,2,0)</f>
        <v>TRANSFERENCIA FAMILIAR</v>
      </c>
      <c r="N124" s="12" t="str">
        <f aca="false">VLOOKUP(M124,RECATALOGANDO!B:C,2,0)</f>
        <v>TRANSFERENCIAS</v>
      </c>
      <c r="O124" s="2" t="s">
        <v>31</v>
      </c>
    </row>
    <row r="125" customFormat="false" ht="13.8" hidden="false" customHeight="false" outlineLevel="0" collapsed="false">
      <c r="A125" s="35" t="n">
        <v>45434</v>
      </c>
      <c r="B125" s="9" t="n">
        <f aca="false">DAY(A125)</f>
        <v>22</v>
      </c>
      <c r="C125" s="9" t="n">
        <f aca="false">MONTH(A125)</f>
        <v>5</v>
      </c>
      <c r="D125" s="9" t="n">
        <f aca="false">YEAR(A125)</f>
        <v>2024</v>
      </c>
      <c r="E125" s="9" t="n">
        <f aca="false">WEEKDAY(A125,2)</f>
        <v>3</v>
      </c>
      <c r="F125" s="10" t="n">
        <f aca="false">WEEKNUM(A125,2) - WEEKNUM(DATE(YEAR(A125),MONTH(A125),1),2) + 1</f>
        <v>4</v>
      </c>
      <c r="G125" s="10"/>
      <c r="H125" s="36" t="n">
        <v>614</v>
      </c>
      <c r="I125" s="37" t="s">
        <v>15</v>
      </c>
      <c r="J125" s="37" t="s">
        <v>33</v>
      </c>
      <c r="K125" s="12"/>
      <c r="L125" s="9"/>
      <c r="M125" s="10" t="str">
        <f aca="false">VLOOKUP(J125,RECATALOGANDO!A:C,2,0)</f>
        <v>TRANSFERENCIA FAMILIAR</v>
      </c>
      <c r="N125" s="12" t="str">
        <f aca="false">VLOOKUP(M125,RECATALOGANDO!B:C,2,0)</f>
        <v>TRANSFERENCIAS</v>
      </c>
      <c r="O125" s="2" t="s">
        <v>31</v>
      </c>
    </row>
    <row r="126" customFormat="false" ht="13.8" hidden="false" customHeight="false" outlineLevel="0" collapsed="false">
      <c r="A126" s="29" t="n">
        <v>45436</v>
      </c>
      <c r="B126" s="9" t="n">
        <f aca="false">DAY(A126)</f>
        <v>24</v>
      </c>
      <c r="C126" s="9" t="n">
        <f aca="false">MONTH(A126)</f>
        <v>5</v>
      </c>
      <c r="D126" s="9" t="n">
        <f aca="false">YEAR(A126)</f>
        <v>2024</v>
      </c>
      <c r="E126" s="9" t="n">
        <f aca="false">WEEKDAY(A126,2)</f>
        <v>5</v>
      </c>
      <c r="F126" s="10" t="n">
        <f aca="false">WEEKNUM(A126,2) - WEEKNUM(DATE(YEAR(A126),MONTH(A126),1),2) + 1</f>
        <v>4</v>
      </c>
      <c r="G126" s="10"/>
      <c r="H126" s="30" t="n">
        <v>250</v>
      </c>
      <c r="I126" s="31" t="s">
        <v>20</v>
      </c>
      <c r="J126" s="31" t="s">
        <v>32</v>
      </c>
      <c r="K126" s="12"/>
      <c r="L126" s="9"/>
      <c r="M126" s="10" t="str">
        <f aca="false">VLOOKUP(J126,RECATALOGANDO!A:C,2,0)</f>
        <v>TRANSFERENCIA ENTRE CUENTAS</v>
      </c>
      <c r="N126" s="12" t="str">
        <f aca="false">VLOOKUP(M126,RECATALOGANDO!B:C,2,0)</f>
        <v>TRANSFERENCIAS</v>
      </c>
      <c r="O126" s="2" t="s">
        <v>31</v>
      </c>
    </row>
    <row r="127" customFormat="false" ht="13.8" hidden="false" customHeight="false" outlineLevel="0" collapsed="false">
      <c r="A127" s="29" t="n">
        <v>45439</v>
      </c>
      <c r="B127" s="9" t="n">
        <f aca="false">DAY(A127)</f>
        <v>27</v>
      </c>
      <c r="C127" s="9" t="n">
        <f aca="false">MONTH(A127)</f>
        <v>5</v>
      </c>
      <c r="D127" s="9" t="n">
        <f aca="false">YEAR(A127)</f>
        <v>2024</v>
      </c>
      <c r="E127" s="9" t="n">
        <f aca="false">WEEKDAY(A127,2)</f>
        <v>1</v>
      </c>
      <c r="F127" s="10" t="n">
        <f aca="false">WEEKNUM(A127,2) - WEEKNUM(DATE(YEAR(A127),MONTH(A127),1),2) + 1</f>
        <v>5</v>
      </c>
      <c r="G127" s="10"/>
      <c r="H127" s="30" t="n">
        <v>800</v>
      </c>
      <c r="I127" s="31" t="s">
        <v>20</v>
      </c>
      <c r="J127" s="31" t="s">
        <v>32</v>
      </c>
      <c r="K127" s="12"/>
      <c r="L127" s="9"/>
      <c r="M127" s="10" t="str">
        <f aca="false">VLOOKUP(J127,RECATALOGANDO!A:C,2,0)</f>
        <v>TRANSFERENCIA ENTRE CUENTAS</v>
      </c>
      <c r="N127" s="12" t="str">
        <f aca="false">VLOOKUP(M127,RECATALOGANDO!B:C,2,0)</f>
        <v>TRANSFERENCIAS</v>
      </c>
      <c r="O127" s="2" t="s">
        <v>31</v>
      </c>
    </row>
    <row r="128" customFormat="false" ht="13.8" hidden="false" customHeight="false" outlineLevel="0" collapsed="false">
      <c r="A128" s="35" t="n">
        <v>45440</v>
      </c>
      <c r="B128" s="9" t="n">
        <f aca="false">DAY(A128)</f>
        <v>28</v>
      </c>
      <c r="C128" s="9" t="n">
        <f aca="false">MONTH(A128)</f>
        <v>5</v>
      </c>
      <c r="D128" s="9" t="n">
        <f aca="false">YEAR(A128)</f>
        <v>2024</v>
      </c>
      <c r="E128" s="9" t="n">
        <f aca="false">WEEKDAY(A128,2)</f>
        <v>2</v>
      </c>
      <c r="F128" s="10" t="n">
        <f aca="false">WEEKNUM(A128,2) - WEEKNUM(DATE(YEAR(A128),MONTH(A128),1),2) + 1</f>
        <v>5</v>
      </c>
      <c r="G128" s="10"/>
      <c r="H128" s="36" t="n">
        <v>500</v>
      </c>
      <c r="I128" s="37" t="s">
        <v>20</v>
      </c>
      <c r="J128" s="37" t="s">
        <v>33</v>
      </c>
      <c r="K128" s="12"/>
      <c r="L128" s="9"/>
      <c r="M128" s="10" t="str">
        <f aca="false">VLOOKUP(J128,RECATALOGANDO!A:C,2,0)</f>
        <v>TRANSFERENCIA FAMILIAR</v>
      </c>
      <c r="N128" s="12" t="str">
        <f aca="false">VLOOKUP(M128,RECATALOGANDO!B:C,2,0)</f>
        <v>TRANSFERENCIAS</v>
      </c>
      <c r="O128" s="2" t="s">
        <v>31</v>
      </c>
    </row>
    <row r="129" customFormat="false" ht="13.8" hidden="false" customHeight="false" outlineLevel="0" collapsed="false">
      <c r="A129" s="29" t="n">
        <v>45440</v>
      </c>
      <c r="B129" s="9" t="n">
        <f aca="false">DAY(A129)</f>
        <v>28</v>
      </c>
      <c r="C129" s="9" t="n">
        <f aca="false">MONTH(A129)</f>
        <v>5</v>
      </c>
      <c r="D129" s="9" t="n">
        <f aca="false">YEAR(A129)</f>
        <v>2024</v>
      </c>
      <c r="E129" s="9" t="n">
        <f aca="false">WEEKDAY(A129,2)</f>
        <v>2</v>
      </c>
      <c r="F129" s="10" t="n">
        <f aca="false">WEEKNUM(A129,2) - WEEKNUM(DATE(YEAR(A129),MONTH(A129),1),2) + 1</f>
        <v>5</v>
      </c>
      <c r="G129" s="10"/>
      <c r="H129" s="30" t="n">
        <v>800</v>
      </c>
      <c r="I129" s="31" t="s">
        <v>20</v>
      </c>
      <c r="J129" s="31" t="s">
        <v>32</v>
      </c>
      <c r="K129" s="12"/>
      <c r="L129" s="9"/>
      <c r="M129" s="10" t="str">
        <f aca="false">VLOOKUP(J129,RECATALOGANDO!A:C,2,0)</f>
        <v>TRANSFERENCIA ENTRE CUENTAS</v>
      </c>
      <c r="N129" s="12" t="str">
        <f aca="false">VLOOKUP(M129,RECATALOGANDO!B:C,2,0)</f>
        <v>TRANSFERENCIAS</v>
      </c>
      <c r="O129" s="2" t="s">
        <v>31</v>
      </c>
    </row>
    <row r="130" customFormat="false" ht="13.8" hidden="false" customHeight="false" outlineLevel="0" collapsed="false">
      <c r="A130" s="29" t="n">
        <v>45443</v>
      </c>
      <c r="B130" s="9" t="n">
        <f aca="false">DAY(A130)</f>
        <v>31</v>
      </c>
      <c r="C130" s="9" t="n">
        <f aca="false">MONTH(A130)</f>
        <v>5</v>
      </c>
      <c r="D130" s="9" t="n">
        <f aca="false">YEAR(A130)</f>
        <v>2024</v>
      </c>
      <c r="E130" s="9" t="n">
        <f aca="false">WEEKDAY(A130,2)</f>
        <v>5</v>
      </c>
      <c r="F130" s="10" t="n">
        <f aca="false">WEEKNUM(A130,2) - WEEKNUM(DATE(YEAR(A130),MONTH(A130),1),2) + 1</f>
        <v>5</v>
      </c>
      <c r="G130" s="10"/>
      <c r="H130" s="30" t="n">
        <v>250</v>
      </c>
      <c r="I130" s="31" t="s">
        <v>20</v>
      </c>
      <c r="J130" s="31" t="s">
        <v>32</v>
      </c>
      <c r="K130" s="12"/>
      <c r="L130" s="9"/>
      <c r="M130" s="10" t="str">
        <f aca="false">VLOOKUP(J130,RECATALOGANDO!A:C,2,0)</f>
        <v>TRANSFERENCIA ENTRE CUENTAS</v>
      </c>
      <c r="N130" s="12" t="str">
        <f aca="false">VLOOKUP(M130,RECATALOGANDO!B:C,2,0)</f>
        <v>TRANSFERENCIAS</v>
      </c>
      <c r="O130" s="2" t="s">
        <v>31</v>
      </c>
    </row>
    <row r="131" customFormat="false" ht="13.8" hidden="false" customHeight="false" outlineLevel="0" collapsed="false">
      <c r="A131" s="29" t="n">
        <v>45447</v>
      </c>
      <c r="B131" s="9" t="n">
        <f aca="false">DAY(A131)</f>
        <v>4</v>
      </c>
      <c r="C131" s="9" t="n">
        <f aca="false">MONTH(A131)</f>
        <v>6</v>
      </c>
      <c r="D131" s="9" t="n">
        <f aca="false">YEAR(A131)</f>
        <v>2024</v>
      </c>
      <c r="E131" s="9" t="n">
        <f aca="false">WEEKDAY(A131,2)</f>
        <v>2</v>
      </c>
      <c r="F131" s="10" t="n">
        <f aca="false">WEEKNUM(A131,2) - WEEKNUM(DATE(YEAR(A131),MONTH(A131),1),2) + 1</f>
        <v>2</v>
      </c>
      <c r="G131" s="10"/>
      <c r="H131" s="30" t="n">
        <v>2200</v>
      </c>
      <c r="I131" s="31" t="s">
        <v>15</v>
      </c>
      <c r="J131" s="31" t="s">
        <v>32</v>
      </c>
      <c r="K131" s="12"/>
      <c r="L131" s="9"/>
      <c r="M131" s="10" t="str">
        <f aca="false">VLOOKUP(J131,RECATALOGANDO!A:C,2,0)</f>
        <v>TRANSFERENCIA ENTRE CUENTAS</v>
      </c>
      <c r="N131" s="12" t="str">
        <f aca="false">VLOOKUP(M131,RECATALOGANDO!B:C,2,0)</f>
        <v>TRANSFERENCIAS</v>
      </c>
      <c r="O131" s="2" t="s">
        <v>31</v>
      </c>
    </row>
    <row r="132" customFormat="false" ht="13.8" hidden="false" customHeight="false" outlineLevel="0" collapsed="false">
      <c r="A132" s="29" t="n">
        <v>45449</v>
      </c>
      <c r="B132" s="9" t="n">
        <f aca="false">DAY(A132)</f>
        <v>6</v>
      </c>
      <c r="C132" s="9" t="n">
        <f aca="false">MONTH(A132)</f>
        <v>6</v>
      </c>
      <c r="D132" s="9" t="n">
        <f aca="false">YEAR(A132)</f>
        <v>2024</v>
      </c>
      <c r="E132" s="9" t="n">
        <f aca="false">WEEKDAY(A132,2)</f>
        <v>4</v>
      </c>
      <c r="F132" s="10" t="n">
        <f aca="false">WEEKNUM(A132,2) - WEEKNUM(DATE(YEAR(A132),MONTH(A132),1),2) + 1</f>
        <v>2</v>
      </c>
      <c r="G132" s="10"/>
      <c r="H132" s="30" t="n">
        <v>350</v>
      </c>
      <c r="I132" s="31" t="s">
        <v>15</v>
      </c>
      <c r="J132" s="31" t="s">
        <v>32</v>
      </c>
      <c r="K132" s="12"/>
      <c r="L132" s="9"/>
      <c r="M132" s="10" t="str">
        <f aca="false">VLOOKUP(J132,RECATALOGANDO!A:C,2,0)</f>
        <v>TRANSFERENCIA ENTRE CUENTAS</v>
      </c>
      <c r="N132" s="12" t="str">
        <f aca="false">VLOOKUP(M132,RECATALOGANDO!B:C,2,0)</f>
        <v>TRANSFERENCIAS</v>
      </c>
      <c r="O132" s="2" t="s">
        <v>31</v>
      </c>
    </row>
    <row r="133" customFormat="false" ht="13.8" hidden="false" customHeight="false" outlineLevel="0" collapsed="false">
      <c r="A133" s="29" t="n">
        <v>45450</v>
      </c>
      <c r="B133" s="9" t="n">
        <f aca="false">DAY(A133)</f>
        <v>7</v>
      </c>
      <c r="C133" s="9" t="n">
        <f aca="false">MONTH(A133)</f>
        <v>6</v>
      </c>
      <c r="D133" s="9" t="n">
        <f aca="false">YEAR(A133)</f>
        <v>2024</v>
      </c>
      <c r="E133" s="9" t="n">
        <f aca="false">WEEKDAY(A133,2)</f>
        <v>5</v>
      </c>
      <c r="F133" s="10" t="n">
        <f aca="false">WEEKNUM(A133,2) - WEEKNUM(DATE(YEAR(A133),MONTH(A133),1),2) + 1</f>
        <v>2</v>
      </c>
      <c r="G133" s="10"/>
      <c r="H133" s="30" t="n">
        <v>350</v>
      </c>
      <c r="I133" s="31" t="s">
        <v>20</v>
      </c>
      <c r="J133" s="31" t="s">
        <v>32</v>
      </c>
      <c r="K133" s="12"/>
      <c r="L133" s="9"/>
      <c r="M133" s="10" t="str">
        <f aca="false">VLOOKUP(J133,RECATALOGANDO!A:C,2,0)</f>
        <v>TRANSFERENCIA ENTRE CUENTAS</v>
      </c>
      <c r="N133" s="12" t="str">
        <f aca="false">VLOOKUP(M133,RECATALOGANDO!B:C,2,0)</f>
        <v>TRANSFERENCIAS</v>
      </c>
      <c r="O133" s="2" t="s">
        <v>31</v>
      </c>
    </row>
    <row r="134" customFormat="false" ht="13.8" hidden="false" customHeight="false" outlineLevel="0" collapsed="false">
      <c r="A134" s="35" t="n">
        <v>45452</v>
      </c>
      <c r="B134" s="9" t="n">
        <f aca="false">DAY(A134)</f>
        <v>9</v>
      </c>
      <c r="C134" s="9" t="n">
        <f aca="false">MONTH(A134)</f>
        <v>6</v>
      </c>
      <c r="D134" s="9" t="n">
        <f aca="false">YEAR(A134)</f>
        <v>2024</v>
      </c>
      <c r="E134" s="9" t="n">
        <f aca="false">WEEKDAY(A134,2)</f>
        <v>7</v>
      </c>
      <c r="F134" s="10" t="n">
        <f aca="false">WEEKNUM(A134,2) - WEEKNUM(DATE(YEAR(A134),MONTH(A134),1),2) + 1</f>
        <v>2</v>
      </c>
      <c r="G134" s="10"/>
      <c r="H134" s="36" t="n">
        <v>500</v>
      </c>
      <c r="I134" s="37" t="s">
        <v>15</v>
      </c>
      <c r="J134" s="37" t="s">
        <v>33</v>
      </c>
      <c r="K134" s="12"/>
      <c r="L134" s="9"/>
      <c r="M134" s="10" t="str">
        <f aca="false">VLOOKUP(J134,RECATALOGANDO!A:C,2,0)</f>
        <v>TRANSFERENCIA FAMILIAR</v>
      </c>
      <c r="N134" s="12" t="str">
        <f aca="false">VLOOKUP(M134,RECATALOGANDO!B:C,2,0)</f>
        <v>TRANSFERENCIAS</v>
      </c>
      <c r="O134" s="2" t="s">
        <v>31</v>
      </c>
    </row>
    <row r="135" customFormat="false" ht="13.8" hidden="false" customHeight="false" outlineLevel="0" collapsed="false">
      <c r="A135" s="35" t="n">
        <v>45452</v>
      </c>
      <c r="B135" s="9" t="n">
        <f aca="false">DAY(A135)</f>
        <v>9</v>
      </c>
      <c r="C135" s="9" t="n">
        <f aca="false">MONTH(A135)</f>
        <v>6</v>
      </c>
      <c r="D135" s="9" t="n">
        <f aca="false">YEAR(A135)</f>
        <v>2024</v>
      </c>
      <c r="E135" s="9" t="n">
        <f aca="false">WEEKDAY(A135,2)</f>
        <v>7</v>
      </c>
      <c r="F135" s="10" t="n">
        <f aca="false">WEEKNUM(A135,2) - WEEKNUM(DATE(YEAR(A135),MONTH(A135),1),2) + 1</f>
        <v>2</v>
      </c>
      <c r="G135" s="10"/>
      <c r="H135" s="36" t="n">
        <v>666</v>
      </c>
      <c r="I135" s="37" t="s">
        <v>15</v>
      </c>
      <c r="J135" s="37" t="s">
        <v>33</v>
      </c>
      <c r="K135" s="12"/>
      <c r="L135" s="9"/>
      <c r="M135" s="10" t="str">
        <f aca="false">VLOOKUP(J135,RECATALOGANDO!A:C,2,0)</f>
        <v>TRANSFERENCIA FAMILIAR</v>
      </c>
      <c r="N135" s="12" t="str">
        <f aca="false">VLOOKUP(M135,RECATALOGANDO!B:C,2,0)</f>
        <v>TRANSFERENCIAS</v>
      </c>
      <c r="O135" s="2" t="s">
        <v>31</v>
      </c>
    </row>
    <row r="136" customFormat="false" ht="13.8" hidden="false" customHeight="false" outlineLevel="0" collapsed="false">
      <c r="A136" s="29" t="n">
        <v>45454</v>
      </c>
      <c r="B136" s="9" t="n">
        <f aca="false">DAY(A136)</f>
        <v>11</v>
      </c>
      <c r="C136" s="9" t="n">
        <f aca="false">MONTH(A136)</f>
        <v>6</v>
      </c>
      <c r="D136" s="9" t="n">
        <f aca="false">YEAR(A136)</f>
        <v>2024</v>
      </c>
      <c r="E136" s="9" t="n">
        <f aca="false">WEEKDAY(A136,2)</f>
        <v>2</v>
      </c>
      <c r="F136" s="10" t="n">
        <f aca="false">WEEKNUM(A136,2) - WEEKNUM(DATE(YEAR(A136),MONTH(A136),1),2) + 1</f>
        <v>3</v>
      </c>
      <c r="G136" s="10"/>
      <c r="H136" s="30" t="n">
        <v>329</v>
      </c>
      <c r="I136" s="31" t="s">
        <v>20</v>
      </c>
      <c r="J136" s="31" t="s">
        <v>32</v>
      </c>
      <c r="K136" s="12"/>
      <c r="L136" s="9"/>
      <c r="M136" s="10" t="str">
        <f aca="false">VLOOKUP(J136,RECATALOGANDO!A:C,2,0)</f>
        <v>TRANSFERENCIA ENTRE CUENTAS</v>
      </c>
      <c r="N136" s="12" t="str">
        <f aca="false">VLOOKUP(M136,RECATALOGANDO!B:C,2,0)</f>
        <v>TRANSFERENCIAS</v>
      </c>
      <c r="O136" s="2" t="s">
        <v>31</v>
      </c>
    </row>
    <row r="137" customFormat="false" ht="13.8" hidden="false" customHeight="false" outlineLevel="0" collapsed="false">
      <c r="A137" s="29" t="n">
        <v>45454</v>
      </c>
      <c r="B137" s="9" t="n">
        <f aca="false">DAY(A137)</f>
        <v>11</v>
      </c>
      <c r="C137" s="9" t="n">
        <f aca="false">MONTH(A137)</f>
        <v>6</v>
      </c>
      <c r="D137" s="9" t="n">
        <f aca="false">YEAR(A137)</f>
        <v>2024</v>
      </c>
      <c r="E137" s="9" t="n">
        <f aca="false">WEEKDAY(A137,2)</f>
        <v>2</v>
      </c>
      <c r="F137" s="10" t="n">
        <f aca="false">WEEKNUM(A137,2) - WEEKNUM(DATE(YEAR(A137),MONTH(A137),1),2) + 1</f>
        <v>3</v>
      </c>
      <c r="G137" s="10"/>
      <c r="H137" s="30" t="n">
        <v>1365</v>
      </c>
      <c r="I137" s="31" t="s">
        <v>20</v>
      </c>
      <c r="J137" s="31" t="s">
        <v>32</v>
      </c>
      <c r="K137" s="12"/>
      <c r="L137" s="9"/>
      <c r="M137" s="10" t="str">
        <f aca="false">VLOOKUP(J137,RECATALOGANDO!A:C,2,0)</f>
        <v>TRANSFERENCIA ENTRE CUENTAS</v>
      </c>
      <c r="N137" s="12" t="str">
        <f aca="false">VLOOKUP(M137,RECATALOGANDO!B:C,2,0)</f>
        <v>TRANSFERENCIAS</v>
      </c>
      <c r="O137" s="2" t="s">
        <v>31</v>
      </c>
    </row>
    <row r="138" customFormat="false" ht="13.8" hidden="false" customHeight="false" outlineLevel="0" collapsed="false">
      <c r="A138" s="35" t="n">
        <v>45455</v>
      </c>
      <c r="B138" s="9" t="n">
        <f aca="false">DAY(A138)</f>
        <v>12</v>
      </c>
      <c r="C138" s="9" t="n">
        <f aca="false">MONTH(A138)</f>
        <v>6</v>
      </c>
      <c r="D138" s="9" t="n">
        <f aca="false">YEAR(A138)</f>
        <v>2024</v>
      </c>
      <c r="E138" s="9" t="n">
        <f aca="false">WEEKDAY(A138,2)</f>
        <v>3</v>
      </c>
      <c r="F138" s="10" t="n">
        <f aca="false">WEEKNUM(A138,2) - WEEKNUM(DATE(YEAR(A138),MONTH(A138),1),2) + 1</f>
        <v>3</v>
      </c>
      <c r="G138" s="10"/>
      <c r="H138" s="36" t="n">
        <v>540</v>
      </c>
      <c r="I138" s="37" t="s">
        <v>20</v>
      </c>
      <c r="J138" s="37" t="s">
        <v>33</v>
      </c>
      <c r="K138" s="12"/>
      <c r="L138" s="9"/>
      <c r="M138" s="10" t="str">
        <f aca="false">VLOOKUP(J138,RECATALOGANDO!A:C,2,0)</f>
        <v>TRANSFERENCIA FAMILIAR</v>
      </c>
      <c r="N138" s="12" t="str">
        <f aca="false">VLOOKUP(M138,RECATALOGANDO!B:C,2,0)</f>
        <v>TRANSFERENCIAS</v>
      </c>
      <c r="O138" s="2" t="s">
        <v>31</v>
      </c>
    </row>
    <row r="139" customFormat="false" ht="13.8" hidden="false" customHeight="false" outlineLevel="0" collapsed="false">
      <c r="A139" s="35" t="n">
        <v>45457</v>
      </c>
      <c r="B139" s="9" t="n">
        <f aca="false">DAY(A139)</f>
        <v>14</v>
      </c>
      <c r="C139" s="9" t="n">
        <f aca="false">MONTH(A139)</f>
        <v>6</v>
      </c>
      <c r="D139" s="9" t="n">
        <f aca="false">YEAR(A139)</f>
        <v>2024</v>
      </c>
      <c r="E139" s="9" t="n">
        <f aca="false">WEEKDAY(A139,2)</f>
        <v>5</v>
      </c>
      <c r="F139" s="10" t="n">
        <f aca="false">WEEKNUM(A139,2) - WEEKNUM(DATE(YEAR(A139),MONTH(A139),1),2) + 1</f>
        <v>3</v>
      </c>
      <c r="G139" s="10" t="n">
        <v>1</v>
      </c>
      <c r="H139" s="36" t="n">
        <v>400</v>
      </c>
      <c r="I139" s="37" t="s">
        <v>15</v>
      </c>
      <c r="J139" s="37" t="s">
        <v>33</v>
      </c>
      <c r="K139" s="12"/>
      <c r="L139" s="9"/>
      <c r="M139" s="10" t="str">
        <f aca="false">VLOOKUP(J139,RECATALOGANDO!A:C,2,0)</f>
        <v>TRANSFERENCIA FAMILIAR</v>
      </c>
      <c r="N139" s="12" t="str">
        <f aca="false">VLOOKUP(M139,RECATALOGANDO!B:C,2,0)</f>
        <v>TRANSFERENCIAS</v>
      </c>
      <c r="O139" s="2" t="s">
        <v>31</v>
      </c>
    </row>
    <row r="140" customFormat="false" ht="13.8" hidden="false" customHeight="false" outlineLevel="0" collapsed="false">
      <c r="A140" s="29" t="n">
        <v>45457</v>
      </c>
      <c r="B140" s="9" t="n">
        <f aca="false">DAY(A140)</f>
        <v>14</v>
      </c>
      <c r="C140" s="9" t="n">
        <f aca="false">MONTH(A140)</f>
        <v>6</v>
      </c>
      <c r="D140" s="9" t="n">
        <f aca="false">YEAR(A140)</f>
        <v>2024</v>
      </c>
      <c r="E140" s="9" t="n">
        <f aca="false">WEEKDAY(A140,2)</f>
        <v>5</v>
      </c>
      <c r="F140" s="10" t="n">
        <f aca="false">WEEKNUM(A140,2) - WEEKNUM(DATE(YEAR(A140),MONTH(A140),1),2) + 1</f>
        <v>3</v>
      </c>
      <c r="G140" s="10" t="n">
        <v>1</v>
      </c>
      <c r="H140" s="30" t="n">
        <v>583</v>
      </c>
      <c r="I140" s="31" t="s">
        <v>15</v>
      </c>
      <c r="J140" s="31" t="s">
        <v>32</v>
      </c>
      <c r="K140" s="12"/>
      <c r="L140" s="9"/>
      <c r="M140" s="10" t="str">
        <f aca="false">VLOOKUP(J140,RECATALOGANDO!A:C,2,0)</f>
        <v>TRANSFERENCIA ENTRE CUENTAS</v>
      </c>
      <c r="N140" s="12" t="str">
        <f aca="false">VLOOKUP(M140,RECATALOGANDO!B:C,2,0)</f>
        <v>TRANSFERENCIAS</v>
      </c>
      <c r="O140" s="2" t="s">
        <v>31</v>
      </c>
    </row>
    <row r="141" customFormat="false" ht="13.8" hidden="false" customHeight="false" outlineLevel="0" collapsed="false">
      <c r="A141" s="29" t="n">
        <v>45461</v>
      </c>
      <c r="B141" s="9" t="n">
        <f aca="false">DAY(A141)</f>
        <v>18</v>
      </c>
      <c r="C141" s="9" t="n">
        <f aca="false">MONTH(A141)</f>
        <v>6</v>
      </c>
      <c r="D141" s="9" t="n">
        <f aca="false">YEAR(A141)</f>
        <v>2024</v>
      </c>
      <c r="E141" s="9" t="n">
        <f aca="false">WEEKDAY(A141,2)</f>
        <v>2</v>
      </c>
      <c r="F141" s="10" t="n">
        <f aca="false">WEEKNUM(A141,2) - WEEKNUM(DATE(YEAR(A141),MONTH(A141),1),2) + 1</f>
        <v>4</v>
      </c>
      <c r="G141" s="10"/>
      <c r="H141" s="30" t="n">
        <v>2000</v>
      </c>
      <c r="I141" s="31" t="s">
        <v>15</v>
      </c>
      <c r="J141" s="31" t="s">
        <v>32</v>
      </c>
      <c r="K141" s="12"/>
      <c r="L141" s="9"/>
      <c r="M141" s="10" t="str">
        <f aca="false">VLOOKUP(J141,RECATALOGANDO!A:C,2,0)</f>
        <v>TRANSFERENCIA ENTRE CUENTAS</v>
      </c>
      <c r="N141" s="12" t="str">
        <f aca="false">VLOOKUP(M141,RECATALOGANDO!B:C,2,0)</f>
        <v>TRANSFERENCIAS</v>
      </c>
      <c r="O141" s="2" t="s">
        <v>31</v>
      </c>
    </row>
    <row r="142" customFormat="false" ht="13.8" hidden="false" customHeight="false" outlineLevel="0" collapsed="false">
      <c r="A142" s="35" t="n">
        <v>45463</v>
      </c>
      <c r="B142" s="9" t="n">
        <f aca="false">DAY(A142)</f>
        <v>20</v>
      </c>
      <c r="C142" s="9" t="n">
        <f aca="false">MONTH(A142)</f>
        <v>6</v>
      </c>
      <c r="D142" s="9" t="n">
        <f aca="false">YEAR(A142)</f>
        <v>2024</v>
      </c>
      <c r="E142" s="9" t="n">
        <f aca="false">WEEKDAY(A142,2)</f>
        <v>4</v>
      </c>
      <c r="F142" s="10" t="n">
        <f aca="false">WEEKNUM(A142,2) - WEEKNUM(DATE(YEAR(A142),MONTH(A142),1),2) + 1</f>
        <v>4</v>
      </c>
      <c r="G142" s="10"/>
      <c r="H142" s="36" t="n">
        <v>300</v>
      </c>
      <c r="I142" s="37" t="s">
        <v>20</v>
      </c>
      <c r="J142" s="37" t="s">
        <v>33</v>
      </c>
      <c r="K142" s="12"/>
      <c r="L142" s="9"/>
      <c r="M142" s="10" t="str">
        <f aca="false">VLOOKUP(J142,RECATALOGANDO!A:C,2,0)</f>
        <v>TRANSFERENCIA FAMILIAR</v>
      </c>
      <c r="N142" s="12" t="str">
        <f aca="false">VLOOKUP(M142,RECATALOGANDO!B:C,2,0)</f>
        <v>TRANSFERENCIAS</v>
      </c>
      <c r="O142" s="2" t="s">
        <v>31</v>
      </c>
    </row>
    <row r="143" customFormat="false" ht="13.8" hidden="false" customHeight="false" outlineLevel="0" collapsed="false">
      <c r="A143" s="29" t="n">
        <v>45477</v>
      </c>
      <c r="B143" s="9" t="n">
        <f aca="false">DAY(A143)</f>
        <v>4</v>
      </c>
      <c r="C143" s="9" t="n">
        <f aca="false">MONTH(A143)</f>
        <v>7</v>
      </c>
      <c r="D143" s="9" t="n">
        <f aca="false">YEAR(A143)</f>
        <v>2024</v>
      </c>
      <c r="E143" s="9" t="n">
        <f aca="false">WEEKDAY(A143,2)</f>
        <v>4</v>
      </c>
      <c r="F143" s="10" t="n">
        <f aca="false">WEEKNUM(A143,2) - WEEKNUM(DATE(YEAR(A143),MONTH(A143),1),2) + 1</f>
        <v>1</v>
      </c>
      <c r="G143" s="10"/>
      <c r="H143" s="30" t="n">
        <v>1000</v>
      </c>
      <c r="I143" s="31" t="s">
        <v>15</v>
      </c>
      <c r="J143" s="31" t="s">
        <v>32</v>
      </c>
      <c r="K143" s="12"/>
      <c r="L143" s="9"/>
      <c r="M143" s="10" t="str">
        <f aca="false">VLOOKUP(J143,RECATALOGANDO!A:C,2,0)</f>
        <v>TRANSFERENCIA ENTRE CUENTAS</v>
      </c>
      <c r="N143" s="12" t="str">
        <f aca="false">VLOOKUP(M143,RECATALOGANDO!B:C,2,0)</f>
        <v>TRANSFERENCIAS</v>
      </c>
      <c r="O143" s="2" t="s">
        <v>31</v>
      </c>
    </row>
    <row r="144" customFormat="false" ht="13.8" hidden="false" customHeight="false" outlineLevel="0" collapsed="false">
      <c r="A144" s="29" t="n">
        <v>45479</v>
      </c>
      <c r="B144" s="9" t="n">
        <f aca="false">DAY(A144)</f>
        <v>6</v>
      </c>
      <c r="C144" s="9" t="n">
        <f aca="false">MONTH(A144)</f>
        <v>7</v>
      </c>
      <c r="D144" s="9" t="n">
        <f aca="false">YEAR(A144)</f>
        <v>2024</v>
      </c>
      <c r="E144" s="9" t="n">
        <f aca="false">WEEKDAY(A144,2)</f>
        <v>6</v>
      </c>
      <c r="F144" s="10" t="n">
        <f aca="false">WEEKNUM(A144,2) - WEEKNUM(DATE(YEAR(A144),MONTH(A144),1),2) + 1</f>
        <v>1</v>
      </c>
      <c r="G144" s="10"/>
      <c r="H144" s="30" t="n">
        <v>2500</v>
      </c>
      <c r="I144" s="31" t="s">
        <v>15</v>
      </c>
      <c r="J144" s="31" t="s">
        <v>32</v>
      </c>
      <c r="K144" s="12"/>
      <c r="L144" s="9"/>
      <c r="M144" s="10" t="str">
        <f aca="false">VLOOKUP(J144,RECATALOGANDO!A:C,2,0)</f>
        <v>TRANSFERENCIA ENTRE CUENTAS</v>
      </c>
      <c r="N144" s="12" t="str">
        <f aca="false">VLOOKUP(M144,RECATALOGANDO!B:C,2,0)</f>
        <v>TRANSFERENCIAS</v>
      </c>
      <c r="O144" s="2" t="s">
        <v>31</v>
      </c>
    </row>
    <row r="145" customFormat="false" ht="13.8" hidden="false" customHeight="false" outlineLevel="0" collapsed="false">
      <c r="A145" s="29" t="n">
        <v>45505</v>
      </c>
      <c r="B145" s="9" t="n">
        <f aca="false">DAY(A145)</f>
        <v>1</v>
      </c>
      <c r="C145" s="9" t="n">
        <f aca="false">MONTH(A145)</f>
        <v>8</v>
      </c>
      <c r="D145" s="9" t="n">
        <f aca="false">YEAR(A145)</f>
        <v>2024</v>
      </c>
      <c r="E145" s="9" t="n">
        <f aca="false">WEEKDAY(A145,2)</f>
        <v>4</v>
      </c>
      <c r="F145" s="10" t="n">
        <f aca="false">WEEKNUM(A145,2) - WEEKNUM(DATE(YEAR(A145),MONTH(A145),1),2) + 1</f>
        <v>1</v>
      </c>
      <c r="G145" s="10"/>
      <c r="H145" s="30" t="n">
        <v>500</v>
      </c>
      <c r="I145" s="31" t="s">
        <v>20</v>
      </c>
      <c r="J145" s="31" t="s">
        <v>33</v>
      </c>
      <c r="K145" s="12"/>
      <c r="L145" s="9"/>
      <c r="M145" s="10" t="str">
        <f aca="false">VLOOKUP(J145,RECATALOGANDO!A:C,2,0)</f>
        <v>TRANSFERENCIA FAMILIAR</v>
      </c>
      <c r="N145" s="12" t="str">
        <f aca="false">VLOOKUP(M145,RECATALOGANDO!B:C,2,0)</f>
        <v>TRANSFERENCIAS</v>
      </c>
      <c r="O145" s="2" t="s">
        <v>31</v>
      </c>
    </row>
    <row r="146" customFormat="false" ht="13.8" hidden="false" customHeight="false" outlineLevel="0" collapsed="false">
      <c r="A146" s="29" t="n">
        <v>45505</v>
      </c>
      <c r="B146" s="9" t="n">
        <f aca="false">DAY(A146)</f>
        <v>1</v>
      </c>
      <c r="C146" s="9" t="n">
        <f aca="false">MONTH(A146)</f>
        <v>8</v>
      </c>
      <c r="D146" s="9" t="n">
        <f aca="false">YEAR(A146)</f>
        <v>2024</v>
      </c>
      <c r="E146" s="9" t="n">
        <f aca="false">WEEKDAY(A146,2)</f>
        <v>4</v>
      </c>
      <c r="F146" s="10" t="n">
        <f aca="false">WEEKNUM(A146,2) - WEEKNUM(DATE(YEAR(A146),MONTH(A146),1),2) + 1</f>
        <v>1</v>
      </c>
      <c r="G146" s="10"/>
      <c r="H146" s="30" t="n">
        <v>500</v>
      </c>
      <c r="I146" s="31" t="s">
        <v>20</v>
      </c>
      <c r="J146" s="31" t="s">
        <v>33</v>
      </c>
      <c r="K146" s="12"/>
      <c r="L146" s="9"/>
      <c r="M146" s="10" t="str">
        <f aca="false">VLOOKUP(J146,RECATALOGANDO!A:C,2,0)</f>
        <v>TRANSFERENCIA FAMILIAR</v>
      </c>
      <c r="N146" s="12" t="str">
        <f aca="false">VLOOKUP(M146,RECATALOGANDO!B:C,2,0)</f>
        <v>TRANSFERENCIAS</v>
      </c>
      <c r="O146" s="2" t="s">
        <v>31</v>
      </c>
    </row>
    <row r="147" customFormat="false" ht="13.8" hidden="false" customHeight="false" outlineLevel="0" collapsed="false">
      <c r="A147" s="35" t="n">
        <v>45505</v>
      </c>
      <c r="B147" s="9" t="n">
        <f aca="false">DAY(A147)</f>
        <v>1</v>
      </c>
      <c r="C147" s="9" t="n">
        <f aca="false">MONTH(A147)</f>
        <v>8</v>
      </c>
      <c r="D147" s="9" t="n">
        <f aca="false">YEAR(A147)</f>
        <v>2024</v>
      </c>
      <c r="E147" s="9" t="n">
        <f aca="false">WEEKDAY(A147,2)</f>
        <v>4</v>
      </c>
      <c r="F147" s="10" t="n">
        <f aca="false">WEEKNUM(A147,2) - WEEKNUM(DATE(YEAR(A147),MONTH(A147),1),2) + 1</f>
        <v>1</v>
      </c>
      <c r="G147" s="10"/>
      <c r="H147" s="36" t="n">
        <v>900</v>
      </c>
      <c r="I147" s="37" t="s">
        <v>20</v>
      </c>
      <c r="J147" s="37" t="s">
        <v>35</v>
      </c>
      <c r="K147" s="12"/>
      <c r="L147" s="9"/>
      <c r="M147" s="10" t="str">
        <f aca="false">VLOOKUP(J147,RECATALOGANDO!A:C,2,0)</f>
        <v>TRANSFERENCIA ENTRE CUENTAS</v>
      </c>
      <c r="N147" s="12" t="str">
        <f aca="false">VLOOKUP(M147,RECATALOGANDO!B:C,2,0)</f>
        <v>TRANSFERENCIAS</v>
      </c>
      <c r="O147" s="2" t="s">
        <v>31</v>
      </c>
    </row>
    <row r="148" customFormat="false" ht="13.8" hidden="false" customHeight="false" outlineLevel="0" collapsed="false">
      <c r="A148" s="35" t="n">
        <v>45505</v>
      </c>
      <c r="B148" s="9" t="n">
        <f aca="false">DAY(A148)</f>
        <v>1</v>
      </c>
      <c r="C148" s="9" t="n">
        <f aca="false">MONTH(A148)</f>
        <v>8</v>
      </c>
      <c r="D148" s="9" t="n">
        <f aca="false">YEAR(A148)</f>
        <v>2024</v>
      </c>
      <c r="E148" s="9" t="n">
        <f aca="false">WEEKDAY(A148,2)</f>
        <v>4</v>
      </c>
      <c r="F148" s="10" t="n">
        <f aca="false">WEEKNUM(A148,2) - WEEKNUM(DATE(YEAR(A148),MONTH(A148),1),2) + 1</f>
        <v>1</v>
      </c>
      <c r="G148" s="10"/>
      <c r="H148" s="36" t="n">
        <v>900</v>
      </c>
      <c r="I148" s="37" t="s">
        <v>20</v>
      </c>
      <c r="J148" s="37" t="s">
        <v>35</v>
      </c>
      <c r="K148" s="12"/>
      <c r="L148" s="9"/>
      <c r="M148" s="10" t="str">
        <f aca="false">VLOOKUP(J148,RECATALOGANDO!A:C,2,0)</f>
        <v>TRANSFERENCIA ENTRE CUENTAS</v>
      </c>
      <c r="N148" s="12" t="str">
        <f aca="false">VLOOKUP(M148,RECATALOGANDO!B:C,2,0)</f>
        <v>TRANSFERENCIAS</v>
      </c>
      <c r="O148" s="2" t="s">
        <v>31</v>
      </c>
    </row>
    <row r="149" customFormat="false" ht="13.8" hidden="false" customHeight="false" outlineLevel="0" collapsed="false">
      <c r="A149" s="8" t="n">
        <v>45506</v>
      </c>
      <c r="B149" s="9" t="n">
        <f aca="false">DAY(A149)</f>
        <v>2</v>
      </c>
      <c r="C149" s="9" t="n">
        <f aca="false">MONTH(A149)</f>
        <v>8</v>
      </c>
      <c r="D149" s="9" t="n">
        <f aca="false">YEAR(A149)</f>
        <v>2024</v>
      </c>
      <c r="E149" s="9" t="n">
        <f aca="false">WEEKDAY(A149,2)</f>
        <v>5</v>
      </c>
      <c r="F149" s="10" t="n">
        <f aca="false">WEEKNUM(A149,2) - WEEKNUM(DATE(YEAR(A149),MONTH(A149),1),2) + 1</f>
        <v>1</v>
      </c>
      <c r="G149" s="10"/>
      <c r="H149" s="11" t="n">
        <v>300</v>
      </c>
      <c r="I149" s="12" t="s">
        <v>20</v>
      </c>
      <c r="J149" s="12" t="s">
        <v>35</v>
      </c>
      <c r="K149" s="12"/>
      <c r="L149" s="9"/>
      <c r="M149" s="10" t="str">
        <f aca="false">VLOOKUP(J149,RECATALOGANDO!A:C,2,0)</f>
        <v>TRANSFERENCIA ENTRE CUENTAS</v>
      </c>
      <c r="N149" s="12" t="str">
        <f aca="false">VLOOKUP(M149,RECATALOGANDO!B:C,2,0)</f>
        <v>TRANSFERENCIAS</v>
      </c>
      <c r="O149" s="2" t="s">
        <v>31</v>
      </c>
    </row>
    <row r="150" customFormat="false" ht="13.8" hidden="false" customHeight="false" outlineLevel="0" collapsed="false">
      <c r="A150" s="35" t="n">
        <v>45506</v>
      </c>
      <c r="B150" s="9" t="n">
        <f aca="false">DAY(A150)</f>
        <v>2</v>
      </c>
      <c r="C150" s="9" t="n">
        <f aca="false">MONTH(A150)</f>
        <v>8</v>
      </c>
      <c r="D150" s="9" t="n">
        <f aca="false">YEAR(A150)</f>
        <v>2024</v>
      </c>
      <c r="E150" s="9" t="n">
        <f aca="false">WEEKDAY(A150,2)</f>
        <v>5</v>
      </c>
      <c r="F150" s="10" t="n">
        <f aca="false">WEEKNUM(A150,2) - WEEKNUM(DATE(YEAR(A150),MONTH(A150),1),2) + 1</f>
        <v>1</v>
      </c>
      <c r="G150" s="10"/>
      <c r="H150" s="36" t="n">
        <v>300</v>
      </c>
      <c r="I150" s="37" t="s">
        <v>20</v>
      </c>
      <c r="J150" s="37" t="s">
        <v>35</v>
      </c>
      <c r="K150" s="12"/>
      <c r="L150" s="9"/>
      <c r="M150" s="10" t="str">
        <f aca="false">VLOOKUP(J150,RECATALOGANDO!A:C,2,0)</f>
        <v>TRANSFERENCIA ENTRE CUENTAS</v>
      </c>
      <c r="N150" s="12" t="str">
        <f aca="false">VLOOKUP(M150,RECATALOGANDO!B:C,2,0)</f>
        <v>TRANSFERENCIAS</v>
      </c>
      <c r="O150" s="2" t="s">
        <v>31</v>
      </c>
    </row>
    <row r="151" customFormat="false" ht="13.8" hidden="false" customHeight="false" outlineLevel="0" collapsed="false">
      <c r="A151" s="8" t="n">
        <v>45506</v>
      </c>
      <c r="B151" s="9" t="n">
        <f aca="false">DAY(A151)</f>
        <v>2</v>
      </c>
      <c r="C151" s="9" t="n">
        <f aca="false">MONTH(A151)</f>
        <v>8</v>
      </c>
      <c r="D151" s="9" t="n">
        <f aca="false">YEAR(A151)</f>
        <v>2024</v>
      </c>
      <c r="E151" s="9" t="n">
        <f aca="false">WEEKDAY(A151,2)</f>
        <v>5</v>
      </c>
      <c r="F151" s="10" t="n">
        <f aca="false">WEEKNUM(A151,2) - WEEKNUM(DATE(YEAR(A151),MONTH(A151),1),2) + 1</f>
        <v>1</v>
      </c>
      <c r="G151" s="10"/>
      <c r="H151" s="11" t="n">
        <v>644</v>
      </c>
      <c r="I151" s="12" t="s">
        <v>15</v>
      </c>
      <c r="J151" s="22" t="s">
        <v>35</v>
      </c>
      <c r="K151" s="12"/>
      <c r="L151" s="9"/>
      <c r="M151" s="10" t="str">
        <f aca="false">VLOOKUP(J151,RECATALOGANDO!A:C,2,0)</f>
        <v>TRANSFERENCIA ENTRE CUENTAS</v>
      </c>
      <c r="N151" s="12" t="str">
        <f aca="false">VLOOKUP(M151,RECATALOGANDO!B:C,2,0)</f>
        <v>TRANSFERENCIAS</v>
      </c>
      <c r="O151" s="2" t="s">
        <v>31</v>
      </c>
    </row>
    <row r="152" customFormat="false" ht="13.8" hidden="false" customHeight="false" outlineLevel="0" collapsed="false">
      <c r="A152" s="35" t="n">
        <v>45506</v>
      </c>
      <c r="B152" s="9" t="n">
        <f aca="false">DAY(A152)</f>
        <v>2</v>
      </c>
      <c r="C152" s="9" t="n">
        <f aca="false">MONTH(A152)</f>
        <v>8</v>
      </c>
      <c r="D152" s="9" t="n">
        <f aca="false">YEAR(A152)</f>
        <v>2024</v>
      </c>
      <c r="E152" s="9" t="n">
        <f aca="false">WEEKDAY(A152,2)</f>
        <v>5</v>
      </c>
      <c r="F152" s="10" t="n">
        <f aca="false">WEEKNUM(A152,2) - WEEKNUM(DATE(YEAR(A152),MONTH(A152),1),2) + 1</f>
        <v>1</v>
      </c>
      <c r="G152" s="10"/>
      <c r="H152" s="36" t="n">
        <v>644</v>
      </c>
      <c r="I152" s="37" t="s">
        <v>15</v>
      </c>
      <c r="J152" s="37" t="s">
        <v>35</v>
      </c>
      <c r="K152" s="12"/>
      <c r="L152" s="9"/>
      <c r="M152" s="10" t="str">
        <f aca="false">VLOOKUP(J152,RECATALOGANDO!A:C,2,0)</f>
        <v>TRANSFERENCIA ENTRE CUENTAS</v>
      </c>
      <c r="N152" s="12" t="str">
        <f aca="false">VLOOKUP(M152,RECATALOGANDO!B:C,2,0)</f>
        <v>TRANSFERENCIAS</v>
      </c>
      <c r="O152" s="2" t="s">
        <v>31</v>
      </c>
    </row>
    <row r="153" customFormat="false" ht="13.8" hidden="false" customHeight="false" outlineLevel="0" collapsed="false">
      <c r="A153" s="35" t="n">
        <v>45506</v>
      </c>
      <c r="B153" s="9" t="n">
        <f aca="false">DAY(A153)</f>
        <v>2</v>
      </c>
      <c r="C153" s="9" t="n">
        <f aca="false">MONTH(A153)</f>
        <v>8</v>
      </c>
      <c r="D153" s="9" t="n">
        <f aca="false">YEAR(A153)</f>
        <v>2024</v>
      </c>
      <c r="E153" s="9" t="n">
        <f aca="false">WEEKDAY(A153,2)</f>
        <v>5</v>
      </c>
      <c r="F153" s="10" t="n">
        <f aca="false">WEEKNUM(A153,2) - WEEKNUM(DATE(YEAR(A153),MONTH(A153),1),2) + 1</f>
        <v>1</v>
      </c>
      <c r="G153" s="10"/>
      <c r="H153" s="36" t="n">
        <v>2600</v>
      </c>
      <c r="I153" s="37" t="s">
        <v>15</v>
      </c>
      <c r="J153" s="37" t="s">
        <v>35</v>
      </c>
      <c r="K153" s="12"/>
      <c r="L153" s="9"/>
      <c r="M153" s="10" t="str">
        <f aca="false">VLOOKUP(J153,RECATALOGANDO!A:C,2,0)</f>
        <v>TRANSFERENCIA ENTRE CUENTAS</v>
      </c>
      <c r="N153" s="12" t="str">
        <f aca="false">VLOOKUP(M153,RECATALOGANDO!B:C,2,0)</f>
        <v>TRANSFERENCIAS</v>
      </c>
      <c r="O153" s="2" t="s">
        <v>31</v>
      </c>
    </row>
    <row r="154" customFormat="false" ht="13.8" hidden="false" customHeight="false" outlineLevel="0" collapsed="false">
      <c r="A154" s="35" t="n">
        <v>45506</v>
      </c>
      <c r="B154" s="9" t="n">
        <f aca="false">DAY(A154)</f>
        <v>2</v>
      </c>
      <c r="C154" s="9" t="n">
        <f aca="false">MONTH(A154)</f>
        <v>8</v>
      </c>
      <c r="D154" s="9" t="n">
        <f aca="false">YEAR(A154)</f>
        <v>2024</v>
      </c>
      <c r="E154" s="9" t="n">
        <f aca="false">WEEKDAY(A154,2)</f>
        <v>5</v>
      </c>
      <c r="F154" s="10" t="n">
        <f aca="false">WEEKNUM(A154,2) - WEEKNUM(DATE(YEAR(A154),MONTH(A154),1),2) + 1</f>
        <v>1</v>
      </c>
      <c r="G154" s="10"/>
      <c r="H154" s="36" t="n">
        <v>2600</v>
      </c>
      <c r="I154" s="37" t="s">
        <v>15</v>
      </c>
      <c r="J154" s="37" t="s">
        <v>35</v>
      </c>
      <c r="K154" s="12"/>
      <c r="L154" s="9"/>
      <c r="M154" s="10" t="str">
        <f aca="false">VLOOKUP(J154,RECATALOGANDO!A:C,2,0)</f>
        <v>TRANSFERENCIA ENTRE CUENTAS</v>
      </c>
      <c r="N154" s="12" t="str">
        <f aca="false">VLOOKUP(M154,RECATALOGANDO!B:C,2,0)</f>
        <v>TRANSFERENCIAS</v>
      </c>
      <c r="O154" s="2" t="s">
        <v>31</v>
      </c>
    </row>
    <row r="155" customFormat="false" ht="13.8" hidden="false" customHeight="false" outlineLevel="0" collapsed="false">
      <c r="A155" s="8" t="n">
        <v>45509</v>
      </c>
      <c r="B155" s="9" t="n">
        <f aca="false">DAY(A155)</f>
        <v>5</v>
      </c>
      <c r="C155" s="9" t="n">
        <f aca="false">MONTH(A155)</f>
        <v>8</v>
      </c>
      <c r="D155" s="9" t="n">
        <f aca="false">YEAR(A155)</f>
        <v>2024</v>
      </c>
      <c r="E155" s="9" t="n">
        <f aca="false">WEEKDAY(A155,2)</f>
        <v>1</v>
      </c>
      <c r="F155" s="10" t="n">
        <f aca="false">WEEKNUM(A155,2) - WEEKNUM(DATE(YEAR(A155),MONTH(A155),1),2) + 1</f>
        <v>2</v>
      </c>
      <c r="G155" s="10"/>
      <c r="H155" s="11" t="n">
        <v>1000</v>
      </c>
      <c r="I155" s="12" t="s">
        <v>20</v>
      </c>
      <c r="J155" s="12" t="s">
        <v>35</v>
      </c>
      <c r="K155" s="12"/>
      <c r="L155" s="9"/>
      <c r="M155" s="10" t="str">
        <f aca="false">VLOOKUP(J155,RECATALOGANDO!A:C,2,0)</f>
        <v>TRANSFERENCIA ENTRE CUENTAS</v>
      </c>
      <c r="N155" s="12" t="str">
        <f aca="false">VLOOKUP(M155,RECATALOGANDO!B:C,2,0)</f>
        <v>TRANSFERENCIAS</v>
      </c>
      <c r="O155" s="2" t="s">
        <v>31</v>
      </c>
    </row>
    <row r="156" customFormat="false" ht="13.8" hidden="false" customHeight="false" outlineLevel="0" collapsed="false">
      <c r="A156" s="35" t="n">
        <v>45509</v>
      </c>
      <c r="B156" s="9" t="n">
        <f aca="false">DAY(A156)</f>
        <v>5</v>
      </c>
      <c r="C156" s="9" t="n">
        <f aca="false">MONTH(A156)</f>
        <v>8</v>
      </c>
      <c r="D156" s="9" t="n">
        <f aca="false">YEAR(A156)</f>
        <v>2024</v>
      </c>
      <c r="E156" s="9" t="n">
        <f aca="false">WEEKDAY(A156,2)</f>
        <v>1</v>
      </c>
      <c r="F156" s="10" t="n">
        <f aca="false">WEEKNUM(A156,2) - WEEKNUM(DATE(YEAR(A156),MONTH(A156),1),2) + 1</f>
        <v>2</v>
      </c>
      <c r="G156" s="10"/>
      <c r="H156" s="36" t="n">
        <v>1000</v>
      </c>
      <c r="I156" s="37" t="s">
        <v>20</v>
      </c>
      <c r="J156" s="37" t="s">
        <v>35</v>
      </c>
      <c r="K156" s="12"/>
      <c r="L156" s="9"/>
      <c r="M156" s="10" t="str">
        <f aca="false">VLOOKUP(J156,RECATALOGANDO!A:C,2,0)</f>
        <v>TRANSFERENCIA ENTRE CUENTAS</v>
      </c>
      <c r="N156" s="12" t="str">
        <f aca="false">VLOOKUP(M156,RECATALOGANDO!B:C,2,0)</f>
        <v>TRANSFERENCIAS</v>
      </c>
      <c r="O156" s="2" t="s">
        <v>31</v>
      </c>
    </row>
    <row r="157" customFormat="false" ht="13.8" hidden="false" customHeight="false" outlineLevel="0" collapsed="false">
      <c r="A157" s="35" t="n">
        <v>45518</v>
      </c>
      <c r="B157" s="9" t="n">
        <f aca="false">DAY(A157)</f>
        <v>14</v>
      </c>
      <c r="C157" s="9" t="n">
        <f aca="false">MONTH(A157)</f>
        <v>8</v>
      </c>
      <c r="D157" s="9" t="n">
        <f aca="false">YEAR(A157)</f>
        <v>2024</v>
      </c>
      <c r="E157" s="9" t="n">
        <f aca="false">WEEKDAY(A157,2)</f>
        <v>3</v>
      </c>
      <c r="F157" s="10" t="n">
        <f aca="false">WEEKNUM(A157,2) - WEEKNUM(DATE(YEAR(A157),MONTH(A157),1),2) + 1</f>
        <v>3</v>
      </c>
      <c r="G157" s="10"/>
      <c r="H157" s="36" t="n">
        <v>180</v>
      </c>
      <c r="I157" s="37" t="s">
        <v>20</v>
      </c>
      <c r="J157" s="37" t="s">
        <v>35</v>
      </c>
      <c r="K157" s="12"/>
      <c r="L157" s="9"/>
      <c r="M157" s="10" t="str">
        <f aca="false">VLOOKUP(J157,RECATALOGANDO!A:C,2,0)</f>
        <v>TRANSFERENCIA ENTRE CUENTAS</v>
      </c>
      <c r="N157" s="12" t="str">
        <f aca="false">VLOOKUP(M157,RECATALOGANDO!B:C,2,0)</f>
        <v>TRANSFERENCIAS</v>
      </c>
      <c r="O157" s="2" t="s">
        <v>31</v>
      </c>
    </row>
    <row r="158" customFormat="false" ht="13.8" hidden="false" customHeight="false" outlineLevel="0" collapsed="false">
      <c r="A158" s="8" t="n">
        <v>45522</v>
      </c>
      <c r="B158" s="9" t="n">
        <f aca="false">DAY(A158)</f>
        <v>18</v>
      </c>
      <c r="C158" s="9" t="n">
        <f aca="false">MONTH(A158)</f>
        <v>8</v>
      </c>
      <c r="D158" s="9" t="n">
        <f aca="false">YEAR(A158)</f>
        <v>2024</v>
      </c>
      <c r="E158" s="9" t="n">
        <f aca="false">WEEKDAY(A158,2)</f>
        <v>7</v>
      </c>
      <c r="F158" s="10" t="n">
        <f aca="false">WEEKNUM(A158,2) - WEEKNUM(DATE(YEAR(A158),MONTH(A158),1),2) + 1</f>
        <v>3</v>
      </c>
      <c r="G158" s="10"/>
      <c r="H158" s="11" t="n">
        <v>835</v>
      </c>
      <c r="I158" s="12" t="s">
        <v>15</v>
      </c>
      <c r="J158" s="12" t="s">
        <v>35</v>
      </c>
      <c r="K158" s="12"/>
      <c r="L158" s="9"/>
      <c r="M158" s="10" t="str">
        <f aca="false">VLOOKUP(J158,RECATALOGANDO!A:C,2,0)</f>
        <v>TRANSFERENCIA ENTRE CUENTAS</v>
      </c>
      <c r="N158" s="12" t="str">
        <f aca="false">VLOOKUP(M158,RECATALOGANDO!B:C,2,0)</f>
        <v>TRANSFERENCIAS</v>
      </c>
      <c r="O158" s="2" t="s">
        <v>31</v>
      </c>
    </row>
    <row r="159" customFormat="false" ht="13.8" hidden="false" customHeight="false" outlineLevel="0" collapsed="false">
      <c r="A159" s="35" t="n">
        <v>45522</v>
      </c>
      <c r="B159" s="9" t="n">
        <f aca="false">DAY(A159)</f>
        <v>18</v>
      </c>
      <c r="C159" s="9" t="n">
        <f aca="false">MONTH(A159)</f>
        <v>8</v>
      </c>
      <c r="D159" s="9" t="n">
        <f aca="false">YEAR(A159)</f>
        <v>2024</v>
      </c>
      <c r="E159" s="9" t="n">
        <f aca="false">WEEKDAY(A159,2)</f>
        <v>7</v>
      </c>
      <c r="F159" s="10" t="n">
        <f aca="false">WEEKNUM(A159,2) - WEEKNUM(DATE(YEAR(A159),MONTH(A159),1),2) + 1</f>
        <v>3</v>
      </c>
      <c r="G159" s="10"/>
      <c r="H159" s="36" t="n">
        <v>835</v>
      </c>
      <c r="I159" s="37" t="s">
        <v>15</v>
      </c>
      <c r="J159" s="37" t="s">
        <v>35</v>
      </c>
      <c r="K159" s="12"/>
      <c r="L159" s="9"/>
      <c r="M159" s="10" t="str">
        <f aca="false">VLOOKUP(J159,RECATALOGANDO!A:C,2,0)</f>
        <v>TRANSFERENCIA ENTRE CUENTAS</v>
      </c>
      <c r="N159" s="12" t="str">
        <f aca="false">VLOOKUP(M159,RECATALOGANDO!B:C,2,0)</f>
        <v>TRANSFERENCIAS</v>
      </c>
      <c r="O159" s="2" t="s">
        <v>31</v>
      </c>
    </row>
    <row r="160" customFormat="false" ht="13.8" hidden="false" customHeight="false" outlineLevel="0" collapsed="false">
      <c r="A160" s="35" t="n">
        <v>45558</v>
      </c>
      <c r="B160" s="9" t="n">
        <f aca="false">DAY(A160)</f>
        <v>23</v>
      </c>
      <c r="C160" s="9" t="n">
        <f aca="false">MONTH(A160)</f>
        <v>9</v>
      </c>
      <c r="D160" s="9" t="n">
        <f aca="false">YEAR(A160)</f>
        <v>2024</v>
      </c>
      <c r="E160" s="9" t="n">
        <f aca="false">WEEKDAY(A160,2)</f>
        <v>1</v>
      </c>
      <c r="F160" s="10" t="n">
        <f aca="false">WEEKNUM(A160,2) - WEEKNUM(DATE(YEAR(A160),MONTH(A160),1),2) + 1</f>
        <v>5</v>
      </c>
      <c r="G160" s="10"/>
      <c r="H160" s="36" t="n">
        <v>563.16</v>
      </c>
      <c r="I160" s="37" t="s">
        <v>20</v>
      </c>
      <c r="J160" s="37" t="s">
        <v>33</v>
      </c>
      <c r="K160" s="12"/>
      <c r="L160" s="9"/>
      <c r="M160" s="10" t="str">
        <f aca="false">VLOOKUP(J160,RECATALOGANDO!A:C,2,0)</f>
        <v>TRANSFERENCIA FAMILIAR</v>
      </c>
      <c r="N160" s="12" t="str">
        <f aca="false">VLOOKUP(M160,RECATALOGANDO!B:C,2,0)</f>
        <v>TRANSFERENCIAS</v>
      </c>
      <c r="O160" s="2" t="s">
        <v>31</v>
      </c>
    </row>
    <row r="161" customFormat="false" ht="13.8" hidden="false" customHeight="false" outlineLevel="0" collapsed="false">
      <c r="A161" s="35" t="n">
        <v>45572</v>
      </c>
      <c r="B161" s="9" t="n">
        <f aca="false">DAY(A161)</f>
        <v>7</v>
      </c>
      <c r="C161" s="9" t="n">
        <f aca="false">MONTH(A161)</f>
        <v>10</v>
      </c>
      <c r="D161" s="9" t="n">
        <f aca="false">YEAR(A161)</f>
        <v>2024</v>
      </c>
      <c r="E161" s="9" t="n">
        <f aca="false">WEEKDAY(A161,2)</f>
        <v>1</v>
      </c>
      <c r="F161" s="10" t="n">
        <f aca="false">WEEKNUM(A161,2) - WEEKNUM(DATE(YEAR(A161),MONTH(A161),1),2) + 1</f>
        <v>2</v>
      </c>
      <c r="G161" s="10"/>
      <c r="H161" s="36" t="n">
        <v>250</v>
      </c>
      <c r="I161" s="37" t="s">
        <v>20</v>
      </c>
      <c r="J161" s="37" t="s">
        <v>36</v>
      </c>
      <c r="K161" s="12"/>
      <c r="L161" s="9"/>
      <c r="M161" s="10" t="str">
        <f aca="false">VLOOKUP(J161,RECATALOGANDO!A:C,2,0)</f>
        <v>TRANSFERENCIA FAMILIAR</v>
      </c>
      <c r="N161" s="12" t="str">
        <f aca="false">VLOOKUP(M161,RECATALOGANDO!B:C,2,0)</f>
        <v>TRANSFERENCIAS</v>
      </c>
      <c r="O161" s="2" t="s">
        <v>31</v>
      </c>
    </row>
    <row r="162" customFormat="false" ht="13.8" hidden="false" customHeight="false" outlineLevel="0" collapsed="false">
      <c r="A162" s="29" t="n">
        <v>45589</v>
      </c>
      <c r="B162" s="9" t="n">
        <f aca="false">DAY(A162)</f>
        <v>24</v>
      </c>
      <c r="C162" s="9" t="n">
        <f aca="false">MONTH(A162)</f>
        <v>10</v>
      </c>
      <c r="D162" s="9" t="n">
        <f aca="false">YEAR(A162)</f>
        <v>2024</v>
      </c>
      <c r="E162" s="9" t="n">
        <f aca="false">WEEKDAY(A162,2)</f>
        <v>4</v>
      </c>
      <c r="F162" s="10" t="n">
        <f aca="false">WEEKNUM(A162,2) - WEEKNUM(DATE(YEAR(A162),MONTH(A162),1),2) + 1</f>
        <v>4</v>
      </c>
      <c r="G162" s="10"/>
      <c r="H162" s="30" t="n">
        <v>700</v>
      </c>
      <c r="I162" s="31" t="s">
        <v>20</v>
      </c>
      <c r="J162" s="31" t="s">
        <v>35</v>
      </c>
      <c r="K162" s="12"/>
      <c r="L162" s="9"/>
      <c r="M162" s="10" t="str">
        <f aca="false">VLOOKUP(J162,RECATALOGANDO!A:C,2,0)</f>
        <v>TRANSFERENCIA ENTRE CUENTAS</v>
      </c>
      <c r="N162" s="12" t="str">
        <f aca="false">VLOOKUP(M162,RECATALOGANDO!B:C,2,0)</f>
        <v>TRANSFERENCIAS</v>
      </c>
      <c r="O162" s="2" t="s">
        <v>31</v>
      </c>
    </row>
    <row r="163" customFormat="false" ht="13.8" hidden="false" customHeight="false" outlineLevel="0" collapsed="false">
      <c r="A163" s="29" t="n">
        <v>45611</v>
      </c>
      <c r="B163" s="9" t="n">
        <f aca="false">DAY(A163)</f>
        <v>15</v>
      </c>
      <c r="C163" s="9" t="n">
        <f aca="false">MONTH(A163)</f>
        <v>11</v>
      </c>
      <c r="D163" s="9" t="n">
        <f aca="false">YEAR(A163)</f>
        <v>2024</v>
      </c>
      <c r="E163" s="9" t="n">
        <f aca="false">WEEKDAY(A163,2)</f>
        <v>5</v>
      </c>
      <c r="F163" s="10" t="n">
        <f aca="false">WEEKNUM(A163,2) - WEEKNUM(DATE(YEAR(A163),MONTH(A163),1),2) + 1</f>
        <v>3</v>
      </c>
      <c r="G163" s="10" t="n">
        <v>1</v>
      </c>
      <c r="H163" s="30" t="n">
        <v>2000</v>
      </c>
      <c r="I163" s="31" t="s">
        <v>20</v>
      </c>
      <c r="J163" s="31" t="s">
        <v>32</v>
      </c>
      <c r="K163" s="12"/>
      <c r="L163" s="9"/>
      <c r="M163" s="10" t="str">
        <f aca="false">VLOOKUP(J163,RECATALOGANDO!A:C,2,0)</f>
        <v>TRANSFERENCIA ENTRE CUENTAS</v>
      </c>
      <c r="N163" s="12" t="str">
        <f aca="false">VLOOKUP(M163,RECATALOGANDO!B:C,2,0)</f>
        <v>TRANSFERENCIAS</v>
      </c>
      <c r="O163" s="2" t="s">
        <v>31</v>
      </c>
    </row>
    <row r="164" customFormat="false" ht="13.8" hidden="false" customHeight="false" outlineLevel="0" collapsed="false">
      <c r="A164" s="29" t="n">
        <v>45614</v>
      </c>
      <c r="B164" s="9" t="n">
        <f aca="false">DAY(A164)</f>
        <v>18</v>
      </c>
      <c r="C164" s="9" t="n">
        <f aca="false">MONTH(A164)</f>
        <v>11</v>
      </c>
      <c r="D164" s="9" t="n">
        <f aca="false">YEAR(A164)</f>
        <v>2024</v>
      </c>
      <c r="E164" s="9" t="n">
        <f aca="false">WEEKDAY(A164,2)</f>
        <v>1</v>
      </c>
      <c r="F164" s="10" t="n">
        <f aca="false">WEEKNUM(A164,2) - WEEKNUM(DATE(YEAR(A164),MONTH(A164),1),2) + 1</f>
        <v>4</v>
      </c>
      <c r="G164" s="10"/>
      <c r="H164" s="30" t="n">
        <v>500</v>
      </c>
      <c r="I164" s="31" t="s">
        <v>15</v>
      </c>
      <c r="J164" s="31" t="s">
        <v>32</v>
      </c>
      <c r="K164" s="12"/>
      <c r="L164" s="9"/>
      <c r="M164" s="10" t="str">
        <f aca="false">VLOOKUP(J164,RECATALOGANDO!A:C,2,0)</f>
        <v>TRANSFERENCIA ENTRE CUENTAS</v>
      </c>
      <c r="N164" s="12" t="str">
        <f aca="false">VLOOKUP(M164,RECATALOGANDO!B:C,2,0)</f>
        <v>TRANSFERENCIAS</v>
      </c>
      <c r="O164" s="2" t="s">
        <v>31</v>
      </c>
    </row>
    <row r="165" customFormat="false" ht="13.8" hidden="false" customHeight="false" outlineLevel="0" collapsed="false">
      <c r="A165" s="29" t="n">
        <v>45618</v>
      </c>
      <c r="B165" s="9" t="n">
        <f aca="false">DAY(A165)</f>
        <v>22</v>
      </c>
      <c r="C165" s="9" t="n">
        <f aca="false">MONTH(A165)</f>
        <v>11</v>
      </c>
      <c r="D165" s="9" t="n">
        <f aca="false">YEAR(A165)</f>
        <v>2024</v>
      </c>
      <c r="E165" s="9" t="n">
        <f aca="false">WEEKDAY(A165,2)</f>
        <v>5</v>
      </c>
      <c r="F165" s="10" t="n">
        <f aca="false">WEEKNUM(A165,2) - WEEKNUM(DATE(YEAR(A165),MONTH(A165),1),2) + 1</f>
        <v>4</v>
      </c>
      <c r="G165" s="10"/>
      <c r="H165" s="30" t="n">
        <v>1500</v>
      </c>
      <c r="I165" s="31" t="s">
        <v>20</v>
      </c>
      <c r="J165" s="31" t="s">
        <v>32</v>
      </c>
      <c r="K165" s="12"/>
      <c r="L165" s="9"/>
      <c r="M165" s="10" t="str">
        <f aca="false">VLOOKUP(J165,RECATALOGANDO!A:C,2,0)</f>
        <v>TRANSFERENCIA ENTRE CUENTAS</v>
      </c>
      <c r="N165" s="12" t="str">
        <f aca="false">VLOOKUP(M165,RECATALOGANDO!B:C,2,0)</f>
        <v>TRANSFERENCIAS</v>
      </c>
      <c r="O165" s="2" t="s">
        <v>31</v>
      </c>
    </row>
    <row r="166" customFormat="false" ht="13.8" hidden="false" customHeight="false" outlineLevel="0" collapsed="false">
      <c r="A166" s="8" t="n">
        <v>45628</v>
      </c>
      <c r="B166" s="9" t="n">
        <f aca="false">DAY(A166)</f>
        <v>2</v>
      </c>
      <c r="C166" s="9" t="n">
        <f aca="false">MONTH(A166)</f>
        <v>12</v>
      </c>
      <c r="D166" s="9" t="n">
        <f aca="false">YEAR(A166)</f>
        <v>2024</v>
      </c>
      <c r="E166" s="9" t="n">
        <f aca="false">WEEKDAY(A166,2)</f>
        <v>1</v>
      </c>
      <c r="F166" s="10" t="n">
        <f aca="false">WEEKNUM(A166,2) - WEEKNUM(DATE(YEAR(A166),MONTH(A166),1),2) + 1</f>
        <v>2</v>
      </c>
      <c r="G166" s="10"/>
      <c r="H166" s="11" t="n">
        <v>520</v>
      </c>
      <c r="I166" s="12" t="s">
        <v>20</v>
      </c>
      <c r="J166" s="12" t="s">
        <v>32</v>
      </c>
      <c r="K166" s="12"/>
      <c r="L166" s="9"/>
      <c r="M166" s="10" t="str">
        <f aca="false">VLOOKUP(J166,RECATALOGANDO!A:C,2,0)</f>
        <v>TRANSFERENCIA ENTRE CUENTAS</v>
      </c>
      <c r="N166" s="12" t="str">
        <f aca="false">VLOOKUP(M166,RECATALOGANDO!B:C,2,0)</f>
        <v>TRANSFERENCIAS</v>
      </c>
      <c r="O166" s="2" t="s">
        <v>31</v>
      </c>
    </row>
    <row r="167" customFormat="false" ht="13.8" hidden="false" customHeight="false" outlineLevel="0" collapsed="false">
      <c r="A167" s="8" t="n">
        <v>45630</v>
      </c>
      <c r="B167" s="9" t="n">
        <f aca="false">DAY(A167)</f>
        <v>4</v>
      </c>
      <c r="C167" s="9" t="n">
        <f aca="false">MONTH(A167)</f>
        <v>12</v>
      </c>
      <c r="D167" s="9" t="n">
        <f aca="false">YEAR(A167)</f>
        <v>2024</v>
      </c>
      <c r="E167" s="9" t="n">
        <f aca="false">WEEKDAY(A167,2)</f>
        <v>3</v>
      </c>
      <c r="F167" s="10" t="n">
        <f aca="false">WEEKNUM(A167,2) - WEEKNUM(DATE(YEAR(A167),MONTH(A167),1),2) + 1</f>
        <v>2</v>
      </c>
      <c r="G167" s="10"/>
      <c r="H167" s="11" t="n">
        <v>700</v>
      </c>
      <c r="I167" s="12" t="s">
        <v>20</v>
      </c>
      <c r="J167" s="12" t="s">
        <v>32</v>
      </c>
      <c r="K167" s="12"/>
      <c r="L167" s="9"/>
      <c r="M167" s="10" t="str">
        <f aca="false">VLOOKUP(J167,RECATALOGANDO!A:C,2,0)</f>
        <v>TRANSFERENCIA ENTRE CUENTAS</v>
      </c>
      <c r="N167" s="12" t="str">
        <f aca="false">VLOOKUP(M167,RECATALOGANDO!B:C,2,0)</f>
        <v>TRANSFERENCIAS</v>
      </c>
      <c r="O167" s="2" t="s">
        <v>31</v>
      </c>
    </row>
    <row r="168" customFormat="false" ht="13.8" hidden="false" customHeight="false" outlineLevel="0" collapsed="false">
      <c r="A168" s="8" t="n">
        <v>45649</v>
      </c>
      <c r="B168" s="9" t="n">
        <f aca="false">DAY(A168)</f>
        <v>23</v>
      </c>
      <c r="C168" s="9" t="n">
        <f aca="false">MONTH(A168)</f>
        <v>12</v>
      </c>
      <c r="D168" s="9" t="n">
        <f aca="false">YEAR(A168)</f>
        <v>2024</v>
      </c>
      <c r="E168" s="9" t="n">
        <f aca="false">WEEKDAY(A168,2)</f>
        <v>1</v>
      </c>
      <c r="F168" s="10" t="n">
        <f aca="false">WEEKNUM(A168,2) - WEEKNUM(DATE(YEAR(A168),MONTH(A168),1),2) + 1</f>
        <v>5</v>
      </c>
      <c r="G168" s="10"/>
      <c r="H168" s="30" t="n">
        <v>2000</v>
      </c>
      <c r="I168" s="31" t="s">
        <v>20</v>
      </c>
      <c r="J168" s="31" t="s">
        <v>32</v>
      </c>
      <c r="K168" s="12"/>
      <c r="L168" s="9"/>
      <c r="M168" s="10" t="str">
        <f aca="false">VLOOKUP(J168,RECATALOGANDO!A:C,2,0)</f>
        <v>TRANSFERENCIA ENTRE CUENTAS</v>
      </c>
      <c r="N168" s="12" t="str">
        <f aca="false">VLOOKUP(M168,RECATALOGANDO!B:C,2,0)</f>
        <v>TRANSFERENCIAS</v>
      </c>
      <c r="O168" s="2" t="s">
        <v>31</v>
      </c>
    </row>
    <row r="169" customFormat="false" ht="13.8" hidden="false" customHeight="false" outlineLevel="0" collapsed="false">
      <c r="A169" s="8" t="n">
        <v>45663</v>
      </c>
      <c r="B169" s="9" t="n">
        <f aca="false">DAY(A169)</f>
        <v>6</v>
      </c>
      <c r="C169" s="9" t="n">
        <f aca="false">MONTH(A169)</f>
        <v>1</v>
      </c>
      <c r="D169" s="9" t="n">
        <f aca="false">YEAR(A169)</f>
        <v>2025</v>
      </c>
      <c r="E169" s="9" t="n">
        <f aca="false">WEEKDAY(A169,2)</f>
        <v>1</v>
      </c>
      <c r="F169" s="10" t="n">
        <f aca="false">WEEKNUM(A169,2) - WEEKNUM(DATE(YEAR(A169),MONTH(A169),1),2) + 1</f>
        <v>2</v>
      </c>
      <c r="G169" s="10"/>
      <c r="H169" s="11" t="n">
        <v>2300</v>
      </c>
      <c r="I169" s="12" t="s">
        <v>20</v>
      </c>
      <c r="J169" s="12" t="s">
        <v>33</v>
      </c>
      <c r="K169" s="12"/>
      <c r="L169" s="9"/>
      <c r="M169" s="10" t="str">
        <f aca="false">VLOOKUP(J169,RECATALOGANDO!A:C,2,0)</f>
        <v>TRANSFERENCIA FAMILIAR</v>
      </c>
      <c r="N169" s="12" t="str">
        <f aca="false">VLOOKUP(M169,RECATALOGANDO!B:C,2,0)</f>
        <v>TRANSFERENCIAS</v>
      </c>
      <c r="O169" s="2" t="s">
        <v>31</v>
      </c>
    </row>
    <row r="170" customFormat="false" ht="13.8" hidden="false" customHeight="false" outlineLevel="0" collapsed="false">
      <c r="A170" s="8" t="n">
        <v>45663</v>
      </c>
      <c r="B170" s="9" t="n">
        <f aca="false">DAY(A170)</f>
        <v>6</v>
      </c>
      <c r="C170" s="9" t="n">
        <f aca="false">MONTH(A170)</f>
        <v>1</v>
      </c>
      <c r="D170" s="9" t="n">
        <f aca="false">YEAR(A170)</f>
        <v>2025</v>
      </c>
      <c r="E170" s="9" t="n">
        <f aca="false">WEEKDAY(A170,2)</f>
        <v>1</v>
      </c>
      <c r="F170" s="10" t="n">
        <f aca="false">WEEKNUM(A170,2) - WEEKNUM(DATE(YEAR(A170),MONTH(A170),1),2) + 1</f>
        <v>2</v>
      </c>
      <c r="G170" s="10"/>
      <c r="H170" s="11" t="n">
        <v>2500</v>
      </c>
      <c r="I170" s="12" t="s">
        <v>20</v>
      </c>
      <c r="J170" s="12" t="s">
        <v>33</v>
      </c>
      <c r="K170" s="12"/>
      <c r="L170" s="9"/>
      <c r="M170" s="10" t="str">
        <f aca="false">VLOOKUP(J170,RECATALOGANDO!A:C,2,0)</f>
        <v>TRANSFERENCIA FAMILIAR</v>
      </c>
      <c r="N170" s="12" t="str">
        <f aca="false">VLOOKUP(M170,RECATALOGANDO!B:C,2,0)</f>
        <v>TRANSFERENCIAS</v>
      </c>
      <c r="O170" s="2" t="s">
        <v>31</v>
      </c>
    </row>
    <row r="171" customFormat="false" ht="13.8" hidden="false" customHeight="false" outlineLevel="0" collapsed="false">
      <c r="A171" s="8" t="n">
        <v>45663</v>
      </c>
      <c r="B171" s="9" t="n">
        <f aca="false">DAY(A171)</f>
        <v>6</v>
      </c>
      <c r="C171" s="9" t="n">
        <f aca="false">MONTH(A171)</f>
        <v>1</v>
      </c>
      <c r="D171" s="9" t="n">
        <f aca="false">YEAR(A171)</f>
        <v>2025</v>
      </c>
      <c r="E171" s="9" t="n">
        <f aca="false">WEEKDAY(A171,2)</f>
        <v>1</v>
      </c>
      <c r="F171" s="10" t="n">
        <f aca="false">WEEKNUM(A171,2) - WEEKNUM(DATE(YEAR(A171),MONTH(A171),1),2) + 1</f>
        <v>2</v>
      </c>
      <c r="G171" s="10"/>
      <c r="H171" s="11" t="n">
        <v>5900</v>
      </c>
      <c r="I171" s="12" t="s">
        <v>20</v>
      </c>
      <c r="J171" s="12" t="s">
        <v>33</v>
      </c>
      <c r="K171" s="12"/>
      <c r="L171" s="9"/>
      <c r="M171" s="10" t="str">
        <f aca="false">VLOOKUP(J171,RECATALOGANDO!A:C,2,0)</f>
        <v>TRANSFERENCIA FAMILIAR</v>
      </c>
      <c r="N171" s="12" t="str">
        <f aca="false">VLOOKUP(M171,RECATALOGANDO!B:C,2,0)</f>
        <v>TRANSFERENCIAS</v>
      </c>
      <c r="O171" s="2" t="s">
        <v>31</v>
      </c>
    </row>
    <row r="172" customFormat="false" ht="13.8" hidden="false" customHeight="false" outlineLevel="0" collapsed="false">
      <c r="A172" s="8" t="n">
        <v>45664</v>
      </c>
      <c r="B172" s="9" t="n">
        <f aca="false">DAY(A172)</f>
        <v>7</v>
      </c>
      <c r="C172" s="9" t="n">
        <f aca="false">MONTH(A172)</f>
        <v>1</v>
      </c>
      <c r="D172" s="9" t="n">
        <f aca="false">YEAR(A172)</f>
        <v>2025</v>
      </c>
      <c r="E172" s="9" t="n">
        <f aca="false">WEEKDAY(A172,2)</f>
        <v>2</v>
      </c>
      <c r="F172" s="10" t="n">
        <f aca="false">WEEKNUM(A172,2) - WEEKNUM(DATE(YEAR(A172),MONTH(A172),1),2) + 1</f>
        <v>2</v>
      </c>
      <c r="G172" s="10"/>
      <c r="H172" s="11" t="n">
        <v>600</v>
      </c>
      <c r="I172" s="12" t="s">
        <v>20</v>
      </c>
      <c r="J172" s="12" t="s">
        <v>32</v>
      </c>
      <c r="K172" s="12"/>
      <c r="L172" s="9"/>
      <c r="M172" s="10" t="str">
        <f aca="false">VLOOKUP(J172,RECATALOGANDO!A:C,2,0)</f>
        <v>TRANSFERENCIA ENTRE CUENTAS</v>
      </c>
      <c r="N172" s="12" t="str">
        <f aca="false">VLOOKUP(M172,RECATALOGANDO!B:C,2,0)</f>
        <v>TRANSFERENCIAS</v>
      </c>
      <c r="O172" s="2" t="s">
        <v>31</v>
      </c>
    </row>
    <row r="173" customFormat="false" ht="13.8" hidden="false" customHeight="false" outlineLevel="0" collapsed="false">
      <c r="A173" s="8" t="n">
        <v>45670</v>
      </c>
      <c r="B173" s="9" t="n">
        <f aca="false">DAY(A173)</f>
        <v>13</v>
      </c>
      <c r="C173" s="9" t="n">
        <f aca="false">MONTH(A173)</f>
        <v>1</v>
      </c>
      <c r="D173" s="9" t="n">
        <f aca="false">YEAR(A173)</f>
        <v>2025</v>
      </c>
      <c r="E173" s="9" t="n">
        <f aca="false">WEEKDAY(A173,2)</f>
        <v>1</v>
      </c>
      <c r="F173" s="10" t="n">
        <f aca="false">WEEKNUM(A173,2) - WEEKNUM(DATE(YEAR(A173),MONTH(A173),1),2) + 1</f>
        <v>3</v>
      </c>
      <c r="G173" s="10"/>
      <c r="H173" s="11" t="n">
        <v>2622</v>
      </c>
      <c r="I173" s="12" t="s">
        <v>20</v>
      </c>
      <c r="J173" s="12" t="s">
        <v>33</v>
      </c>
      <c r="K173" s="12"/>
      <c r="L173" s="9"/>
      <c r="M173" s="10" t="str">
        <f aca="false">VLOOKUP(J173,RECATALOGANDO!A:C,2,0)</f>
        <v>TRANSFERENCIA FAMILIAR</v>
      </c>
      <c r="N173" s="12" t="str">
        <f aca="false">VLOOKUP(M173,RECATALOGANDO!B:C,2,0)</f>
        <v>TRANSFERENCIAS</v>
      </c>
      <c r="O173" s="2" t="s">
        <v>31</v>
      </c>
    </row>
    <row r="174" customFormat="false" ht="13.8" hidden="false" customHeight="false" outlineLevel="0" collapsed="false">
      <c r="A174" s="35" t="n">
        <v>45689</v>
      </c>
      <c r="B174" s="9" t="n">
        <f aca="false">DAY(A174)</f>
        <v>1</v>
      </c>
      <c r="C174" s="9" t="n">
        <f aca="false">MONTH(A174)</f>
        <v>2</v>
      </c>
      <c r="D174" s="9" t="n">
        <f aca="false">YEAR(A174)</f>
        <v>2025</v>
      </c>
      <c r="E174" s="9" t="n">
        <f aca="false">WEEKDAY(A174,2)</f>
        <v>6</v>
      </c>
      <c r="F174" s="10" t="n">
        <f aca="false">WEEKNUM(A174,2) - WEEKNUM(DATE(YEAR(A174),MONTH(A174),1),2) + 1</f>
        <v>1</v>
      </c>
      <c r="G174" s="10"/>
      <c r="H174" s="36" t="n">
        <v>345</v>
      </c>
      <c r="I174" s="37" t="s">
        <v>20</v>
      </c>
      <c r="J174" s="37" t="s">
        <v>35</v>
      </c>
      <c r="K174" s="12"/>
      <c r="L174" s="9"/>
      <c r="M174" s="10" t="str">
        <f aca="false">VLOOKUP(J174,RECATALOGANDO!A:C,2,0)</f>
        <v>TRANSFERENCIA ENTRE CUENTAS</v>
      </c>
      <c r="N174" s="12" t="str">
        <f aca="false">VLOOKUP(M174,RECATALOGANDO!B:C,2,0)</f>
        <v>TRANSFERENCIAS</v>
      </c>
      <c r="O174" s="2" t="s">
        <v>31</v>
      </c>
    </row>
    <row r="175" customFormat="false" ht="13.8" hidden="false" customHeight="false" outlineLevel="0" collapsed="false">
      <c r="A175" s="35" t="n">
        <v>45692</v>
      </c>
      <c r="B175" s="9" t="n">
        <f aca="false">DAY(A175)</f>
        <v>4</v>
      </c>
      <c r="C175" s="9" t="n">
        <f aca="false">MONTH(A175)</f>
        <v>2</v>
      </c>
      <c r="D175" s="9" t="n">
        <f aca="false">YEAR(A175)</f>
        <v>2025</v>
      </c>
      <c r="E175" s="9" t="n">
        <f aca="false">WEEKDAY(A175,2)</f>
        <v>2</v>
      </c>
      <c r="F175" s="10" t="n">
        <f aca="false">WEEKNUM(A175,2) - WEEKNUM(DATE(YEAR(A175),MONTH(A175),1),2) + 1</f>
        <v>2</v>
      </c>
      <c r="G175" s="10"/>
      <c r="H175" s="36" t="n">
        <v>2000</v>
      </c>
      <c r="I175" s="37" t="s">
        <v>20</v>
      </c>
      <c r="J175" s="37" t="s">
        <v>35</v>
      </c>
      <c r="K175" s="12"/>
      <c r="L175" s="9"/>
      <c r="M175" s="10" t="str">
        <f aca="false">VLOOKUP(J175,RECATALOGANDO!A:C,2,0)</f>
        <v>TRANSFERENCIA ENTRE CUENTAS</v>
      </c>
      <c r="N175" s="12" t="str">
        <f aca="false">VLOOKUP(M175,RECATALOGANDO!B:C,2,0)</f>
        <v>TRANSFERENCIAS</v>
      </c>
      <c r="O175" s="2" t="s">
        <v>31</v>
      </c>
    </row>
    <row r="176" customFormat="false" ht="13.8" hidden="false" customHeight="false" outlineLevel="0" collapsed="false">
      <c r="A176" s="35" t="n">
        <v>45702</v>
      </c>
      <c r="B176" s="9" t="n">
        <f aca="false">DAY(A176)</f>
        <v>14</v>
      </c>
      <c r="C176" s="9" t="n">
        <f aca="false">MONTH(A176)</f>
        <v>2</v>
      </c>
      <c r="D176" s="9" t="n">
        <f aca="false">YEAR(A176)</f>
        <v>2025</v>
      </c>
      <c r="E176" s="9" t="n">
        <f aca="false">WEEKDAY(A176,2)</f>
        <v>5</v>
      </c>
      <c r="F176" s="10" t="n">
        <f aca="false">WEEKNUM(A176,2) - WEEKNUM(DATE(YEAR(A176),MONTH(A176),1),2) + 1</f>
        <v>3</v>
      </c>
      <c r="G176" s="10" t="n">
        <v>1</v>
      </c>
      <c r="H176" s="36" t="n">
        <v>1000</v>
      </c>
      <c r="I176" s="37" t="s">
        <v>15</v>
      </c>
      <c r="J176" s="37" t="s">
        <v>35</v>
      </c>
      <c r="K176" s="12"/>
      <c r="L176" s="9"/>
      <c r="M176" s="10" t="str">
        <f aca="false">VLOOKUP(J176,RECATALOGANDO!A:C,2,0)</f>
        <v>TRANSFERENCIA ENTRE CUENTAS</v>
      </c>
      <c r="N176" s="12" t="str">
        <f aca="false">VLOOKUP(M176,RECATALOGANDO!B:C,2,0)</f>
        <v>TRANSFERENCIAS</v>
      </c>
      <c r="O176" s="2" t="s">
        <v>31</v>
      </c>
    </row>
    <row r="177" customFormat="false" ht="13.8" hidden="false" customHeight="false" outlineLevel="0" collapsed="false">
      <c r="A177" s="8" t="n">
        <v>45703</v>
      </c>
      <c r="B177" s="9" t="n">
        <f aca="false">DAY(A177)</f>
        <v>15</v>
      </c>
      <c r="C177" s="9" t="n">
        <f aca="false">MONTH(A177)</f>
        <v>2</v>
      </c>
      <c r="D177" s="9" t="n">
        <f aca="false">YEAR(A177)</f>
        <v>2025</v>
      </c>
      <c r="E177" s="9" t="n">
        <f aca="false">WEEKDAY(A177,2)</f>
        <v>6</v>
      </c>
      <c r="F177" s="10" t="n">
        <f aca="false">WEEKNUM(A177,2) - WEEKNUM(DATE(YEAR(A177),MONTH(A177),1),2) + 1</f>
        <v>3</v>
      </c>
      <c r="G177" s="10"/>
      <c r="H177" s="11" t="n">
        <v>800</v>
      </c>
      <c r="I177" s="12" t="s">
        <v>15</v>
      </c>
      <c r="J177" s="12" t="s">
        <v>35</v>
      </c>
      <c r="K177" s="12"/>
      <c r="L177" s="9"/>
      <c r="M177" s="10" t="str">
        <f aca="false">VLOOKUP(J177,RECATALOGANDO!A:C,2,0)</f>
        <v>TRANSFERENCIA ENTRE CUENTAS</v>
      </c>
      <c r="N177" s="12" t="str">
        <f aca="false">VLOOKUP(M177,RECATALOGANDO!B:C,2,0)</f>
        <v>TRANSFERENCIAS</v>
      </c>
      <c r="O177" s="2" t="s">
        <v>31</v>
      </c>
    </row>
    <row r="178" customFormat="false" ht="13.8" hidden="false" customHeight="false" outlineLevel="0" collapsed="false">
      <c r="A178" s="35" t="n">
        <v>45705</v>
      </c>
      <c r="B178" s="9" t="n">
        <f aca="false">DAY(A178)</f>
        <v>17</v>
      </c>
      <c r="C178" s="9" t="n">
        <f aca="false">MONTH(A178)</f>
        <v>2</v>
      </c>
      <c r="D178" s="9" t="n">
        <f aca="false">YEAR(A178)</f>
        <v>2025</v>
      </c>
      <c r="E178" s="9" t="n">
        <f aca="false">WEEKDAY(A178,2)</f>
        <v>1</v>
      </c>
      <c r="F178" s="10" t="n">
        <f aca="false">WEEKNUM(A178,2) - WEEKNUM(DATE(YEAR(A178),MONTH(A178),1),2) + 1</f>
        <v>4</v>
      </c>
      <c r="G178" s="10"/>
      <c r="H178" s="36" t="n">
        <v>8000</v>
      </c>
      <c r="I178" s="37" t="s">
        <v>15</v>
      </c>
      <c r="J178" s="37" t="s">
        <v>35</v>
      </c>
      <c r="K178" s="12"/>
      <c r="L178" s="9"/>
      <c r="M178" s="10" t="str">
        <f aca="false">VLOOKUP(J178,RECATALOGANDO!A:C,2,0)</f>
        <v>TRANSFERENCIA ENTRE CUENTAS</v>
      </c>
      <c r="N178" s="12" t="str">
        <f aca="false">VLOOKUP(M178,RECATALOGANDO!B:C,2,0)</f>
        <v>TRANSFERENCIAS</v>
      </c>
      <c r="O178" s="2" t="s">
        <v>31</v>
      </c>
    </row>
    <row r="179" customFormat="false" ht="13.8" hidden="false" customHeight="false" outlineLevel="0" collapsed="false">
      <c r="A179" s="35" t="n">
        <v>45706</v>
      </c>
      <c r="B179" s="9" t="n">
        <f aca="false">DAY(A179)</f>
        <v>18</v>
      </c>
      <c r="C179" s="9" t="n">
        <f aca="false">MONTH(A179)</f>
        <v>2</v>
      </c>
      <c r="D179" s="9" t="n">
        <f aca="false">YEAR(A179)</f>
        <v>2025</v>
      </c>
      <c r="E179" s="9" t="n">
        <f aca="false">WEEKDAY(A179,2)</f>
        <v>2</v>
      </c>
      <c r="F179" s="10" t="n">
        <f aca="false">WEEKNUM(A179,2) - WEEKNUM(DATE(YEAR(A179),MONTH(A179),1),2) + 1</f>
        <v>4</v>
      </c>
      <c r="G179" s="10"/>
      <c r="H179" s="36" t="n">
        <v>10000</v>
      </c>
      <c r="I179" s="37" t="s">
        <v>15</v>
      </c>
      <c r="J179" s="37" t="s">
        <v>35</v>
      </c>
      <c r="K179" s="12"/>
      <c r="L179" s="9"/>
      <c r="M179" s="10" t="str">
        <f aca="false">VLOOKUP(J179,RECATALOGANDO!A:C,2,0)</f>
        <v>TRANSFERENCIA ENTRE CUENTAS</v>
      </c>
      <c r="N179" s="12" t="str">
        <f aca="false">VLOOKUP(M179,RECATALOGANDO!B:C,2,0)</f>
        <v>TRANSFERENCIAS</v>
      </c>
      <c r="O179" s="2" t="s">
        <v>31</v>
      </c>
    </row>
    <row r="180" customFormat="false" ht="13.8" hidden="false" customHeight="false" outlineLevel="0" collapsed="false">
      <c r="A180" s="35" t="n">
        <v>45712</v>
      </c>
      <c r="B180" s="9" t="n">
        <f aca="false">DAY(A180)</f>
        <v>24</v>
      </c>
      <c r="C180" s="9" t="n">
        <f aca="false">MONTH(A180)</f>
        <v>2</v>
      </c>
      <c r="D180" s="9" t="n">
        <f aca="false">YEAR(A180)</f>
        <v>2025</v>
      </c>
      <c r="E180" s="9" t="n">
        <f aca="false">WEEKDAY(A180,2)</f>
        <v>1</v>
      </c>
      <c r="F180" s="10" t="n">
        <f aca="false">WEEKNUM(A180,2) - WEEKNUM(DATE(YEAR(A180),MONTH(A180),1),2) + 1</f>
        <v>5</v>
      </c>
      <c r="G180" s="10"/>
      <c r="H180" s="36" t="n">
        <v>500</v>
      </c>
      <c r="I180" s="37" t="s">
        <v>20</v>
      </c>
      <c r="J180" s="37" t="s">
        <v>35</v>
      </c>
      <c r="K180" s="12"/>
      <c r="L180" s="9"/>
      <c r="M180" s="10" t="str">
        <f aca="false">VLOOKUP(J180,RECATALOGANDO!A:C,2,0)</f>
        <v>TRANSFERENCIA ENTRE CUENTAS</v>
      </c>
      <c r="N180" s="12" t="str">
        <f aca="false">VLOOKUP(M180,RECATALOGANDO!B:C,2,0)</f>
        <v>TRANSFERENCIAS</v>
      </c>
      <c r="O180" s="2" t="s">
        <v>31</v>
      </c>
    </row>
    <row r="181" customFormat="false" ht="13.8" hidden="false" customHeight="false" outlineLevel="0" collapsed="false">
      <c r="A181" s="29" t="n">
        <v>45719</v>
      </c>
      <c r="B181" s="9" t="n">
        <f aca="false">DAY(A181)</f>
        <v>3</v>
      </c>
      <c r="C181" s="9" t="n">
        <f aca="false">MONTH(A181)</f>
        <v>3</v>
      </c>
      <c r="D181" s="9" t="n">
        <f aca="false">YEAR(A181)</f>
        <v>2025</v>
      </c>
      <c r="E181" s="9" t="n">
        <f aca="false">WEEKDAY(A181,2)</f>
        <v>1</v>
      </c>
      <c r="F181" s="10" t="n">
        <f aca="false">WEEKNUM(A181,2) - WEEKNUM(DATE(YEAR(A181),MONTH(A181),1),2) + 1</f>
        <v>2</v>
      </c>
      <c r="G181" s="10"/>
      <c r="H181" s="30" t="n">
        <v>1900</v>
      </c>
      <c r="I181" s="31" t="s">
        <v>20</v>
      </c>
      <c r="J181" s="31" t="s">
        <v>32</v>
      </c>
      <c r="K181" s="12"/>
      <c r="L181" s="9"/>
      <c r="M181" s="10" t="str">
        <f aca="false">VLOOKUP(J181,RECATALOGANDO!A:C,2,0)</f>
        <v>TRANSFERENCIA ENTRE CUENTAS</v>
      </c>
      <c r="N181" s="12" t="str">
        <f aca="false">VLOOKUP(M181,RECATALOGANDO!B:C,2,0)</f>
        <v>TRANSFERENCIAS</v>
      </c>
      <c r="O181" s="2" t="s">
        <v>31</v>
      </c>
    </row>
    <row r="182" customFormat="false" ht="13.8" hidden="false" customHeight="false" outlineLevel="0" collapsed="false">
      <c r="A182" s="29" t="n">
        <v>45730</v>
      </c>
      <c r="B182" s="9" t="n">
        <f aca="false">DAY(A182)</f>
        <v>14</v>
      </c>
      <c r="C182" s="9" t="n">
        <f aca="false">MONTH(A182)</f>
        <v>3</v>
      </c>
      <c r="D182" s="9" t="n">
        <f aca="false">YEAR(A182)</f>
        <v>2025</v>
      </c>
      <c r="E182" s="9" t="n">
        <f aca="false">WEEKDAY(A182,2)</f>
        <v>5</v>
      </c>
      <c r="F182" s="10" t="n">
        <f aca="false">WEEKNUM(A182,2) - WEEKNUM(DATE(YEAR(A182),MONTH(A182),1),2) + 1</f>
        <v>3</v>
      </c>
      <c r="G182" s="10" t="n">
        <v>1</v>
      </c>
      <c r="H182" s="30" t="n">
        <v>5800</v>
      </c>
      <c r="I182" s="31" t="s">
        <v>15</v>
      </c>
      <c r="J182" s="31" t="s">
        <v>32</v>
      </c>
      <c r="K182" s="12"/>
      <c r="L182" s="9"/>
      <c r="M182" s="10" t="str">
        <f aca="false">VLOOKUP(J182,RECATALOGANDO!A:C,2,0)</f>
        <v>TRANSFERENCIA ENTRE CUENTAS</v>
      </c>
      <c r="N182" s="12" t="str">
        <f aca="false">VLOOKUP(M182,RECATALOGANDO!B:C,2,0)</f>
        <v>TRANSFERENCIAS</v>
      </c>
      <c r="O182" s="2" t="s">
        <v>31</v>
      </c>
    </row>
    <row r="183" customFormat="false" ht="13.8" hidden="false" customHeight="false" outlineLevel="0" collapsed="false">
      <c r="A183" s="29" t="n">
        <v>45735</v>
      </c>
      <c r="B183" s="9" t="n">
        <f aca="false">DAY(A183)</f>
        <v>19</v>
      </c>
      <c r="C183" s="9" t="n">
        <f aca="false">MONTH(A183)</f>
        <v>3</v>
      </c>
      <c r="D183" s="9" t="n">
        <f aca="false">YEAR(A183)</f>
        <v>2025</v>
      </c>
      <c r="E183" s="9" t="n">
        <f aca="false">WEEKDAY(A183,2)</f>
        <v>3</v>
      </c>
      <c r="F183" s="10" t="n">
        <f aca="false">WEEKNUM(A183,2) - WEEKNUM(DATE(YEAR(A183),MONTH(A183),1),2) + 1</f>
        <v>4</v>
      </c>
      <c r="G183" s="10"/>
      <c r="H183" s="30" t="n">
        <v>600</v>
      </c>
      <c r="I183" s="31" t="s">
        <v>20</v>
      </c>
      <c r="J183" s="31" t="s">
        <v>32</v>
      </c>
      <c r="K183" s="12"/>
      <c r="L183" s="9"/>
      <c r="M183" s="10" t="str">
        <f aca="false">VLOOKUP(J183,RECATALOGANDO!A:C,2,0)</f>
        <v>TRANSFERENCIA ENTRE CUENTAS</v>
      </c>
      <c r="N183" s="12" t="str">
        <f aca="false">VLOOKUP(M183,RECATALOGANDO!B:C,2,0)</f>
        <v>TRANSFERENCIAS</v>
      </c>
      <c r="O183" s="2" t="s">
        <v>31</v>
      </c>
    </row>
    <row r="184" customFormat="false" ht="13.8" hidden="false" customHeight="false" outlineLevel="0" collapsed="false">
      <c r="A184" s="35" t="n">
        <v>45737</v>
      </c>
      <c r="B184" s="9" t="n">
        <f aca="false">DAY(A184)</f>
        <v>21</v>
      </c>
      <c r="C184" s="9" t="n">
        <f aca="false">MONTH(A184)</f>
        <v>3</v>
      </c>
      <c r="D184" s="9" t="n">
        <f aca="false">YEAR(A184)</f>
        <v>2025</v>
      </c>
      <c r="E184" s="9" t="n">
        <f aca="false">WEEKDAY(A184,2)</f>
        <v>5</v>
      </c>
      <c r="F184" s="10" t="n">
        <f aca="false">WEEKNUM(A184,2) - WEEKNUM(DATE(YEAR(A184),MONTH(A184),1),2) + 1</f>
        <v>4</v>
      </c>
      <c r="G184" s="10"/>
      <c r="H184" s="36" t="n">
        <v>500</v>
      </c>
      <c r="I184" s="37" t="s">
        <v>15</v>
      </c>
      <c r="J184" s="37" t="s">
        <v>33</v>
      </c>
      <c r="K184" s="12"/>
      <c r="L184" s="9"/>
      <c r="M184" s="10" t="str">
        <f aca="false">VLOOKUP(J184,RECATALOGANDO!A:C,2,0)</f>
        <v>TRANSFERENCIA FAMILIAR</v>
      </c>
      <c r="N184" s="12" t="str">
        <f aca="false">VLOOKUP(M184,RECATALOGANDO!B:C,2,0)</f>
        <v>TRANSFERENCIAS</v>
      </c>
      <c r="O184" s="2" t="s">
        <v>31</v>
      </c>
    </row>
    <row r="185" customFormat="false" ht="13.8" hidden="false" customHeight="false" outlineLevel="0" collapsed="false">
      <c r="A185" s="29" t="n">
        <v>45740</v>
      </c>
      <c r="B185" s="9" t="n">
        <f aca="false">DAY(A185)</f>
        <v>24</v>
      </c>
      <c r="C185" s="9" t="n">
        <f aca="false">MONTH(A185)</f>
        <v>3</v>
      </c>
      <c r="D185" s="9" t="n">
        <f aca="false">YEAR(A185)</f>
        <v>2025</v>
      </c>
      <c r="E185" s="9" t="n">
        <f aca="false">WEEKDAY(A185,2)</f>
        <v>1</v>
      </c>
      <c r="F185" s="10" t="n">
        <f aca="false">WEEKNUM(A185,2) - WEEKNUM(DATE(YEAR(A185),MONTH(A185),1),2) + 1</f>
        <v>5</v>
      </c>
      <c r="G185" s="10"/>
      <c r="H185" s="30" t="n">
        <v>500</v>
      </c>
      <c r="I185" s="31" t="s">
        <v>20</v>
      </c>
      <c r="J185" s="31" t="s">
        <v>32</v>
      </c>
      <c r="K185" s="12"/>
      <c r="L185" s="9"/>
      <c r="M185" s="10" t="str">
        <f aca="false">VLOOKUP(J185,RECATALOGANDO!A:C,2,0)</f>
        <v>TRANSFERENCIA ENTRE CUENTAS</v>
      </c>
      <c r="N185" s="12" t="str">
        <f aca="false">VLOOKUP(M185,RECATALOGANDO!B:C,2,0)</f>
        <v>TRANSFERENCIAS</v>
      </c>
      <c r="O185" s="2" t="s">
        <v>31</v>
      </c>
    </row>
    <row r="186" customFormat="false" ht="13.8" hidden="false" customHeight="false" outlineLevel="0" collapsed="false">
      <c r="A186" s="29" t="n">
        <v>45744</v>
      </c>
      <c r="B186" s="9" t="n">
        <f aca="false">DAY(A186)</f>
        <v>28</v>
      </c>
      <c r="C186" s="9" t="n">
        <f aca="false">MONTH(A186)</f>
        <v>3</v>
      </c>
      <c r="D186" s="9" t="n">
        <f aca="false">YEAR(A186)</f>
        <v>2025</v>
      </c>
      <c r="E186" s="9" t="n">
        <f aca="false">WEEKDAY(A186,2)</f>
        <v>5</v>
      </c>
      <c r="F186" s="10" t="n">
        <f aca="false">WEEKNUM(A186,2) - WEEKNUM(DATE(YEAR(A186),MONTH(A186),1),2) + 1</f>
        <v>5</v>
      </c>
      <c r="G186" s="10" t="n">
        <v>2</v>
      </c>
      <c r="H186" s="30" t="n">
        <v>500</v>
      </c>
      <c r="I186" s="31" t="s">
        <v>20</v>
      </c>
      <c r="J186" s="31" t="s">
        <v>32</v>
      </c>
      <c r="K186" s="12"/>
      <c r="L186" s="9"/>
      <c r="M186" s="10" t="str">
        <f aca="false">VLOOKUP(J186,RECATALOGANDO!A:C,2,0)</f>
        <v>TRANSFERENCIA ENTRE CUENTAS</v>
      </c>
      <c r="N186" s="12" t="str">
        <f aca="false">VLOOKUP(M186,RECATALOGANDO!B:C,2,0)</f>
        <v>TRANSFERENCIAS</v>
      </c>
      <c r="O186" s="2" t="s">
        <v>31</v>
      </c>
    </row>
    <row r="187" customFormat="false" ht="13.8" hidden="false" customHeight="false" outlineLevel="0" collapsed="false">
      <c r="A187" s="29" t="n">
        <v>45758</v>
      </c>
      <c r="B187" s="9" t="n">
        <f aca="false">DAY(A187)</f>
        <v>11</v>
      </c>
      <c r="C187" s="9" t="n">
        <f aca="false">MONTH(A187)</f>
        <v>4</v>
      </c>
      <c r="D187" s="9" t="n">
        <f aca="false">YEAR(A187)</f>
        <v>2025</v>
      </c>
      <c r="E187" s="9" t="n">
        <f aca="false">WEEKDAY(A187,2)</f>
        <v>5</v>
      </c>
      <c r="F187" s="10" t="n">
        <f aca="false">WEEKNUM(A187,2) - WEEKNUM(DATE(YEAR(A187),MONTH(A187),1),2) + 1</f>
        <v>2</v>
      </c>
      <c r="G187" s="10"/>
      <c r="H187" s="30" t="n">
        <v>700</v>
      </c>
      <c r="I187" s="31" t="s">
        <v>20</v>
      </c>
      <c r="J187" s="31" t="s">
        <v>32</v>
      </c>
      <c r="K187" s="12"/>
      <c r="L187" s="9"/>
      <c r="M187" s="10" t="str">
        <f aca="false">VLOOKUP(J187,RECATALOGANDO!A:C,2,0)</f>
        <v>TRANSFERENCIA ENTRE CUENTAS</v>
      </c>
      <c r="N187" s="12" t="str">
        <f aca="false">VLOOKUP(M187,RECATALOGANDO!B:C,2,0)</f>
        <v>TRANSFERENCIAS</v>
      </c>
      <c r="O187" s="2" t="s">
        <v>31</v>
      </c>
    </row>
    <row r="188" customFormat="false" ht="13.8" hidden="false" customHeight="false" outlineLevel="0" collapsed="false">
      <c r="A188" s="29" t="n">
        <v>45782</v>
      </c>
      <c r="B188" s="9" t="n">
        <f aca="false">DAY(A188)</f>
        <v>5</v>
      </c>
      <c r="C188" s="9" t="n">
        <f aca="false">MONTH(A188)</f>
        <v>5</v>
      </c>
      <c r="D188" s="9" t="n">
        <f aca="false">YEAR(A188)</f>
        <v>2025</v>
      </c>
      <c r="E188" s="9" t="n">
        <f aca="false">WEEKDAY(A188,2)</f>
        <v>1</v>
      </c>
      <c r="F188" s="10" t="n">
        <f aca="false">WEEKNUM(A188,2) - WEEKNUM(DATE(YEAR(A188),MONTH(A188),1),2) + 1</f>
        <v>2</v>
      </c>
      <c r="G188" s="10"/>
      <c r="H188" s="30" t="n">
        <v>470</v>
      </c>
      <c r="I188" s="31" t="s">
        <v>15</v>
      </c>
      <c r="J188" s="31" t="s">
        <v>32</v>
      </c>
      <c r="K188" s="12"/>
      <c r="L188" s="9"/>
      <c r="M188" s="10" t="str">
        <f aca="false">VLOOKUP(J188,RECATALOGANDO!A:C,2,0)</f>
        <v>TRANSFERENCIA ENTRE CUENTAS</v>
      </c>
      <c r="N188" s="12" t="str">
        <f aca="false">VLOOKUP(M188,RECATALOGANDO!B:C,2,0)</f>
        <v>TRANSFERENCIAS</v>
      </c>
      <c r="O188" s="2" t="s">
        <v>31</v>
      </c>
    </row>
    <row r="189" customFormat="false" ht="13.8" hidden="false" customHeight="false" outlineLevel="0" collapsed="false">
      <c r="A189" s="29" t="n">
        <v>45796</v>
      </c>
      <c r="B189" s="9" t="n">
        <f aca="false">DAY(A189)</f>
        <v>19</v>
      </c>
      <c r="C189" s="9" t="n">
        <f aca="false">MONTH(A189)</f>
        <v>5</v>
      </c>
      <c r="D189" s="9" t="n">
        <f aca="false">YEAR(A189)</f>
        <v>2025</v>
      </c>
      <c r="E189" s="9" t="n">
        <f aca="false">WEEKDAY(A189,2)</f>
        <v>1</v>
      </c>
      <c r="F189" s="10" t="n">
        <f aca="false">WEEKNUM(A189,2) - WEEKNUM(DATE(YEAR(A189),MONTH(A189),1),2) + 1</f>
        <v>4</v>
      </c>
      <c r="G189" s="10"/>
      <c r="H189" s="30" t="n">
        <v>3540</v>
      </c>
      <c r="I189" s="31" t="s">
        <v>20</v>
      </c>
      <c r="J189" s="31" t="s">
        <v>32</v>
      </c>
      <c r="K189" s="12"/>
      <c r="L189" s="9"/>
      <c r="M189" s="10" t="str">
        <f aca="false">VLOOKUP(J189,RECATALOGANDO!A:C,2,0)</f>
        <v>TRANSFERENCIA ENTRE CUENTAS</v>
      </c>
      <c r="N189" s="12" t="str">
        <f aca="false">VLOOKUP(M189,RECATALOGANDO!B:C,2,0)</f>
        <v>TRANSFERENCIAS</v>
      </c>
      <c r="O189" s="2" t="s">
        <v>31</v>
      </c>
    </row>
    <row r="190" customFormat="false" ht="13.8" hidden="false" customHeight="false" outlineLevel="0" collapsed="false">
      <c r="A190" s="29" t="n">
        <v>45806</v>
      </c>
      <c r="B190" s="9" t="n">
        <f aca="false">DAY(A190)</f>
        <v>29</v>
      </c>
      <c r="C190" s="9" t="n">
        <f aca="false">MONTH(A190)</f>
        <v>5</v>
      </c>
      <c r="D190" s="9" t="n">
        <f aca="false">YEAR(A190)</f>
        <v>2025</v>
      </c>
      <c r="E190" s="9" t="n">
        <f aca="false">WEEKDAY(A190,2)</f>
        <v>4</v>
      </c>
      <c r="F190" s="10" t="n">
        <f aca="false">WEEKNUM(A190,2) - WEEKNUM(DATE(YEAR(A190),MONTH(A190),1),2) + 1</f>
        <v>5</v>
      </c>
      <c r="G190" s="10"/>
      <c r="H190" s="30" t="n">
        <v>2100</v>
      </c>
      <c r="I190" s="31" t="s">
        <v>20</v>
      </c>
      <c r="J190" s="31" t="s">
        <v>32</v>
      </c>
      <c r="K190" s="12"/>
      <c r="L190" s="9"/>
      <c r="M190" s="10" t="str">
        <f aca="false">VLOOKUP(J190,RECATALOGANDO!A:C,2,0)</f>
        <v>TRANSFERENCIA ENTRE CUENTAS</v>
      </c>
      <c r="N190" s="12" t="str">
        <f aca="false">VLOOKUP(M190,RECATALOGANDO!B:C,2,0)</f>
        <v>TRANSFERENCIAS</v>
      </c>
      <c r="O190" s="2" t="s">
        <v>31</v>
      </c>
    </row>
    <row r="191" customFormat="false" ht="13.8" hidden="false" customHeight="false" outlineLevel="0" collapsed="false">
      <c r="A191" s="29" t="n">
        <v>45807</v>
      </c>
      <c r="B191" s="9" t="n">
        <f aca="false">DAY(A191)</f>
        <v>30</v>
      </c>
      <c r="C191" s="9" t="n">
        <f aca="false">MONTH(A191)</f>
        <v>5</v>
      </c>
      <c r="D191" s="9" t="n">
        <f aca="false">YEAR(A191)</f>
        <v>2025</v>
      </c>
      <c r="E191" s="9" t="n">
        <f aca="false">WEEKDAY(A191,2)</f>
        <v>5</v>
      </c>
      <c r="F191" s="10" t="n">
        <f aca="false">WEEKNUM(A191,2) - WEEKNUM(DATE(YEAR(A191),MONTH(A191),1),2) + 1</f>
        <v>5</v>
      </c>
      <c r="G191" s="10" t="n">
        <v>2</v>
      </c>
      <c r="H191" s="30" t="n">
        <v>400</v>
      </c>
      <c r="I191" s="31" t="s">
        <v>20</v>
      </c>
      <c r="J191" s="31" t="s">
        <v>32</v>
      </c>
      <c r="K191" s="12"/>
      <c r="L191" s="9"/>
      <c r="M191" s="10" t="str">
        <f aca="false">VLOOKUP(J191,RECATALOGANDO!A:C,2,0)</f>
        <v>TRANSFERENCIA ENTRE CUENTAS</v>
      </c>
      <c r="N191" s="12" t="str">
        <f aca="false">VLOOKUP(M191,RECATALOGANDO!B:C,2,0)</f>
        <v>TRANSFERENCIAS</v>
      </c>
      <c r="O191" s="2" t="s">
        <v>31</v>
      </c>
    </row>
    <row r="192" customFormat="false" ht="13.8" hidden="false" customHeight="false" outlineLevel="0" collapsed="false">
      <c r="A192" s="8" t="n">
        <v>45814</v>
      </c>
      <c r="B192" s="9" t="n">
        <f aca="false">DAY(A192)</f>
        <v>6</v>
      </c>
      <c r="C192" s="9" t="n">
        <f aca="false">MONTH(A192)</f>
        <v>6</v>
      </c>
      <c r="D192" s="9" t="n">
        <f aca="false">YEAR(A192)</f>
        <v>2025</v>
      </c>
      <c r="E192" s="9" t="n">
        <f aca="false">WEEKDAY(A192,2)</f>
        <v>5</v>
      </c>
      <c r="F192" s="10" t="n">
        <f aca="false">WEEKNUM(A192,2) - WEEKNUM(DATE(YEAR(A192),MONTH(A192),1),2) + 1</f>
        <v>2</v>
      </c>
      <c r="G192" s="10"/>
      <c r="H192" s="11" t="n">
        <v>900</v>
      </c>
      <c r="I192" s="38" t="s">
        <v>15</v>
      </c>
      <c r="J192" s="38" t="s">
        <v>32</v>
      </c>
      <c r="K192" s="12"/>
      <c r="L192" s="9"/>
      <c r="M192" s="10" t="str">
        <f aca="false">VLOOKUP(J192,RECATALOGANDO!A:C,2,0)</f>
        <v>TRANSFERENCIA ENTRE CUENTAS</v>
      </c>
      <c r="N192" s="12" t="str">
        <f aca="false">VLOOKUP(M192,RECATALOGANDO!B:C,2,0)</f>
        <v>TRANSFERENCIAS</v>
      </c>
      <c r="O192" s="2" t="s">
        <v>31</v>
      </c>
    </row>
    <row r="193" customFormat="false" ht="13.8" hidden="false" customHeight="false" outlineLevel="0" collapsed="false">
      <c r="A193" s="8" t="n">
        <v>45817</v>
      </c>
      <c r="B193" s="9" t="n">
        <f aca="false">DAY(A193)</f>
        <v>9</v>
      </c>
      <c r="C193" s="9" t="n">
        <f aca="false">MONTH(A193)</f>
        <v>6</v>
      </c>
      <c r="D193" s="9" t="n">
        <f aca="false">YEAR(A193)</f>
        <v>2025</v>
      </c>
      <c r="E193" s="9" t="n">
        <f aca="false">WEEKDAY(A193,2)</f>
        <v>1</v>
      </c>
      <c r="F193" s="10" t="n">
        <f aca="false">WEEKNUM(A193,2) - WEEKNUM(DATE(YEAR(A193),MONTH(A193),1),2) + 1</f>
        <v>3</v>
      </c>
      <c r="G193" s="10"/>
      <c r="H193" s="11" t="n">
        <v>4395</v>
      </c>
      <c r="I193" s="38" t="s">
        <v>20</v>
      </c>
      <c r="J193" s="38" t="s">
        <v>37</v>
      </c>
      <c r="K193" s="12"/>
      <c r="L193" s="9"/>
      <c r="M193" s="10" t="str">
        <f aca="false">VLOOKUP(J193,RECATALOGANDO!A:C,2,0)</f>
        <v>TRANSFERENCIA FAMILIAR</v>
      </c>
      <c r="N193" s="12" t="str">
        <f aca="false">VLOOKUP(M193,RECATALOGANDO!B:C,2,0)</f>
        <v>TRANSFERENCIAS</v>
      </c>
      <c r="O193" s="2" t="s">
        <v>31</v>
      </c>
    </row>
    <row r="194" customFormat="false" ht="13.8" hidden="false" customHeight="false" outlineLevel="0" collapsed="false">
      <c r="A194" s="8" t="n">
        <v>45819</v>
      </c>
      <c r="B194" s="9" t="n">
        <f aca="false">DAY(A194)</f>
        <v>11</v>
      </c>
      <c r="C194" s="9" t="n">
        <f aca="false">MONTH(A194)</f>
        <v>6</v>
      </c>
      <c r="D194" s="9" t="n">
        <f aca="false">YEAR(A194)</f>
        <v>2025</v>
      </c>
      <c r="E194" s="9" t="n">
        <f aca="false">WEEKDAY(A194,2)</f>
        <v>3</v>
      </c>
      <c r="F194" s="10" t="n">
        <f aca="false">WEEKNUM(A194,2) - WEEKNUM(DATE(YEAR(A194),MONTH(A194),1),2) + 1</f>
        <v>3</v>
      </c>
      <c r="G194" s="10"/>
      <c r="H194" s="11" t="n">
        <v>385</v>
      </c>
      <c r="I194" s="38" t="s">
        <v>20</v>
      </c>
      <c r="J194" s="38" t="s">
        <v>32</v>
      </c>
      <c r="K194" s="12"/>
      <c r="L194" s="9"/>
      <c r="M194" s="10" t="str">
        <f aca="false">VLOOKUP(J194,RECATALOGANDO!A:C,2,0)</f>
        <v>TRANSFERENCIA ENTRE CUENTAS</v>
      </c>
      <c r="N194" s="12" t="str">
        <f aca="false">VLOOKUP(M194,RECATALOGANDO!B:C,2,0)</f>
        <v>TRANSFERENCIAS</v>
      </c>
      <c r="O194" s="2" t="s">
        <v>31</v>
      </c>
    </row>
    <row r="195" customFormat="false" ht="13.8" hidden="false" customHeight="false" outlineLevel="0" collapsed="false">
      <c r="A195" s="8" t="n">
        <v>45824</v>
      </c>
      <c r="B195" s="9" t="n">
        <f aca="false">DAY(A195)</f>
        <v>16</v>
      </c>
      <c r="C195" s="9" t="n">
        <f aca="false">MONTH(A195)</f>
        <v>6</v>
      </c>
      <c r="D195" s="9" t="n">
        <f aca="false">YEAR(A195)</f>
        <v>2025</v>
      </c>
      <c r="E195" s="9" t="n">
        <f aca="false">WEEKDAY(A195,2)</f>
        <v>1</v>
      </c>
      <c r="F195" s="10" t="n">
        <f aca="false">WEEKNUM(A195,2) - WEEKNUM(DATE(YEAR(A195),MONTH(A195),1),2) + 1</f>
        <v>4</v>
      </c>
      <c r="G195" s="10"/>
      <c r="H195" s="11" t="n">
        <v>2100</v>
      </c>
      <c r="I195" s="38" t="s">
        <v>15</v>
      </c>
      <c r="J195" s="38" t="s">
        <v>32</v>
      </c>
      <c r="K195" s="12"/>
      <c r="L195" s="9"/>
      <c r="M195" s="10" t="str">
        <f aca="false">VLOOKUP(J195,RECATALOGANDO!A:C,2,0)</f>
        <v>TRANSFERENCIA ENTRE CUENTAS</v>
      </c>
      <c r="N195" s="12" t="str">
        <f aca="false">VLOOKUP(M195,RECATALOGANDO!B:C,2,0)</f>
        <v>TRANSFERENCIAS</v>
      </c>
      <c r="O195" s="2" t="s">
        <v>31</v>
      </c>
    </row>
    <row r="196" customFormat="false" ht="13.8" hidden="false" customHeight="false" outlineLevel="0" collapsed="false">
      <c r="A196" s="8" t="n">
        <v>44927</v>
      </c>
      <c r="B196" s="9" t="n">
        <f aca="false">DAY(A196)</f>
        <v>1</v>
      </c>
      <c r="C196" s="9" t="n">
        <f aca="false">MONTH(A196)</f>
        <v>1</v>
      </c>
      <c r="D196" s="9" t="n">
        <f aca="false">YEAR(A196)</f>
        <v>2023</v>
      </c>
      <c r="E196" s="9" t="n">
        <f aca="false">WEEKDAY(A196,2)</f>
        <v>7</v>
      </c>
      <c r="F196" s="10" t="n">
        <f aca="false">WEEKNUM(A196,2) - WEEKNUM(DATE(YEAR(A196),MONTH(A196),1),2) + 1</f>
        <v>1</v>
      </c>
      <c r="G196" s="10"/>
      <c r="H196" s="11" t="n">
        <v>2754</v>
      </c>
      <c r="I196" s="12" t="s">
        <v>15</v>
      </c>
      <c r="J196" s="12" t="s">
        <v>38</v>
      </c>
      <c r="K196" s="12"/>
      <c r="L196" s="9" t="n">
        <f aca="false">H196</f>
        <v>2754</v>
      </c>
      <c r="M196" s="10" t="str">
        <f aca="false">VLOOKUP(J196,RECATALOGANDO!A:C,2,0)</f>
        <v>VENTA DE ALIMENTO</v>
      </c>
      <c r="N196" s="12" t="str">
        <f aca="false">VLOOKUP(M196,RECATALOGANDO!B:C,2,0)</f>
        <v>VENTA DE PRODUCTO</v>
      </c>
      <c r="O196" s="2" t="s">
        <v>39</v>
      </c>
    </row>
    <row r="197" customFormat="false" ht="13.8" hidden="false" customHeight="false" outlineLevel="0" collapsed="false">
      <c r="A197" s="8" t="n">
        <v>44927</v>
      </c>
      <c r="B197" s="9" t="n">
        <f aca="false">DAY(A197)</f>
        <v>1</v>
      </c>
      <c r="C197" s="9" t="n">
        <f aca="false">MONTH(A197)</f>
        <v>1</v>
      </c>
      <c r="D197" s="9" t="n">
        <f aca="false">YEAR(A197)</f>
        <v>2023</v>
      </c>
      <c r="E197" s="9" t="n">
        <f aca="false">WEEKDAY(A197,2)</f>
        <v>7</v>
      </c>
      <c r="F197" s="10" t="n">
        <f aca="false">WEEKNUM(A197,2) - WEEKNUM(DATE(YEAR(A197),MONTH(A197),1),2) + 1</f>
        <v>1</v>
      </c>
      <c r="G197" s="10"/>
      <c r="H197" s="11" t="n">
        <v>9060</v>
      </c>
      <c r="I197" s="12" t="s">
        <v>15</v>
      </c>
      <c r="J197" s="12" t="s">
        <v>40</v>
      </c>
      <c r="K197" s="12"/>
      <c r="L197" s="9" t="n">
        <f aca="false">H197+L196</f>
        <v>11814</v>
      </c>
      <c r="M197" s="10" t="str">
        <f aca="false">VLOOKUP(J197,RECATALOGANDO!A:C,2,0)</f>
        <v>VENTA DE MEDICAMENTO</v>
      </c>
      <c r="N197" s="12" t="str">
        <f aca="false">VLOOKUP(M197,RECATALOGANDO!B:C,2,0)</f>
        <v>VENTA DE PRODUCTO</v>
      </c>
      <c r="O197" s="2" t="s">
        <v>39</v>
      </c>
    </row>
    <row r="198" customFormat="false" ht="13.8" hidden="false" customHeight="false" outlineLevel="0" collapsed="false">
      <c r="A198" s="8" t="n">
        <v>44928</v>
      </c>
      <c r="B198" s="9" t="n">
        <f aca="false">DAY(A198)</f>
        <v>2</v>
      </c>
      <c r="C198" s="9" t="n">
        <f aca="false">MONTH(A198)</f>
        <v>1</v>
      </c>
      <c r="D198" s="9" t="n">
        <f aca="false">YEAR(A198)</f>
        <v>2023</v>
      </c>
      <c r="E198" s="9" t="n">
        <f aca="false">WEEKDAY(A198,2)</f>
        <v>1</v>
      </c>
      <c r="F198" s="10" t="n">
        <f aca="false">WEEKNUM(A198,2) - WEEKNUM(DATE(YEAR(A198),MONTH(A198),1),2) + 1</f>
        <v>2</v>
      </c>
      <c r="G198" s="10"/>
      <c r="H198" s="11" t="n">
        <v>2690</v>
      </c>
      <c r="I198" s="12" t="s">
        <v>15</v>
      </c>
      <c r="J198" s="12" t="s">
        <v>41</v>
      </c>
      <c r="K198" s="12"/>
      <c r="L198" s="9" t="n">
        <f aca="false">H198+L197</f>
        <v>14504</v>
      </c>
      <c r="M198" s="10" t="str">
        <f aca="false">VLOOKUP(J198,RECATALOGANDO!A:C,2,0)</f>
        <v>HONORARIOS QUIRURGICOS</v>
      </c>
      <c r="N198" s="12" t="str">
        <f aca="false">VLOOKUP(M198,RECATALOGANDO!B:C,2,0)</f>
        <v>VENTA DE SERVICIO</v>
      </c>
      <c r="O198" s="2" t="s">
        <v>39</v>
      </c>
    </row>
    <row r="199" customFormat="false" ht="13.8" hidden="false" customHeight="false" outlineLevel="0" collapsed="false">
      <c r="A199" s="8" t="n">
        <v>44929</v>
      </c>
      <c r="B199" s="9" t="n">
        <f aca="false">DAY(A199)</f>
        <v>3</v>
      </c>
      <c r="C199" s="9" t="n">
        <f aca="false">MONTH(A199)</f>
        <v>1</v>
      </c>
      <c r="D199" s="9" t="n">
        <f aca="false">YEAR(A199)</f>
        <v>2023</v>
      </c>
      <c r="E199" s="9" t="n">
        <f aca="false">WEEKDAY(A199,2)</f>
        <v>2</v>
      </c>
      <c r="F199" s="10" t="n">
        <f aca="false">WEEKNUM(A199,2) - WEEKNUM(DATE(YEAR(A199),MONTH(A199),1),2) + 1</f>
        <v>2</v>
      </c>
      <c r="G199" s="10"/>
      <c r="H199" s="11" t="n">
        <v>1660</v>
      </c>
      <c r="I199" s="12" t="s">
        <v>15</v>
      </c>
      <c r="J199" s="12" t="s">
        <v>38</v>
      </c>
      <c r="K199" s="12"/>
      <c r="L199" s="9" t="n">
        <f aca="false">H199+L198</f>
        <v>16164</v>
      </c>
      <c r="M199" s="10" t="str">
        <f aca="false">VLOOKUP(J199,RECATALOGANDO!A:C,2,0)</f>
        <v>VENTA DE ALIMENTO</v>
      </c>
      <c r="N199" s="12" t="str">
        <f aca="false">VLOOKUP(M199,RECATALOGANDO!B:C,2,0)</f>
        <v>VENTA DE PRODUCTO</v>
      </c>
      <c r="O199" s="2" t="s">
        <v>39</v>
      </c>
    </row>
    <row r="200" customFormat="false" ht="13.8" hidden="false" customHeight="false" outlineLevel="0" collapsed="false">
      <c r="A200" s="8" t="n">
        <v>44930</v>
      </c>
      <c r="B200" s="9" t="n">
        <f aca="false">DAY(A200)</f>
        <v>4</v>
      </c>
      <c r="C200" s="9" t="n">
        <f aca="false">MONTH(A200)</f>
        <v>1</v>
      </c>
      <c r="D200" s="9" t="n">
        <f aca="false">YEAR(A200)</f>
        <v>2023</v>
      </c>
      <c r="E200" s="9" t="n">
        <f aca="false">WEEKDAY(A200,2)</f>
        <v>3</v>
      </c>
      <c r="F200" s="10" t="n">
        <f aca="false">WEEKNUM(A200,2) - WEEKNUM(DATE(YEAR(A200),MONTH(A200),1),2) + 1</f>
        <v>2</v>
      </c>
      <c r="G200" s="10"/>
      <c r="H200" s="11" t="n">
        <v>3519</v>
      </c>
      <c r="I200" s="12" t="s">
        <v>15</v>
      </c>
      <c r="J200" s="12" t="s">
        <v>41</v>
      </c>
      <c r="K200" s="12"/>
      <c r="L200" s="9" t="n">
        <f aca="false">H200+L199</f>
        <v>19683</v>
      </c>
      <c r="M200" s="10" t="str">
        <f aca="false">VLOOKUP(J200,RECATALOGANDO!A:C,2,0)</f>
        <v>HONORARIOS QUIRURGICOS</v>
      </c>
      <c r="N200" s="12" t="str">
        <f aca="false">VLOOKUP(M200,RECATALOGANDO!B:C,2,0)</f>
        <v>VENTA DE SERVICIO</v>
      </c>
      <c r="O200" s="2" t="s">
        <v>39</v>
      </c>
    </row>
    <row r="201" customFormat="false" ht="13.8" hidden="false" customHeight="false" outlineLevel="0" collapsed="false">
      <c r="A201" s="8" t="n">
        <v>44931</v>
      </c>
      <c r="B201" s="9" t="n">
        <f aca="false">DAY(A201)</f>
        <v>5</v>
      </c>
      <c r="C201" s="9" t="n">
        <f aca="false">MONTH(A201)</f>
        <v>1</v>
      </c>
      <c r="D201" s="9" t="n">
        <f aca="false">YEAR(A201)</f>
        <v>2023</v>
      </c>
      <c r="E201" s="9" t="n">
        <f aca="false">WEEKDAY(A201,2)</f>
        <v>4</v>
      </c>
      <c r="F201" s="10" t="n">
        <f aca="false">WEEKNUM(A201,2) - WEEKNUM(DATE(YEAR(A201),MONTH(A201),1),2) + 1</f>
        <v>2</v>
      </c>
      <c r="G201" s="10"/>
      <c r="H201" s="11" t="n">
        <v>203</v>
      </c>
      <c r="I201" s="12" t="s">
        <v>15</v>
      </c>
      <c r="J201" s="12" t="s">
        <v>42</v>
      </c>
      <c r="K201" s="12"/>
      <c r="L201" s="9" t="n">
        <f aca="false">H201+L200</f>
        <v>19886</v>
      </c>
      <c r="M201" s="10" t="str">
        <f aca="false">VLOOKUP(J201,RECATALOGANDO!A:C,2,0)</f>
        <v>VENTA DE MEDICAMENTO</v>
      </c>
      <c r="N201" s="12" t="str">
        <f aca="false">VLOOKUP(M201,RECATALOGANDO!B:C,2,0)</f>
        <v>VENTA DE PRODUCTO</v>
      </c>
      <c r="O201" s="2" t="s">
        <v>39</v>
      </c>
    </row>
    <row r="202" customFormat="false" ht="13.8" hidden="false" customHeight="false" outlineLevel="0" collapsed="false">
      <c r="A202" s="8" t="n">
        <v>44931</v>
      </c>
      <c r="B202" s="9" t="n">
        <f aca="false">DAY(A202)</f>
        <v>5</v>
      </c>
      <c r="C202" s="9" t="n">
        <f aca="false">MONTH(A202)</f>
        <v>1</v>
      </c>
      <c r="D202" s="9" t="n">
        <f aca="false">YEAR(A202)</f>
        <v>2023</v>
      </c>
      <c r="E202" s="9" t="n">
        <f aca="false">WEEKDAY(A202,2)</f>
        <v>4</v>
      </c>
      <c r="F202" s="10" t="n">
        <f aca="false">WEEKNUM(A202,2) - WEEKNUM(DATE(YEAR(A202),MONTH(A202),1),2) + 1</f>
        <v>2</v>
      </c>
      <c r="G202" s="10"/>
      <c r="H202" s="11" t="n">
        <v>450</v>
      </c>
      <c r="I202" s="12" t="s">
        <v>20</v>
      </c>
      <c r="J202" s="12" t="s">
        <v>43</v>
      </c>
      <c r="K202" s="12"/>
      <c r="L202" s="9" t="n">
        <f aca="false">H202+L201</f>
        <v>20336</v>
      </c>
      <c r="M202" s="10" t="str">
        <f aca="false">VLOOKUP(J202,RECATALOGANDO!A:C,2,0)</f>
        <v>HONORARIOS MEDICOS</v>
      </c>
      <c r="N202" s="12" t="str">
        <f aca="false">VLOOKUP(M202,RECATALOGANDO!B:C,2,0)</f>
        <v>VENTA DE SERVICIO</v>
      </c>
      <c r="O202" s="2" t="s">
        <v>39</v>
      </c>
    </row>
    <row r="203" customFormat="false" ht="13.8" hidden="false" customHeight="false" outlineLevel="0" collapsed="false">
      <c r="A203" s="8" t="n">
        <v>44931</v>
      </c>
      <c r="B203" s="9" t="n">
        <f aca="false">DAY(A203)</f>
        <v>5</v>
      </c>
      <c r="C203" s="9" t="n">
        <f aca="false">MONTH(A203)</f>
        <v>1</v>
      </c>
      <c r="D203" s="9" t="n">
        <f aca="false">YEAR(A203)</f>
        <v>2023</v>
      </c>
      <c r="E203" s="9" t="n">
        <f aca="false">WEEKDAY(A203,2)</f>
        <v>4</v>
      </c>
      <c r="F203" s="10" t="n">
        <f aca="false">WEEKNUM(A203,2) - WEEKNUM(DATE(YEAR(A203),MONTH(A203),1),2) + 1</f>
        <v>2</v>
      </c>
      <c r="G203" s="10"/>
      <c r="H203" s="11" t="n">
        <v>535</v>
      </c>
      <c r="I203" s="12" t="s">
        <v>20</v>
      </c>
      <c r="J203" s="12" t="s">
        <v>44</v>
      </c>
      <c r="K203" s="12"/>
      <c r="L203" s="9" t="n">
        <f aca="false">H203+L202</f>
        <v>20871</v>
      </c>
      <c r="M203" s="10" t="str">
        <f aca="false">VLOOKUP(J203,RECATALOGANDO!A:C,2,0)</f>
        <v>HONORARIOS MEDICOS</v>
      </c>
      <c r="N203" s="12" t="str">
        <f aca="false">VLOOKUP(M203,RECATALOGANDO!B:C,2,0)</f>
        <v>VENTA DE SERVICIO</v>
      </c>
      <c r="O203" s="2" t="s">
        <v>39</v>
      </c>
    </row>
    <row r="204" customFormat="false" ht="13.8" hidden="false" customHeight="false" outlineLevel="0" collapsed="false">
      <c r="A204" s="8" t="n">
        <v>44932</v>
      </c>
      <c r="B204" s="9" t="n">
        <f aca="false">DAY(A204)</f>
        <v>6</v>
      </c>
      <c r="C204" s="9" t="n">
        <f aca="false">MONTH(A204)</f>
        <v>1</v>
      </c>
      <c r="D204" s="9" t="n">
        <f aca="false">YEAR(A204)</f>
        <v>2023</v>
      </c>
      <c r="E204" s="9" t="n">
        <f aca="false">WEEKDAY(A204,2)</f>
        <v>5</v>
      </c>
      <c r="F204" s="10" t="n">
        <f aca="false">WEEKNUM(A204,2) - WEEKNUM(DATE(YEAR(A204),MONTH(A204),1),2) + 1</f>
        <v>2</v>
      </c>
      <c r="G204" s="10"/>
      <c r="H204" s="11" t="n">
        <v>780</v>
      </c>
      <c r="I204" s="12" t="s">
        <v>20</v>
      </c>
      <c r="J204" s="12" t="s">
        <v>45</v>
      </c>
      <c r="K204" s="12"/>
      <c r="L204" s="9" t="n">
        <f aca="false">H204+L203</f>
        <v>21651</v>
      </c>
      <c r="M204" s="10" t="str">
        <f aca="false">VLOOKUP(J204,RECATALOGANDO!A:C,2,0)</f>
        <v>VENTA DE MEDICAMENTO</v>
      </c>
      <c r="N204" s="12" t="str">
        <f aca="false">VLOOKUP(M204,RECATALOGANDO!B:C,2,0)</f>
        <v>VENTA DE PRODUCTO</v>
      </c>
      <c r="O204" s="2" t="s">
        <v>39</v>
      </c>
    </row>
    <row r="205" customFormat="false" ht="13.8" hidden="false" customHeight="false" outlineLevel="0" collapsed="false">
      <c r="A205" s="8" t="n">
        <v>44932</v>
      </c>
      <c r="B205" s="9" t="n">
        <f aca="false">DAY(A205)</f>
        <v>6</v>
      </c>
      <c r="C205" s="9" t="n">
        <f aca="false">MONTH(A205)</f>
        <v>1</v>
      </c>
      <c r="D205" s="9" t="n">
        <f aca="false">YEAR(A205)</f>
        <v>2023</v>
      </c>
      <c r="E205" s="9" t="n">
        <f aca="false">WEEKDAY(A205,2)</f>
        <v>5</v>
      </c>
      <c r="F205" s="10" t="n">
        <f aca="false">WEEKNUM(A205,2) - WEEKNUM(DATE(YEAR(A205),MONTH(A205),1),2) + 1</f>
        <v>2</v>
      </c>
      <c r="G205" s="10"/>
      <c r="H205" s="11" t="n">
        <v>280</v>
      </c>
      <c r="I205" s="12" t="s">
        <v>20</v>
      </c>
      <c r="J205" s="12" t="s">
        <v>44</v>
      </c>
      <c r="K205" s="12"/>
      <c r="L205" s="9" t="n">
        <f aca="false">H205+L204</f>
        <v>21931</v>
      </c>
      <c r="M205" s="10" t="str">
        <f aca="false">VLOOKUP(J205,RECATALOGANDO!A:C,2,0)</f>
        <v>HONORARIOS MEDICOS</v>
      </c>
      <c r="N205" s="12" t="str">
        <f aca="false">VLOOKUP(M205,RECATALOGANDO!B:C,2,0)</f>
        <v>VENTA DE SERVICIO</v>
      </c>
      <c r="O205" s="2" t="s">
        <v>39</v>
      </c>
    </row>
    <row r="206" customFormat="false" ht="13.8" hidden="false" customHeight="false" outlineLevel="0" collapsed="false">
      <c r="A206" s="8" t="n">
        <v>44932</v>
      </c>
      <c r="B206" s="9" t="n">
        <f aca="false">DAY(A206)</f>
        <v>6</v>
      </c>
      <c r="C206" s="9" t="n">
        <f aca="false">MONTH(A206)</f>
        <v>1</v>
      </c>
      <c r="D206" s="9" t="n">
        <f aca="false">YEAR(A206)</f>
        <v>2023</v>
      </c>
      <c r="E206" s="9" t="n">
        <f aca="false">WEEKDAY(A206,2)</f>
        <v>5</v>
      </c>
      <c r="F206" s="10" t="n">
        <f aca="false">WEEKNUM(A206,2) - WEEKNUM(DATE(YEAR(A206),MONTH(A206),1),2) + 1</f>
        <v>2</v>
      </c>
      <c r="G206" s="10"/>
      <c r="H206" s="11" t="n">
        <v>958.24</v>
      </c>
      <c r="I206" s="12" t="s">
        <v>15</v>
      </c>
      <c r="J206" s="12" t="s">
        <v>44</v>
      </c>
      <c r="K206" s="12"/>
      <c r="L206" s="9" t="n">
        <f aca="false">H206+L205</f>
        <v>22889.24</v>
      </c>
      <c r="M206" s="10" t="str">
        <f aca="false">VLOOKUP(J206,RECATALOGANDO!A:C,2,0)</f>
        <v>HONORARIOS MEDICOS</v>
      </c>
      <c r="N206" s="12" t="str">
        <f aca="false">VLOOKUP(M206,RECATALOGANDO!B:C,2,0)</f>
        <v>VENTA DE SERVICIO</v>
      </c>
      <c r="O206" s="2" t="s">
        <v>39</v>
      </c>
    </row>
    <row r="207" customFormat="false" ht="13.8" hidden="false" customHeight="false" outlineLevel="0" collapsed="false">
      <c r="A207" s="8" t="n">
        <v>44933</v>
      </c>
      <c r="B207" s="9" t="n">
        <f aca="false">DAY(A207)</f>
        <v>7</v>
      </c>
      <c r="C207" s="9" t="n">
        <f aca="false">MONTH(A207)</f>
        <v>1</v>
      </c>
      <c r="D207" s="9" t="n">
        <f aca="false">YEAR(A207)</f>
        <v>2023</v>
      </c>
      <c r="E207" s="9" t="n">
        <f aca="false">WEEKDAY(A207,2)</f>
        <v>6</v>
      </c>
      <c r="F207" s="10" t="n">
        <f aca="false">WEEKNUM(A207,2) - WEEKNUM(DATE(YEAR(A207),MONTH(A207),1),2) + 1</f>
        <v>2</v>
      </c>
      <c r="G207" s="10"/>
      <c r="H207" s="11" t="n">
        <v>501.16</v>
      </c>
      <c r="I207" s="12" t="s">
        <v>15</v>
      </c>
      <c r="J207" s="12" t="s">
        <v>44</v>
      </c>
      <c r="K207" s="12"/>
      <c r="L207" s="9" t="n">
        <f aca="false">H207+L206</f>
        <v>23390.4</v>
      </c>
      <c r="M207" s="10" t="str">
        <f aca="false">VLOOKUP(J207,RECATALOGANDO!A:C,2,0)</f>
        <v>HONORARIOS MEDICOS</v>
      </c>
      <c r="N207" s="12" t="str">
        <f aca="false">VLOOKUP(M207,RECATALOGANDO!B:C,2,0)</f>
        <v>VENTA DE SERVICIO</v>
      </c>
      <c r="O207" s="2" t="s">
        <v>39</v>
      </c>
    </row>
    <row r="208" customFormat="false" ht="13.8" hidden="false" customHeight="false" outlineLevel="0" collapsed="false">
      <c r="A208" s="8" t="n">
        <v>44935</v>
      </c>
      <c r="B208" s="9" t="n">
        <f aca="false">DAY(A208)</f>
        <v>9</v>
      </c>
      <c r="C208" s="9" t="n">
        <f aca="false">MONTH(A208)</f>
        <v>1</v>
      </c>
      <c r="D208" s="9" t="n">
        <f aca="false">YEAR(A208)</f>
        <v>2023</v>
      </c>
      <c r="E208" s="9" t="n">
        <f aca="false">WEEKDAY(A208,2)</f>
        <v>1</v>
      </c>
      <c r="F208" s="10" t="n">
        <f aca="false">WEEKNUM(A208,2) - WEEKNUM(DATE(YEAR(A208),MONTH(A208),1),2) + 1</f>
        <v>3</v>
      </c>
      <c r="G208" s="10"/>
      <c r="H208" s="11" t="n">
        <v>150</v>
      </c>
      <c r="I208" s="12" t="s">
        <v>20</v>
      </c>
      <c r="J208" s="12" t="s">
        <v>46</v>
      </c>
      <c r="K208" s="12"/>
      <c r="L208" s="9" t="n">
        <f aca="false">H208+L207</f>
        <v>23540.4</v>
      </c>
      <c r="M208" s="10" t="str">
        <f aca="false">VLOOKUP(J208,RECATALOGANDO!A:C,2,0)</f>
        <v>SERVICIO DE GROOMING</v>
      </c>
      <c r="N208" s="12" t="str">
        <f aca="false">VLOOKUP(M208,RECATALOGANDO!B:C,2,0)</f>
        <v>VENTA DE SERVICIO</v>
      </c>
      <c r="O208" s="2" t="s">
        <v>39</v>
      </c>
    </row>
    <row r="209" customFormat="false" ht="13.8" hidden="false" customHeight="false" outlineLevel="0" collapsed="false">
      <c r="A209" s="8" t="n">
        <v>44935</v>
      </c>
      <c r="B209" s="9" t="n">
        <f aca="false">DAY(A209)</f>
        <v>9</v>
      </c>
      <c r="C209" s="9" t="n">
        <f aca="false">MONTH(A209)</f>
        <v>1</v>
      </c>
      <c r="D209" s="9" t="n">
        <f aca="false">YEAR(A209)</f>
        <v>2023</v>
      </c>
      <c r="E209" s="9" t="n">
        <f aca="false">WEEKDAY(A209,2)</f>
        <v>1</v>
      </c>
      <c r="F209" s="10" t="n">
        <f aca="false">WEEKNUM(A209,2) - WEEKNUM(DATE(YEAR(A209),MONTH(A209),1),2) + 1</f>
        <v>3</v>
      </c>
      <c r="G209" s="10"/>
      <c r="H209" s="11" t="n">
        <v>900</v>
      </c>
      <c r="I209" s="12" t="s">
        <v>20</v>
      </c>
      <c r="J209" s="12" t="s">
        <v>47</v>
      </c>
      <c r="K209" s="12"/>
      <c r="L209" s="9" t="n">
        <f aca="false">H209+L208</f>
        <v>24440.4</v>
      </c>
      <c r="M209" s="10" t="str">
        <f aca="false">VLOOKUP(J209,RECATALOGANDO!A:C,2,0)</f>
        <v>SERVICIO DE PENSION</v>
      </c>
      <c r="N209" s="12" t="str">
        <f aca="false">VLOOKUP(M209,RECATALOGANDO!B:C,2,0)</f>
        <v>VENTA DE SERVICIO</v>
      </c>
      <c r="O209" s="2" t="s">
        <v>39</v>
      </c>
    </row>
    <row r="210" customFormat="false" ht="13.8" hidden="false" customHeight="false" outlineLevel="0" collapsed="false">
      <c r="A210" s="8" t="n">
        <v>44936</v>
      </c>
      <c r="B210" s="9" t="n">
        <f aca="false">DAY(A210)</f>
        <v>10</v>
      </c>
      <c r="C210" s="9" t="n">
        <f aca="false">MONTH(A210)</f>
        <v>1</v>
      </c>
      <c r="D210" s="9" t="n">
        <f aca="false">YEAR(A210)</f>
        <v>2023</v>
      </c>
      <c r="E210" s="9" t="n">
        <f aca="false">WEEKDAY(A210,2)</f>
        <v>2</v>
      </c>
      <c r="F210" s="10" t="n">
        <f aca="false">WEEKNUM(A210,2) - WEEKNUM(DATE(YEAR(A210),MONTH(A210),1),2) + 1</f>
        <v>3</v>
      </c>
      <c r="G210" s="10"/>
      <c r="H210" s="11" t="n">
        <v>1533.18</v>
      </c>
      <c r="I210" s="12" t="s">
        <v>15</v>
      </c>
      <c r="J210" s="12" t="s">
        <v>38</v>
      </c>
      <c r="K210" s="12"/>
      <c r="L210" s="9" t="n">
        <f aca="false">H210+L209</f>
        <v>25973.58</v>
      </c>
      <c r="M210" s="10" t="str">
        <f aca="false">VLOOKUP(J210,RECATALOGANDO!A:C,2,0)</f>
        <v>VENTA DE ALIMENTO</v>
      </c>
      <c r="N210" s="12" t="str">
        <f aca="false">VLOOKUP(M210,RECATALOGANDO!B:C,2,0)</f>
        <v>VENTA DE PRODUCTO</v>
      </c>
      <c r="O210" s="2" t="s">
        <v>39</v>
      </c>
    </row>
    <row r="211" customFormat="false" ht="13.8" hidden="false" customHeight="false" outlineLevel="0" collapsed="false">
      <c r="A211" s="8" t="n">
        <v>44937</v>
      </c>
      <c r="B211" s="9" t="n">
        <f aca="false">DAY(A211)</f>
        <v>11</v>
      </c>
      <c r="C211" s="9" t="n">
        <f aca="false">MONTH(A211)</f>
        <v>1</v>
      </c>
      <c r="D211" s="9" t="n">
        <f aca="false">YEAR(A211)</f>
        <v>2023</v>
      </c>
      <c r="E211" s="9" t="n">
        <f aca="false">WEEKDAY(A211,2)</f>
        <v>3</v>
      </c>
      <c r="F211" s="10" t="n">
        <f aca="false">WEEKNUM(A211,2) - WEEKNUM(DATE(YEAR(A211),MONTH(A211),1),2) + 1</f>
        <v>3</v>
      </c>
      <c r="G211" s="10"/>
      <c r="H211" s="11" t="n">
        <v>1917.11</v>
      </c>
      <c r="I211" s="12" t="s">
        <v>15</v>
      </c>
      <c r="J211" s="12" t="s">
        <v>48</v>
      </c>
      <c r="K211" s="12"/>
      <c r="L211" s="9" t="n">
        <f aca="false">H211+L210</f>
        <v>27890.69</v>
      </c>
      <c r="M211" s="10" t="str">
        <f aca="false">VLOOKUP(J211,RECATALOGANDO!A:C,2,0)</f>
        <v>VENTA DE ACCESORIOS</v>
      </c>
      <c r="N211" s="12" t="str">
        <f aca="false">VLOOKUP(M211,RECATALOGANDO!B:C,2,0)</f>
        <v>VENTA DE PRODUCTO</v>
      </c>
      <c r="O211" s="2" t="s">
        <v>39</v>
      </c>
    </row>
    <row r="212" customFormat="false" ht="13.8" hidden="false" customHeight="false" outlineLevel="0" collapsed="false">
      <c r="A212" s="8" t="n">
        <v>44937</v>
      </c>
      <c r="B212" s="9" t="n">
        <f aca="false">DAY(A212)</f>
        <v>11</v>
      </c>
      <c r="C212" s="9" t="n">
        <f aca="false">MONTH(A212)</f>
        <v>1</v>
      </c>
      <c r="D212" s="9" t="n">
        <f aca="false">YEAR(A212)</f>
        <v>2023</v>
      </c>
      <c r="E212" s="9" t="n">
        <f aca="false">WEEKDAY(A212,2)</f>
        <v>3</v>
      </c>
      <c r="F212" s="10" t="n">
        <f aca="false">WEEKNUM(A212,2) - WEEKNUM(DATE(YEAR(A212),MONTH(A212),1),2) + 1</f>
        <v>3</v>
      </c>
      <c r="G212" s="10"/>
      <c r="H212" s="11" t="n">
        <v>370</v>
      </c>
      <c r="I212" s="12" t="s">
        <v>20</v>
      </c>
      <c r="J212" s="12" t="s">
        <v>49</v>
      </c>
      <c r="K212" s="12"/>
      <c r="L212" s="9" t="n">
        <f aca="false">H212+L211</f>
        <v>28260.69</v>
      </c>
      <c r="M212" s="10" t="str">
        <f aca="false">VLOOKUP(J212,RECATALOGANDO!A:C,2,0)</f>
        <v>SERVICIO DE GROOMING</v>
      </c>
      <c r="N212" s="12" t="str">
        <f aca="false">VLOOKUP(M212,RECATALOGANDO!B:C,2,0)</f>
        <v>VENTA DE SERVICIO</v>
      </c>
      <c r="O212" s="2" t="s">
        <v>39</v>
      </c>
    </row>
    <row r="213" customFormat="false" ht="13.8" hidden="false" customHeight="false" outlineLevel="0" collapsed="false">
      <c r="A213" s="8" t="n">
        <v>44938</v>
      </c>
      <c r="B213" s="9" t="n">
        <f aca="false">DAY(A213)</f>
        <v>12</v>
      </c>
      <c r="C213" s="9" t="n">
        <f aca="false">MONTH(A213)</f>
        <v>1</v>
      </c>
      <c r="D213" s="9" t="n">
        <f aca="false">YEAR(A213)</f>
        <v>2023</v>
      </c>
      <c r="E213" s="9" t="n">
        <f aca="false">WEEKDAY(A213,2)</f>
        <v>4</v>
      </c>
      <c r="F213" s="10" t="n">
        <f aca="false">WEEKNUM(A213,2) - WEEKNUM(DATE(YEAR(A213),MONTH(A213),1),2) + 1</f>
        <v>3</v>
      </c>
      <c r="G213" s="10"/>
      <c r="H213" s="11" t="n">
        <v>1720</v>
      </c>
      <c r="I213" s="12" t="s">
        <v>20</v>
      </c>
      <c r="J213" s="12" t="s">
        <v>40</v>
      </c>
      <c r="K213" s="12"/>
      <c r="L213" s="9" t="n">
        <f aca="false">H213+L212</f>
        <v>29980.69</v>
      </c>
      <c r="M213" s="10" t="str">
        <f aca="false">VLOOKUP(J213,RECATALOGANDO!A:C,2,0)</f>
        <v>VENTA DE MEDICAMENTO</v>
      </c>
      <c r="N213" s="12" t="str">
        <f aca="false">VLOOKUP(M213,RECATALOGANDO!B:C,2,0)</f>
        <v>VENTA DE PRODUCTO</v>
      </c>
      <c r="O213" s="2" t="s">
        <v>39</v>
      </c>
    </row>
    <row r="214" customFormat="false" ht="13.8" hidden="false" customHeight="false" outlineLevel="0" collapsed="false">
      <c r="A214" s="8" t="n">
        <v>44942</v>
      </c>
      <c r="B214" s="9" t="n">
        <f aca="false">DAY(A214)</f>
        <v>16</v>
      </c>
      <c r="C214" s="9" t="n">
        <f aca="false">MONTH(A214)</f>
        <v>1</v>
      </c>
      <c r="D214" s="9" t="n">
        <f aca="false">YEAR(A214)</f>
        <v>2023</v>
      </c>
      <c r="E214" s="9" t="n">
        <f aca="false">WEEKDAY(A214,2)</f>
        <v>1</v>
      </c>
      <c r="F214" s="10" t="n">
        <f aca="false">WEEKNUM(A214,2) - WEEKNUM(DATE(YEAR(A214),MONTH(A214),1),2) + 1</f>
        <v>4</v>
      </c>
      <c r="G214" s="10"/>
      <c r="H214" s="11" t="n">
        <v>5000</v>
      </c>
      <c r="I214" s="12" t="s">
        <v>15</v>
      </c>
      <c r="J214" s="12" t="s">
        <v>41</v>
      </c>
      <c r="K214" s="12"/>
      <c r="L214" s="9" t="n">
        <f aca="false">H214+L213</f>
        <v>34980.69</v>
      </c>
      <c r="M214" s="10" t="str">
        <f aca="false">VLOOKUP(J214,RECATALOGANDO!A:C,2,0)</f>
        <v>HONORARIOS QUIRURGICOS</v>
      </c>
      <c r="N214" s="12" t="str">
        <f aca="false">VLOOKUP(M214,RECATALOGANDO!B:C,2,0)</f>
        <v>VENTA DE SERVICIO</v>
      </c>
      <c r="O214" s="2" t="s">
        <v>39</v>
      </c>
    </row>
    <row r="215" customFormat="false" ht="13.8" hidden="false" customHeight="false" outlineLevel="0" collapsed="false">
      <c r="A215" s="8" t="n">
        <v>44942</v>
      </c>
      <c r="B215" s="9" t="n">
        <f aca="false">DAY(A215)</f>
        <v>16</v>
      </c>
      <c r="C215" s="9" t="n">
        <f aca="false">MONTH(A215)</f>
        <v>1</v>
      </c>
      <c r="D215" s="9" t="n">
        <f aca="false">YEAR(A215)</f>
        <v>2023</v>
      </c>
      <c r="E215" s="9" t="n">
        <f aca="false">WEEKDAY(A215,2)</f>
        <v>1</v>
      </c>
      <c r="F215" s="10" t="n">
        <f aca="false">WEEKNUM(A215,2) - WEEKNUM(DATE(YEAR(A215),MONTH(A215),1),2) + 1</f>
        <v>4</v>
      </c>
      <c r="G215" s="10"/>
      <c r="H215" s="11" t="n">
        <v>10000</v>
      </c>
      <c r="I215" s="12" t="s">
        <v>15</v>
      </c>
      <c r="J215" s="12" t="s">
        <v>41</v>
      </c>
      <c r="K215" s="12"/>
      <c r="L215" s="9" t="n">
        <f aca="false">H215+L214</f>
        <v>44980.69</v>
      </c>
      <c r="M215" s="10" t="str">
        <f aca="false">VLOOKUP(J215,RECATALOGANDO!A:C,2,0)</f>
        <v>HONORARIOS QUIRURGICOS</v>
      </c>
      <c r="N215" s="12" t="str">
        <f aca="false">VLOOKUP(M215,RECATALOGANDO!B:C,2,0)</f>
        <v>VENTA DE SERVICIO</v>
      </c>
      <c r="O215" s="2" t="s">
        <v>39</v>
      </c>
    </row>
    <row r="216" customFormat="false" ht="13.8" hidden="false" customHeight="false" outlineLevel="0" collapsed="false">
      <c r="A216" s="8" t="n">
        <v>44945</v>
      </c>
      <c r="B216" s="9" t="n">
        <f aca="false">DAY(A216)</f>
        <v>19</v>
      </c>
      <c r="C216" s="9" t="n">
        <f aca="false">MONTH(A216)</f>
        <v>1</v>
      </c>
      <c r="D216" s="9" t="n">
        <f aca="false">YEAR(A216)</f>
        <v>2023</v>
      </c>
      <c r="E216" s="9" t="n">
        <f aca="false">WEEKDAY(A216,2)</f>
        <v>4</v>
      </c>
      <c r="F216" s="10" t="n">
        <f aca="false">WEEKNUM(A216,2) - WEEKNUM(DATE(YEAR(A216),MONTH(A216),1),2) + 1</f>
        <v>4</v>
      </c>
      <c r="G216" s="10"/>
      <c r="H216" s="11" t="n">
        <v>297.05</v>
      </c>
      <c r="I216" s="12" t="s">
        <v>15</v>
      </c>
      <c r="J216" s="12" t="s">
        <v>40</v>
      </c>
      <c r="K216" s="12"/>
      <c r="L216" s="9" t="n">
        <f aca="false">H216+L215</f>
        <v>45277.74</v>
      </c>
      <c r="M216" s="10" t="str">
        <f aca="false">VLOOKUP(J216,RECATALOGANDO!A:C,2,0)</f>
        <v>VENTA DE MEDICAMENTO</v>
      </c>
      <c r="N216" s="12" t="str">
        <f aca="false">VLOOKUP(M216,RECATALOGANDO!B:C,2,0)</f>
        <v>VENTA DE PRODUCTO</v>
      </c>
      <c r="O216" s="2" t="s">
        <v>39</v>
      </c>
    </row>
    <row r="217" customFormat="false" ht="13.8" hidden="false" customHeight="false" outlineLevel="0" collapsed="false">
      <c r="A217" s="8" t="n">
        <v>44945</v>
      </c>
      <c r="B217" s="9" t="n">
        <f aca="false">DAY(A217)</f>
        <v>19</v>
      </c>
      <c r="C217" s="9" t="n">
        <f aca="false">MONTH(A217)</f>
        <v>1</v>
      </c>
      <c r="D217" s="9" t="n">
        <f aca="false">YEAR(A217)</f>
        <v>2023</v>
      </c>
      <c r="E217" s="9" t="n">
        <f aca="false">WEEKDAY(A217,2)</f>
        <v>4</v>
      </c>
      <c r="F217" s="10" t="n">
        <f aca="false">WEEKNUM(A217,2) - WEEKNUM(DATE(YEAR(A217),MONTH(A217),1),2) + 1</f>
        <v>4</v>
      </c>
      <c r="G217" s="10"/>
      <c r="H217" s="11" t="n">
        <v>1690</v>
      </c>
      <c r="I217" s="12" t="s">
        <v>15</v>
      </c>
      <c r="J217" s="12" t="s">
        <v>45</v>
      </c>
      <c r="K217" s="12"/>
      <c r="L217" s="9" t="n">
        <f aca="false">H217+L216</f>
        <v>46967.74</v>
      </c>
      <c r="M217" s="10" t="str">
        <f aca="false">VLOOKUP(J217,RECATALOGANDO!A:C,2,0)</f>
        <v>VENTA DE MEDICAMENTO</v>
      </c>
      <c r="N217" s="12" t="str">
        <f aca="false">VLOOKUP(M217,RECATALOGANDO!B:C,2,0)</f>
        <v>VENTA DE PRODUCTO</v>
      </c>
      <c r="O217" s="2" t="s">
        <v>39</v>
      </c>
    </row>
    <row r="218" customFormat="false" ht="13.8" hidden="false" customHeight="false" outlineLevel="0" collapsed="false">
      <c r="A218" s="8" t="n">
        <v>44956</v>
      </c>
      <c r="B218" s="9" t="n">
        <f aca="false">DAY(A218)</f>
        <v>30</v>
      </c>
      <c r="C218" s="9" t="n">
        <f aca="false">MONTH(A218)</f>
        <v>1</v>
      </c>
      <c r="D218" s="9" t="n">
        <f aca="false">YEAR(A218)</f>
        <v>2023</v>
      </c>
      <c r="E218" s="9" t="n">
        <f aca="false">WEEKDAY(A218,2)</f>
        <v>1</v>
      </c>
      <c r="F218" s="10" t="n">
        <f aca="false">WEEKNUM(A218,2) - WEEKNUM(DATE(YEAR(A218),MONTH(A218),1),2) + 1</f>
        <v>6</v>
      </c>
      <c r="G218" s="10" t="n">
        <v>2</v>
      </c>
      <c r="H218" s="11" t="n">
        <v>7000</v>
      </c>
      <c r="I218" s="12" t="s">
        <v>15</v>
      </c>
      <c r="J218" s="12" t="s">
        <v>41</v>
      </c>
      <c r="K218" s="12"/>
      <c r="L218" s="9" t="n">
        <f aca="false">H218+L217</f>
        <v>53967.74</v>
      </c>
      <c r="M218" s="10" t="str">
        <f aca="false">VLOOKUP(J218,RECATALOGANDO!A:C,2,0)</f>
        <v>HONORARIOS QUIRURGICOS</v>
      </c>
      <c r="N218" s="12" t="str">
        <f aca="false">VLOOKUP(M218,RECATALOGANDO!B:C,2,0)</f>
        <v>VENTA DE SERVICIO</v>
      </c>
      <c r="O218" s="2" t="s">
        <v>39</v>
      </c>
    </row>
    <row r="219" customFormat="false" ht="13.8" hidden="false" customHeight="false" outlineLevel="0" collapsed="false">
      <c r="A219" s="8" t="n">
        <v>44959</v>
      </c>
      <c r="B219" s="9" t="n">
        <f aca="false">DAY(A219)</f>
        <v>2</v>
      </c>
      <c r="C219" s="9" t="n">
        <f aca="false">MONTH(A219)</f>
        <v>2</v>
      </c>
      <c r="D219" s="9" t="n">
        <f aca="false">YEAR(A219)</f>
        <v>2023</v>
      </c>
      <c r="E219" s="9" t="n">
        <f aca="false">WEEKDAY(A219,2)</f>
        <v>4</v>
      </c>
      <c r="F219" s="10" t="n">
        <f aca="false">WEEKNUM(A219,2) - WEEKNUM(DATE(YEAR(A219),MONTH(A219),1),2) + 1</f>
        <v>1</v>
      </c>
      <c r="G219" s="10"/>
      <c r="H219" s="11" t="n">
        <v>200</v>
      </c>
      <c r="I219" s="12" t="s">
        <v>20</v>
      </c>
      <c r="J219" s="12" t="s">
        <v>50</v>
      </c>
      <c r="K219" s="12"/>
      <c r="L219" s="9" t="e">
        <f aca="false">#REF!+H219</f>
        <v>#REF!</v>
      </c>
      <c r="M219" s="10" t="str">
        <f aca="false">VLOOKUP(J219,RECATALOGANDO!A:C,2,0)</f>
        <v>VENTA DE MEDICAMENTO</v>
      </c>
      <c r="N219" s="12" t="str">
        <f aca="false">VLOOKUP(M219,RECATALOGANDO!B:C,2,0)</f>
        <v>VENTA DE PRODUCTO</v>
      </c>
      <c r="O219" s="2" t="s">
        <v>39</v>
      </c>
    </row>
    <row r="220" customFormat="false" ht="13.8" hidden="false" customHeight="false" outlineLevel="0" collapsed="false">
      <c r="A220" s="8" t="n">
        <v>44960</v>
      </c>
      <c r="B220" s="9" t="n">
        <f aca="false">DAY(A220)</f>
        <v>3</v>
      </c>
      <c r="C220" s="9" t="n">
        <f aca="false">MONTH(A220)</f>
        <v>2</v>
      </c>
      <c r="D220" s="9" t="n">
        <f aca="false">YEAR(A220)</f>
        <v>2023</v>
      </c>
      <c r="E220" s="9" t="n">
        <f aca="false">WEEKDAY(A220,2)</f>
        <v>5</v>
      </c>
      <c r="F220" s="10" t="n">
        <f aca="false">WEEKNUM(A220,2) - WEEKNUM(DATE(YEAR(A220),MONTH(A220),1),2) + 1</f>
        <v>1</v>
      </c>
      <c r="G220" s="10"/>
      <c r="H220" s="11" t="n">
        <v>3291.55</v>
      </c>
      <c r="I220" s="12" t="s">
        <v>15</v>
      </c>
      <c r="J220" s="12" t="s">
        <v>51</v>
      </c>
      <c r="K220" s="12"/>
      <c r="L220" s="9" t="e">
        <f aca="false">#REF!+H220</f>
        <v>#REF!</v>
      </c>
      <c r="M220" s="10" t="str">
        <f aca="false">VLOOKUP(J220,RECATALOGANDO!A:C,2,0)</f>
        <v>VENTA DE ALIMENTO</v>
      </c>
      <c r="N220" s="12" t="str">
        <f aca="false">VLOOKUP(M220,RECATALOGANDO!B:C,2,0)</f>
        <v>VENTA DE PRODUCTO</v>
      </c>
      <c r="O220" s="2" t="s">
        <v>39</v>
      </c>
    </row>
    <row r="221" customFormat="false" ht="13.8" hidden="false" customHeight="false" outlineLevel="0" collapsed="false">
      <c r="A221" s="8" t="n">
        <v>44961</v>
      </c>
      <c r="B221" s="9" t="n">
        <f aca="false">DAY(A221)</f>
        <v>4</v>
      </c>
      <c r="C221" s="9" t="n">
        <f aca="false">MONTH(A221)</f>
        <v>2</v>
      </c>
      <c r="D221" s="9" t="n">
        <f aca="false">YEAR(A221)</f>
        <v>2023</v>
      </c>
      <c r="E221" s="9" t="n">
        <f aca="false">WEEKDAY(A221,2)</f>
        <v>6</v>
      </c>
      <c r="F221" s="10" t="n">
        <f aca="false">WEEKNUM(A221,2) - WEEKNUM(DATE(YEAR(A221),MONTH(A221),1),2) + 1</f>
        <v>1</v>
      </c>
      <c r="G221" s="10"/>
      <c r="H221" s="11" t="n">
        <v>1456.52</v>
      </c>
      <c r="I221" s="12" t="s">
        <v>15</v>
      </c>
      <c r="J221" s="12" t="s">
        <v>45</v>
      </c>
      <c r="K221" s="12"/>
      <c r="L221" s="9" t="e">
        <f aca="false">L220+H221</f>
        <v>#REF!</v>
      </c>
      <c r="M221" s="10" t="str">
        <f aca="false">VLOOKUP(J221,RECATALOGANDO!A:C,2,0)</f>
        <v>VENTA DE MEDICAMENTO</v>
      </c>
      <c r="N221" s="12" t="str">
        <f aca="false">VLOOKUP(M221,RECATALOGANDO!B:C,2,0)</f>
        <v>VENTA DE PRODUCTO</v>
      </c>
      <c r="O221" s="2" t="s">
        <v>39</v>
      </c>
    </row>
    <row r="222" customFormat="false" ht="13.8" hidden="false" customHeight="false" outlineLevel="0" collapsed="false">
      <c r="A222" s="8" t="n">
        <v>44961</v>
      </c>
      <c r="B222" s="9" t="n">
        <f aca="false">DAY(A222)</f>
        <v>4</v>
      </c>
      <c r="C222" s="9" t="n">
        <f aca="false">MONTH(A222)</f>
        <v>2</v>
      </c>
      <c r="D222" s="9" t="n">
        <f aca="false">YEAR(A222)</f>
        <v>2023</v>
      </c>
      <c r="E222" s="9" t="n">
        <f aca="false">WEEKDAY(A222,2)</f>
        <v>6</v>
      </c>
      <c r="F222" s="10" t="n">
        <f aca="false">WEEKNUM(A222,2) - WEEKNUM(DATE(YEAR(A222),MONTH(A222),1),2) + 1</f>
        <v>1</v>
      </c>
      <c r="G222" s="10"/>
      <c r="H222" s="11" t="n">
        <v>540</v>
      </c>
      <c r="I222" s="12" t="s">
        <v>15</v>
      </c>
      <c r="J222" s="12" t="s">
        <v>52</v>
      </c>
      <c r="K222" s="12"/>
      <c r="L222" s="9" t="e">
        <f aca="false">#REF!+H222</f>
        <v>#REF!</v>
      </c>
      <c r="M222" s="10" t="str">
        <f aca="false">VLOOKUP(J222,RECATALOGANDO!A:C,2,0)</f>
        <v>SERVICIO DE PENSION</v>
      </c>
      <c r="N222" s="12" t="str">
        <f aca="false">VLOOKUP(M222,RECATALOGANDO!B:C,2,0)</f>
        <v>VENTA DE SERVICIO</v>
      </c>
      <c r="O222" s="2" t="s">
        <v>39</v>
      </c>
    </row>
    <row r="223" customFormat="false" ht="13.8" hidden="false" customHeight="false" outlineLevel="0" collapsed="false">
      <c r="A223" s="8" t="n">
        <v>44962</v>
      </c>
      <c r="B223" s="9" t="n">
        <f aca="false">DAY(A223)</f>
        <v>5</v>
      </c>
      <c r="C223" s="9" t="n">
        <f aca="false">MONTH(A223)</f>
        <v>2</v>
      </c>
      <c r="D223" s="9" t="n">
        <f aca="false">YEAR(A223)</f>
        <v>2023</v>
      </c>
      <c r="E223" s="9" t="n">
        <f aca="false">WEEKDAY(A223,2)</f>
        <v>7</v>
      </c>
      <c r="F223" s="10" t="n">
        <f aca="false">WEEKNUM(A223,2) - WEEKNUM(DATE(YEAR(A223),MONTH(A223),1),2) + 1</f>
        <v>1</v>
      </c>
      <c r="G223" s="10"/>
      <c r="H223" s="11" t="n">
        <v>188.78</v>
      </c>
      <c r="I223" s="12" t="s">
        <v>15</v>
      </c>
      <c r="J223" s="12" t="s">
        <v>53</v>
      </c>
      <c r="K223" s="12"/>
      <c r="L223" s="9" t="e">
        <f aca="false">#REF!+H223</f>
        <v>#REF!</v>
      </c>
      <c r="M223" s="10" t="str">
        <f aca="false">VLOOKUP(J223,RECATALOGANDO!A:C,2,0)</f>
        <v>SERVICIO DE GROOMING</v>
      </c>
      <c r="N223" s="12" t="str">
        <f aca="false">VLOOKUP(M223,RECATALOGANDO!B:C,2,0)</f>
        <v>VENTA DE SERVICIO</v>
      </c>
      <c r="O223" s="2" t="s">
        <v>39</v>
      </c>
    </row>
    <row r="224" customFormat="false" ht="13.8" hidden="false" customHeight="false" outlineLevel="0" collapsed="false">
      <c r="A224" s="8" t="n">
        <v>44962</v>
      </c>
      <c r="B224" s="9" t="n">
        <f aca="false">DAY(A224)</f>
        <v>5</v>
      </c>
      <c r="C224" s="9" t="n">
        <f aca="false">MONTH(A224)</f>
        <v>2</v>
      </c>
      <c r="D224" s="9" t="n">
        <f aca="false">YEAR(A224)</f>
        <v>2023</v>
      </c>
      <c r="E224" s="9" t="n">
        <f aca="false">WEEKDAY(A224,2)</f>
        <v>7</v>
      </c>
      <c r="F224" s="10" t="n">
        <f aca="false">WEEKNUM(A224,2) - WEEKNUM(DATE(YEAR(A224),MONTH(A224),1),2) + 1</f>
        <v>1</v>
      </c>
      <c r="G224" s="10"/>
      <c r="H224" s="11" t="n">
        <v>192</v>
      </c>
      <c r="I224" s="12" t="s">
        <v>15</v>
      </c>
      <c r="J224" s="12" t="s">
        <v>53</v>
      </c>
      <c r="K224" s="12"/>
      <c r="L224" s="9" t="e">
        <f aca="false">#REF!+H224</f>
        <v>#REF!</v>
      </c>
      <c r="M224" s="10" t="str">
        <f aca="false">VLOOKUP(J224,RECATALOGANDO!A:C,2,0)</f>
        <v>SERVICIO DE GROOMING</v>
      </c>
      <c r="N224" s="12" t="str">
        <f aca="false">VLOOKUP(M224,RECATALOGANDO!B:C,2,0)</f>
        <v>VENTA DE SERVICIO</v>
      </c>
      <c r="O224" s="2" t="s">
        <v>39</v>
      </c>
    </row>
    <row r="225" customFormat="false" ht="13.8" hidden="false" customHeight="false" outlineLevel="0" collapsed="false">
      <c r="A225" s="8" t="n">
        <v>44964</v>
      </c>
      <c r="B225" s="9" t="n">
        <f aca="false">DAY(A225)</f>
        <v>7</v>
      </c>
      <c r="C225" s="9" t="n">
        <f aca="false">MONTH(A225)</f>
        <v>2</v>
      </c>
      <c r="D225" s="9" t="n">
        <f aca="false">YEAR(A225)</f>
        <v>2023</v>
      </c>
      <c r="E225" s="9" t="n">
        <f aca="false">WEEKDAY(A225,2)</f>
        <v>2</v>
      </c>
      <c r="F225" s="10" t="n">
        <f aca="false">WEEKNUM(A225,2) - WEEKNUM(DATE(YEAR(A225),MONTH(A225),1),2) + 1</f>
        <v>2</v>
      </c>
      <c r="G225" s="10"/>
      <c r="H225" s="11" t="n">
        <v>730</v>
      </c>
      <c r="I225" s="12" t="s">
        <v>20</v>
      </c>
      <c r="J225" s="12" t="s">
        <v>50</v>
      </c>
      <c r="K225" s="12"/>
      <c r="L225" s="9" t="e">
        <f aca="false">#REF!+H225</f>
        <v>#REF!</v>
      </c>
      <c r="M225" s="10" t="str">
        <f aca="false">VLOOKUP(J225,RECATALOGANDO!A:C,2,0)</f>
        <v>VENTA DE MEDICAMENTO</v>
      </c>
      <c r="N225" s="12" t="str">
        <f aca="false">VLOOKUP(M225,RECATALOGANDO!B:C,2,0)</f>
        <v>VENTA DE PRODUCTO</v>
      </c>
      <c r="O225" s="2" t="s">
        <v>39</v>
      </c>
    </row>
    <row r="226" customFormat="false" ht="13.8" hidden="false" customHeight="false" outlineLevel="0" collapsed="false">
      <c r="A226" s="8" t="n">
        <v>44964</v>
      </c>
      <c r="B226" s="9" t="n">
        <f aca="false">DAY(A226)</f>
        <v>7</v>
      </c>
      <c r="C226" s="9" t="n">
        <f aca="false">MONTH(A226)</f>
        <v>2</v>
      </c>
      <c r="D226" s="9" t="n">
        <f aca="false">YEAR(A226)</f>
        <v>2023</v>
      </c>
      <c r="E226" s="9" t="n">
        <f aca="false">WEEKDAY(A226,2)</f>
        <v>2</v>
      </c>
      <c r="F226" s="10" t="n">
        <f aca="false">WEEKNUM(A226,2) - WEEKNUM(DATE(YEAR(A226),MONTH(A226),1),2) + 1</f>
        <v>2</v>
      </c>
      <c r="G226" s="10"/>
      <c r="H226" s="11" t="n">
        <v>1260</v>
      </c>
      <c r="I226" s="12" t="s">
        <v>20</v>
      </c>
      <c r="J226" s="12" t="s">
        <v>50</v>
      </c>
      <c r="K226" s="12"/>
      <c r="L226" s="9" t="e">
        <f aca="false">#REF!+H226</f>
        <v>#REF!</v>
      </c>
      <c r="M226" s="10" t="str">
        <f aca="false">VLOOKUP(J226,RECATALOGANDO!A:C,2,0)</f>
        <v>VENTA DE MEDICAMENTO</v>
      </c>
      <c r="N226" s="12" t="str">
        <f aca="false">VLOOKUP(M226,RECATALOGANDO!B:C,2,0)</f>
        <v>VENTA DE PRODUCTO</v>
      </c>
      <c r="O226" s="2" t="s">
        <v>39</v>
      </c>
    </row>
    <row r="227" customFormat="false" ht="13.8" hidden="false" customHeight="false" outlineLevel="0" collapsed="false">
      <c r="A227" s="8" t="n">
        <v>44964</v>
      </c>
      <c r="B227" s="9" t="n">
        <f aca="false">DAY(A227)</f>
        <v>7</v>
      </c>
      <c r="C227" s="9" t="n">
        <f aca="false">MONTH(A227)</f>
        <v>2</v>
      </c>
      <c r="D227" s="9" t="n">
        <f aca="false">YEAR(A227)</f>
        <v>2023</v>
      </c>
      <c r="E227" s="9" t="n">
        <f aca="false">WEEKDAY(A227,2)</f>
        <v>2</v>
      </c>
      <c r="F227" s="10" t="n">
        <f aca="false">WEEKNUM(A227,2) - WEEKNUM(DATE(YEAR(A227),MONTH(A227),1),2) + 1</f>
        <v>2</v>
      </c>
      <c r="G227" s="10"/>
      <c r="H227" s="11" t="n">
        <v>1314</v>
      </c>
      <c r="I227" s="12" t="s">
        <v>20</v>
      </c>
      <c r="J227" s="12" t="s">
        <v>51</v>
      </c>
      <c r="K227" s="12"/>
      <c r="L227" s="9" t="e">
        <f aca="false">#REF!+H227</f>
        <v>#REF!</v>
      </c>
      <c r="M227" s="10" t="str">
        <f aca="false">VLOOKUP(J227,RECATALOGANDO!A:C,2,0)</f>
        <v>VENTA DE ALIMENTO</v>
      </c>
      <c r="N227" s="12" t="str">
        <f aca="false">VLOOKUP(M227,RECATALOGANDO!B:C,2,0)</f>
        <v>VENTA DE PRODUCTO</v>
      </c>
      <c r="O227" s="2" t="s">
        <v>39</v>
      </c>
    </row>
    <row r="228" customFormat="false" ht="13.8" hidden="false" customHeight="false" outlineLevel="0" collapsed="false">
      <c r="A228" s="8" t="n">
        <v>44964</v>
      </c>
      <c r="B228" s="9" t="n">
        <f aca="false">DAY(A228)</f>
        <v>7</v>
      </c>
      <c r="C228" s="9" t="n">
        <f aca="false">MONTH(A228)</f>
        <v>2</v>
      </c>
      <c r="D228" s="9" t="n">
        <f aca="false">YEAR(A228)</f>
        <v>2023</v>
      </c>
      <c r="E228" s="9" t="n">
        <f aca="false">WEEKDAY(A228,2)</f>
        <v>2</v>
      </c>
      <c r="F228" s="10" t="n">
        <f aca="false">WEEKNUM(A228,2) - WEEKNUM(DATE(YEAR(A228),MONTH(A228),1),2) + 1</f>
        <v>2</v>
      </c>
      <c r="G228" s="10"/>
      <c r="H228" s="11" t="n">
        <v>150</v>
      </c>
      <c r="I228" s="12" t="s">
        <v>20</v>
      </c>
      <c r="J228" s="12" t="s">
        <v>53</v>
      </c>
      <c r="K228" s="12"/>
      <c r="L228" s="9" t="e">
        <f aca="false">#REF!+H228</f>
        <v>#REF!</v>
      </c>
      <c r="M228" s="10" t="str">
        <f aca="false">VLOOKUP(J228,RECATALOGANDO!A:C,2,0)</f>
        <v>SERVICIO DE GROOMING</v>
      </c>
      <c r="N228" s="12" t="str">
        <f aca="false">VLOOKUP(M228,RECATALOGANDO!B:C,2,0)</f>
        <v>VENTA DE SERVICIO</v>
      </c>
      <c r="O228" s="2" t="s">
        <v>39</v>
      </c>
    </row>
    <row r="229" customFormat="false" ht="13.8" hidden="false" customHeight="false" outlineLevel="0" collapsed="false">
      <c r="A229" s="8" t="n">
        <v>44964</v>
      </c>
      <c r="B229" s="9" t="n">
        <f aca="false">DAY(A229)</f>
        <v>7</v>
      </c>
      <c r="C229" s="9" t="n">
        <f aca="false">MONTH(A229)</f>
        <v>2</v>
      </c>
      <c r="D229" s="9" t="n">
        <f aca="false">YEAR(A229)</f>
        <v>2023</v>
      </c>
      <c r="E229" s="9" t="n">
        <f aca="false">WEEKDAY(A229,2)</f>
        <v>2</v>
      </c>
      <c r="F229" s="10" t="n">
        <f aca="false">WEEKNUM(A229,2) - WEEKNUM(DATE(YEAR(A229),MONTH(A229),1),2) + 1</f>
        <v>2</v>
      </c>
      <c r="G229" s="10"/>
      <c r="H229" s="11" t="n">
        <v>750</v>
      </c>
      <c r="I229" s="12" t="s">
        <v>20</v>
      </c>
      <c r="J229" s="12" t="s">
        <v>44</v>
      </c>
      <c r="K229" s="12"/>
      <c r="L229" s="9" t="e">
        <f aca="false">#REF!+H229</f>
        <v>#REF!</v>
      </c>
      <c r="M229" s="10" t="str">
        <f aca="false">VLOOKUP(J229,RECATALOGANDO!A:C,2,0)</f>
        <v>HONORARIOS MEDICOS</v>
      </c>
      <c r="N229" s="12" t="str">
        <f aca="false">VLOOKUP(M229,RECATALOGANDO!B:C,2,0)</f>
        <v>VENTA DE SERVICIO</v>
      </c>
      <c r="O229" s="2" t="s">
        <v>39</v>
      </c>
    </row>
    <row r="230" customFormat="false" ht="13.8" hidden="false" customHeight="false" outlineLevel="0" collapsed="false">
      <c r="A230" s="8" t="n">
        <v>44965</v>
      </c>
      <c r="B230" s="9" t="n">
        <f aca="false">DAY(A230)</f>
        <v>8</v>
      </c>
      <c r="C230" s="9" t="n">
        <f aca="false">MONTH(A230)</f>
        <v>2</v>
      </c>
      <c r="D230" s="9" t="n">
        <f aca="false">YEAR(A230)</f>
        <v>2023</v>
      </c>
      <c r="E230" s="9" t="n">
        <f aca="false">WEEKDAY(A230,2)</f>
        <v>3</v>
      </c>
      <c r="F230" s="10" t="n">
        <f aca="false">WEEKNUM(A230,2) - WEEKNUM(DATE(YEAR(A230),MONTH(A230),1),2) + 1</f>
        <v>2</v>
      </c>
      <c r="G230" s="10"/>
      <c r="H230" s="11" t="n">
        <v>704.31</v>
      </c>
      <c r="I230" s="12" t="s">
        <v>15</v>
      </c>
      <c r="J230" s="12" t="s">
        <v>44</v>
      </c>
      <c r="K230" s="12"/>
      <c r="L230" s="9" t="e">
        <f aca="false">#REF!+H230</f>
        <v>#REF!</v>
      </c>
      <c r="M230" s="10" t="str">
        <f aca="false">VLOOKUP(J230,RECATALOGANDO!A:C,2,0)</f>
        <v>HONORARIOS MEDICOS</v>
      </c>
      <c r="N230" s="12" t="str">
        <f aca="false">VLOOKUP(M230,RECATALOGANDO!B:C,2,0)</f>
        <v>VENTA DE SERVICIO</v>
      </c>
      <c r="O230" s="2" t="s">
        <v>39</v>
      </c>
    </row>
    <row r="231" customFormat="false" ht="13.8" hidden="false" customHeight="false" outlineLevel="0" collapsed="false">
      <c r="A231" s="8" t="n">
        <v>44966</v>
      </c>
      <c r="B231" s="9" t="n">
        <f aca="false">DAY(A231)</f>
        <v>9</v>
      </c>
      <c r="C231" s="9" t="n">
        <f aca="false">MONTH(A231)</f>
        <v>2</v>
      </c>
      <c r="D231" s="9" t="n">
        <f aca="false">YEAR(A231)</f>
        <v>2023</v>
      </c>
      <c r="E231" s="9" t="n">
        <f aca="false">WEEKDAY(A231,2)</f>
        <v>4</v>
      </c>
      <c r="F231" s="10" t="n">
        <f aca="false">WEEKNUM(A231,2) - WEEKNUM(DATE(YEAR(A231),MONTH(A231),1),2) + 1</f>
        <v>2</v>
      </c>
      <c r="G231" s="10"/>
      <c r="H231" s="11" t="n">
        <v>450</v>
      </c>
      <c r="I231" s="12" t="s">
        <v>20</v>
      </c>
      <c r="J231" s="12" t="s">
        <v>45</v>
      </c>
      <c r="K231" s="12"/>
      <c r="L231" s="9" t="e">
        <f aca="false">L230+H231</f>
        <v>#REF!</v>
      </c>
      <c r="M231" s="10" t="str">
        <f aca="false">VLOOKUP(J231,RECATALOGANDO!A:C,2,0)</f>
        <v>VENTA DE MEDICAMENTO</v>
      </c>
      <c r="N231" s="12" t="str">
        <f aca="false">VLOOKUP(M231,RECATALOGANDO!B:C,2,0)</f>
        <v>VENTA DE PRODUCTO</v>
      </c>
      <c r="O231" s="2" t="s">
        <v>39</v>
      </c>
    </row>
    <row r="232" customFormat="false" ht="13.8" hidden="false" customHeight="false" outlineLevel="0" collapsed="false">
      <c r="A232" s="8" t="n">
        <v>44966</v>
      </c>
      <c r="B232" s="9" t="n">
        <f aca="false">DAY(A232)</f>
        <v>9</v>
      </c>
      <c r="C232" s="9" t="n">
        <f aca="false">MONTH(A232)</f>
        <v>2</v>
      </c>
      <c r="D232" s="9" t="n">
        <f aca="false">YEAR(A232)</f>
        <v>2023</v>
      </c>
      <c r="E232" s="9" t="n">
        <f aca="false">WEEKDAY(A232,2)</f>
        <v>4</v>
      </c>
      <c r="F232" s="10" t="n">
        <f aca="false">WEEKNUM(A232,2) - WEEKNUM(DATE(YEAR(A232),MONTH(A232),1),2) + 1</f>
        <v>2</v>
      </c>
      <c r="G232" s="10"/>
      <c r="H232" s="11" t="n">
        <v>800</v>
      </c>
      <c r="I232" s="12" t="s">
        <v>20</v>
      </c>
      <c r="J232" s="12" t="s">
        <v>45</v>
      </c>
      <c r="K232" s="12"/>
      <c r="L232" s="9" t="e">
        <f aca="false">#REF!+H232</f>
        <v>#REF!</v>
      </c>
      <c r="M232" s="10" t="str">
        <f aca="false">VLOOKUP(J232,RECATALOGANDO!A:C,2,0)</f>
        <v>VENTA DE MEDICAMENTO</v>
      </c>
      <c r="N232" s="12" t="str">
        <f aca="false">VLOOKUP(M232,RECATALOGANDO!B:C,2,0)</f>
        <v>VENTA DE PRODUCTO</v>
      </c>
      <c r="O232" s="2" t="s">
        <v>39</v>
      </c>
    </row>
    <row r="233" customFormat="false" ht="13.8" hidden="false" customHeight="false" outlineLevel="0" collapsed="false">
      <c r="A233" s="8" t="n">
        <v>44967</v>
      </c>
      <c r="B233" s="9" t="n">
        <f aca="false">DAY(A233)</f>
        <v>10</v>
      </c>
      <c r="C233" s="9" t="n">
        <f aca="false">MONTH(A233)</f>
        <v>2</v>
      </c>
      <c r="D233" s="9" t="n">
        <f aca="false">YEAR(A233)</f>
        <v>2023</v>
      </c>
      <c r="E233" s="9" t="n">
        <f aca="false">WEEKDAY(A233,2)</f>
        <v>5</v>
      </c>
      <c r="F233" s="10" t="n">
        <f aca="false">WEEKNUM(A233,2) - WEEKNUM(DATE(YEAR(A233),MONTH(A233),1),2) + 1</f>
        <v>2</v>
      </c>
      <c r="G233" s="10"/>
      <c r="H233" s="11" t="n">
        <v>725</v>
      </c>
      <c r="I233" s="12" t="s">
        <v>15</v>
      </c>
      <c r="J233" s="12" t="s">
        <v>52</v>
      </c>
      <c r="K233" s="12"/>
      <c r="L233" s="9" t="e">
        <f aca="false">#REF!+H233</f>
        <v>#REF!</v>
      </c>
      <c r="M233" s="10" t="str">
        <f aca="false">VLOOKUP(J233,RECATALOGANDO!A:C,2,0)</f>
        <v>SERVICIO DE PENSION</v>
      </c>
      <c r="N233" s="12" t="str">
        <f aca="false">VLOOKUP(M233,RECATALOGANDO!B:C,2,0)</f>
        <v>VENTA DE SERVICIO</v>
      </c>
      <c r="O233" s="2" t="s">
        <v>39</v>
      </c>
    </row>
    <row r="234" customFormat="false" ht="13.8" hidden="false" customHeight="false" outlineLevel="0" collapsed="false">
      <c r="A234" s="8" t="n">
        <v>44968</v>
      </c>
      <c r="B234" s="9" t="n">
        <f aca="false">DAY(A234)</f>
        <v>11</v>
      </c>
      <c r="C234" s="9" t="n">
        <f aca="false">MONTH(A234)</f>
        <v>2</v>
      </c>
      <c r="D234" s="9" t="n">
        <f aca="false">YEAR(A234)</f>
        <v>2023</v>
      </c>
      <c r="E234" s="9" t="n">
        <f aca="false">WEEKDAY(A234,2)</f>
        <v>6</v>
      </c>
      <c r="F234" s="10" t="n">
        <f aca="false">WEEKNUM(A234,2) - WEEKNUM(DATE(YEAR(A234),MONTH(A234),1),2) + 1</f>
        <v>2</v>
      </c>
      <c r="G234" s="10"/>
      <c r="H234" s="11" t="n">
        <v>150</v>
      </c>
      <c r="I234" s="12" t="s">
        <v>15</v>
      </c>
      <c r="J234" s="12" t="s">
        <v>53</v>
      </c>
      <c r="K234" s="12"/>
      <c r="L234" s="9" t="e">
        <f aca="false">#REF!+H234</f>
        <v>#REF!</v>
      </c>
      <c r="M234" s="10" t="str">
        <f aca="false">VLOOKUP(J234,RECATALOGANDO!A:C,2,0)</f>
        <v>SERVICIO DE GROOMING</v>
      </c>
      <c r="N234" s="12" t="str">
        <f aca="false">VLOOKUP(M234,RECATALOGANDO!B:C,2,0)</f>
        <v>VENTA DE SERVICIO</v>
      </c>
      <c r="O234" s="2" t="s">
        <v>39</v>
      </c>
    </row>
    <row r="235" customFormat="false" ht="13.8" hidden="false" customHeight="false" outlineLevel="0" collapsed="false">
      <c r="A235" s="8" t="n">
        <v>44970</v>
      </c>
      <c r="B235" s="9" t="n">
        <f aca="false">DAY(A235)</f>
        <v>13</v>
      </c>
      <c r="C235" s="9" t="n">
        <f aca="false">MONTH(A235)</f>
        <v>2</v>
      </c>
      <c r="D235" s="9" t="n">
        <f aca="false">YEAR(A235)</f>
        <v>2023</v>
      </c>
      <c r="E235" s="9" t="n">
        <f aca="false">WEEKDAY(A235,2)</f>
        <v>1</v>
      </c>
      <c r="F235" s="10" t="n">
        <f aca="false">WEEKNUM(A235,2) - WEEKNUM(DATE(YEAR(A235),MONTH(A235),1),2) + 1</f>
        <v>3</v>
      </c>
      <c r="G235" s="10"/>
      <c r="H235" s="11" t="n">
        <v>833</v>
      </c>
      <c r="I235" s="12" t="s">
        <v>20</v>
      </c>
      <c r="J235" s="12" t="s">
        <v>45</v>
      </c>
      <c r="K235" s="12"/>
      <c r="L235" s="9" t="e">
        <f aca="false">#REF!+H235</f>
        <v>#REF!</v>
      </c>
      <c r="M235" s="10" t="str">
        <f aca="false">VLOOKUP(J235,RECATALOGANDO!A:C,2,0)</f>
        <v>VENTA DE MEDICAMENTO</v>
      </c>
      <c r="N235" s="12" t="str">
        <f aca="false">VLOOKUP(M235,RECATALOGANDO!B:C,2,0)</f>
        <v>VENTA DE PRODUCTO</v>
      </c>
      <c r="O235" s="2" t="s">
        <v>39</v>
      </c>
    </row>
    <row r="236" customFormat="false" ht="13.8" hidden="false" customHeight="false" outlineLevel="0" collapsed="false">
      <c r="A236" s="8" t="n">
        <v>44970</v>
      </c>
      <c r="B236" s="9" t="n">
        <f aca="false">DAY(A236)</f>
        <v>13</v>
      </c>
      <c r="C236" s="9" t="n">
        <f aca="false">MONTH(A236)</f>
        <v>2</v>
      </c>
      <c r="D236" s="9" t="n">
        <f aca="false">YEAR(A236)</f>
        <v>2023</v>
      </c>
      <c r="E236" s="9" t="n">
        <f aca="false">WEEKDAY(A236,2)</f>
        <v>1</v>
      </c>
      <c r="F236" s="10" t="n">
        <f aca="false">WEEKNUM(A236,2) - WEEKNUM(DATE(YEAR(A236),MONTH(A236),1),2) + 1</f>
        <v>3</v>
      </c>
      <c r="G236" s="10"/>
      <c r="H236" s="11" t="n">
        <v>2530</v>
      </c>
      <c r="I236" s="12" t="s">
        <v>20</v>
      </c>
      <c r="J236" s="12" t="s">
        <v>45</v>
      </c>
      <c r="K236" s="12"/>
      <c r="L236" s="9" t="e">
        <f aca="false">L235+H236</f>
        <v>#REF!</v>
      </c>
      <c r="M236" s="10" t="str">
        <f aca="false">VLOOKUP(J236,RECATALOGANDO!A:C,2,0)</f>
        <v>VENTA DE MEDICAMENTO</v>
      </c>
      <c r="N236" s="12" t="str">
        <f aca="false">VLOOKUP(M236,RECATALOGANDO!B:C,2,0)</f>
        <v>VENTA DE PRODUCTO</v>
      </c>
      <c r="O236" s="2" t="s">
        <v>39</v>
      </c>
    </row>
    <row r="237" customFormat="false" ht="13.8" hidden="false" customHeight="false" outlineLevel="0" collapsed="false">
      <c r="A237" s="8" t="n">
        <v>44970</v>
      </c>
      <c r="B237" s="9" t="n">
        <f aca="false">DAY(A237)</f>
        <v>13</v>
      </c>
      <c r="C237" s="9" t="n">
        <f aca="false">MONTH(A237)</f>
        <v>2</v>
      </c>
      <c r="D237" s="9" t="n">
        <f aca="false">YEAR(A237)</f>
        <v>2023</v>
      </c>
      <c r="E237" s="9" t="n">
        <f aca="false">WEEKDAY(A237,2)</f>
        <v>1</v>
      </c>
      <c r="F237" s="10" t="n">
        <f aca="false">WEEKNUM(A237,2) - WEEKNUM(DATE(YEAR(A237),MONTH(A237),1),2) + 1</f>
        <v>3</v>
      </c>
      <c r="G237" s="10"/>
      <c r="H237" s="11" t="n">
        <v>1700</v>
      </c>
      <c r="I237" s="12" t="s">
        <v>20</v>
      </c>
      <c r="J237" s="12" t="s">
        <v>54</v>
      </c>
      <c r="K237" s="12"/>
      <c r="L237" s="9" t="e">
        <f aca="false">#REF!+H237</f>
        <v>#REF!</v>
      </c>
      <c r="M237" s="10" t="str">
        <f aca="false">VLOOKUP(J237,RECATALOGANDO!A:C,2,0)</f>
        <v>SERVICIO DE LABORATORIO</v>
      </c>
      <c r="N237" s="12" t="str">
        <f aca="false">VLOOKUP(M237,RECATALOGANDO!B:C,2,0)</f>
        <v>VENTA DE SERVICIO</v>
      </c>
      <c r="O237" s="2" t="s">
        <v>39</v>
      </c>
    </row>
    <row r="238" customFormat="false" ht="13.8" hidden="false" customHeight="false" outlineLevel="0" collapsed="false">
      <c r="A238" s="8" t="n">
        <v>44972</v>
      </c>
      <c r="B238" s="9" t="n">
        <f aca="false">DAY(A238)</f>
        <v>15</v>
      </c>
      <c r="C238" s="9" t="n">
        <f aca="false">MONTH(A238)</f>
        <v>2</v>
      </c>
      <c r="D238" s="9" t="n">
        <f aca="false">YEAR(A238)</f>
        <v>2023</v>
      </c>
      <c r="E238" s="9" t="n">
        <f aca="false">WEEKDAY(A238,2)</f>
        <v>3</v>
      </c>
      <c r="F238" s="10" t="n">
        <f aca="false">WEEKNUM(A238,2) - WEEKNUM(DATE(YEAR(A238),MONTH(A238),1),2) + 1</f>
        <v>3</v>
      </c>
      <c r="G238" s="10" t="n">
        <v>1</v>
      </c>
      <c r="H238" s="11" t="n">
        <v>1329</v>
      </c>
      <c r="I238" s="12" t="s">
        <v>15</v>
      </c>
      <c r="J238" s="12" t="s">
        <v>44</v>
      </c>
      <c r="K238" s="12"/>
      <c r="L238" s="9" t="e">
        <f aca="false">#REF!+H238</f>
        <v>#REF!</v>
      </c>
      <c r="M238" s="10" t="str">
        <f aca="false">VLOOKUP(J238,RECATALOGANDO!A:C,2,0)</f>
        <v>HONORARIOS MEDICOS</v>
      </c>
      <c r="N238" s="12" t="str">
        <f aca="false">VLOOKUP(M238,RECATALOGANDO!B:C,2,0)</f>
        <v>VENTA DE SERVICIO</v>
      </c>
      <c r="O238" s="2" t="s">
        <v>39</v>
      </c>
    </row>
    <row r="239" customFormat="false" ht="13.8" hidden="false" customHeight="false" outlineLevel="0" collapsed="false">
      <c r="A239" s="8" t="n">
        <v>44972</v>
      </c>
      <c r="B239" s="9" t="n">
        <f aca="false">DAY(A239)</f>
        <v>15</v>
      </c>
      <c r="C239" s="9" t="n">
        <f aca="false">MONTH(A239)</f>
        <v>2</v>
      </c>
      <c r="D239" s="9" t="n">
        <f aca="false">YEAR(A239)</f>
        <v>2023</v>
      </c>
      <c r="E239" s="9" t="n">
        <f aca="false">WEEKDAY(A239,2)</f>
        <v>3</v>
      </c>
      <c r="F239" s="10" t="n">
        <f aca="false">WEEKNUM(A239,2) - WEEKNUM(DATE(YEAR(A239),MONTH(A239),1),2) + 1</f>
        <v>3</v>
      </c>
      <c r="G239" s="10" t="n">
        <v>1</v>
      </c>
      <c r="H239" s="11" t="n">
        <v>4540</v>
      </c>
      <c r="I239" s="12" t="s">
        <v>20</v>
      </c>
      <c r="J239" s="12" t="s">
        <v>44</v>
      </c>
      <c r="K239" s="12"/>
      <c r="L239" s="9" t="e">
        <f aca="false">#REF!+H239</f>
        <v>#REF!</v>
      </c>
      <c r="M239" s="10" t="str">
        <f aca="false">VLOOKUP(J239,RECATALOGANDO!A:C,2,0)</f>
        <v>HONORARIOS MEDICOS</v>
      </c>
      <c r="N239" s="12" t="str">
        <f aca="false">VLOOKUP(M239,RECATALOGANDO!B:C,2,0)</f>
        <v>VENTA DE SERVICIO</v>
      </c>
      <c r="O239" s="2" t="s">
        <v>39</v>
      </c>
    </row>
    <row r="240" customFormat="false" ht="13.8" hidden="false" customHeight="false" outlineLevel="0" collapsed="false">
      <c r="A240" s="8" t="n">
        <v>44973</v>
      </c>
      <c r="B240" s="9" t="n">
        <f aca="false">DAY(A240)</f>
        <v>16</v>
      </c>
      <c r="C240" s="9" t="n">
        <f aca="false">MONTH(A240)</f>
        <v>2</v>
      </c>
      <c r="D240" s="9" t="n">
        <f aca="false">YEAR(A240)</f>
        <v>2023</v>
      </c>
      <c r="E240" s="9" t="n">
        <f aca="false">WEEKDAY(A240,2)</f>
        <v>4</v>
      </c>
      <c r="F240" s="10" t="n">
        <f aca="false">WEEKNUM(A240,2) - WEEKNUM(DATE(YEAR(A240),MONTH(A240),1),2) + 1</f>
        <v>3</v>
      </c>
      <c r="G240" s="10"/>
      <c r="H240" s="11" t="n">
        <v>625</v>
      </c>
      <c r="I240" s="12" t="s">
        <v>20</v>
      </c>
      <c r="J240" s="12" t="s">
        <v>45</v>
      </c>
      <c r="K240" s="12"/>
      <c r="L240" s="9" t="e">
        <f aca="false">#REF!+H240</f>
        <v>#REF!</v>
      </c>
      <c r="M240" s="10" t="str">
        <f aca="false">VLOOKUP(J240,RECATALOGANDO!A:C,2,0)</f>
        <v>VENTA DE MEDICAMENTO</v>
      </c>
      <c r="N240" s="12" t="str">
        <f aca="false">VLOOKUP(M240,RECATALOGANDO!B:C,2,0)</f>
        <v>VENTA DE PRODUCTO</v>
      </c>
      <c r="O240" s="2" t="s">
        <v>39</v>
      </c>
    </row>
    <row r="241" customFormat="false" ht="13.8" hidden="false" customHeight="false" outlineLevel="0" collapsed="false">
      <c r="A241" s="8" t="n">
        <v>44973</v>
      </c>
      <c r="B241" s="9" t="n">
        <f aca="false">DAY(A241)</f>
        <v>16</v>
      </c>
      <c r="C241" s="9" t="n">
        <f aca="false">MONTH(A241)</f>
        <v>2</v>
      </c>
      <c r="D241" s="9" t="n">
        <f aca="false">YEAR(A241)</f>
        <v>2023</v>
      </c>
      <c r="E241" s="9" t="n">
        <f aca="false">WEEKDAY(A241,2)</f>
        <v>4</v>
      </c>
      <c r="F241" s="10" t="n">
        <f aca="false">WEEKNUM(A241,2) - WEEKNUM(DATE(YEAR(A241),MONTH(A241),1),2) + 1</f>
        <v>3</v>
      </c>
      <c r="G241" s="10"/>
      <c r="H241" s="11" t="n">
        <v>193</v>
      </c>
      <c r="I241" s="12" t="s">
        <v>20</v>
      </c>
      <c r="J241" s="12" t="s">
        <v>53</v>
      </c>
      <c r="K241" s="12"/>
      <c r="L241" s="9" t="e">
        <f aca="false">#REF!+H241</f>
        <v>#REF!</v>
      </c>
      <c r="M241" s="10" t="str">
        <f aca="false">VLOOKUP(J241,RECATALOGANDO!A:C,2,0)</f>
        <v>SERVICIO DE GROOMING</v>
      </c>
      <c r="N241" s="12" t="str">
        <f aca="false">VLOOKUP(M241,RECATALOGANDO!B:C,2,0)</f>
        <v>VENTA DE SERVICIO</v>
      </c>
      <c r="O241" s="2" t="s">
        <v>39</v>
      </c>
    </row>
    <row r="242" customFormat="false" ht="13.8" hidden="false" customHeight="false" outlineLevel="0" collapsed="false">
      <c r="A242" s="8" t="n">
        <v>44973</v>
      </c>
      <c r="B242" s="9" t="n">
        <f aca="false">DAY(A242)</f>
        <v>16</v>
      </c>
      <c r="C242" s="9" t="n">
        <f aca="false">MONTH(A242)</f>
        <v>2</v>
      </c>
      <c r="D242" s="9" t="n">
        <f aca="false">YEAR(A242)</f>
        <v>2023</v>
      </c>
      <c r="E242" s="9" t="n">
        <f aca="false">WEEKDAY(A242,2)</f>
        <v>4</v>
      </c>
      <c r="F242" s="10" t="n">
        <f aca="false">WEEKNUM(A242,2) - WEEKNUM(DATE(YEAR(A242),MONTH(A242),1),2) + 1</f>
        <v>3</v>
      </c>
      <c r="G242" s="10"/>
      <c r="H242" s="11" t="n">
        <v>942.21</v>
      </c>
      <c r="I242" s="12" t="s">
        <v>15</v>
      </c>
      <c r="J242" s="12" t="s">
        <v>53</v>
      </c>
      <c r="K242" s="12"/>
      <c r="L242" s="9" t="e">
        <f aca="false">#REF!+H242</f>
        <v>#REF!</v>
      </c>
      <c r="M242" s="10" t="str">
        <f aca="false">VLOOKUP(J242,RECATALOGANDO!A:C,2,0)</f>
        <v>SERVICIO DE GROOMING</v>
      </c>
      <c r="N242" s="12" t="str">
        <f aca="false">VLOOKUP(M242,RECATALOGANDO!B:C,2,0)</f>
        <v>VENTA DE SERVICIO</v>
      </c>
      <c r="O242" s="2" t="s">
        <v>39</v>
      </c>
    </row>
    <row r="243" customFormat="false" ht="13.8" hidden="false" customHeight="false" outlineLevel="0" collapsed="false">
      <c r="A243" s="8" t="n">
        <v>44974</v>
      </c>
      <c r="B243" s="9" t="n">
        <f aca="false">DAY(A243)</f>
        <v>17</v>
      </c>
      <c r="C243" s="9" t="n">
        <f aca="false">MONTH(A243)</f>
        <v>2</v>
      </c>
      <c r="D243" s="9" t="n">
        <f aca="false">YEAR(A243)</f>
        <v>2023</v>
      </c>
      <c r="E243" s="9" t="n">
        <f aca="false">WEEKDAY(A243,2)</f>
        <v>5</v>
      </c>
      <c r="F243" s="10" t="n">
        <f aca="false">WEEKNUM(A243,2) - WEEKNUM(DATE(YEAR(A243),MONTH(A243),1),2) + 1</f>
        <v>3</v>
      </c>
      <c r="G243" s="10"/>
      <c r="H243" s="11" t="n">
        <v>757</v>
      </c>
      <c r="I243" s="12" t="s">
        <v>20</v>
      </c>
      <c r="J243" s="12" t="s">
        <v>55</v>
      </c>
      <c r="K243" s="12"/>
      <c r="L243" s="9" t="e">
        <f aca="false">#REF!+H243</f>
        <v>#REF!</v>
      </c>
      <c r="M243" s="10" t="str">
        <f aca="false">VLOOKUP(J243,RECATALOGANDO!A:C,2,0)</f>
        <v>VENTA DE MEDICAMENTO</v>
      </c>
      <c r="N243" s="12" t="str">
        <f aca="false">VLOOKUP(M243,RECATALOGANDO!B:C,2,0)</f>
        <v>VENTA DE PRODUCTO</v>
      </c>
      <c r="O243" s="2" t="s">
        <v>39</v>
      </c>
    </row>
    <row r="244" customFormat="false" ht="13.8" hidden="false" customHeight="false" outlineLevel="0" collapsed="false">
      <c r="A244" s="8" t="n">
        <v>44974</v>
      </c>
      <c r="B244" s="9" t="n">
        <f aca="false">DAY(A244)</f>
        <v>17</v>
      </c>
      <c r="C244" s="9" t="n">
        <f aca="false">MONTH(A244)</f>
        <v>2</v>
      </c>
      <c r="D244" s="9" t="n">
        <f aca="false">YEAR(A244)</f>
        <v>2023</v>
      </c>
      <c r="E244" s="9" t="n">
        <f aca="false">WEEKDAY(A244,2)</f>
        <v>5</v>
      </c>
      <c r="F244" s="10" t="n">
        <f aca="false">WEEKNUM(A244,2) - WEEKNUM(DATE(YEAR(A244),MONTH(A244),1),2) + 1</f>
        <v>3</v>
      </c>
      <c r="G244" s="10"/>
      <c r="H244" s="11" t="n">
        <v>1130</v>
      </c>
      <c r="I244" s="12" t="s">
        <v>20</v>
      </c>
      <c r="J244" s="12" t="s">
        <v>55</v>
      </c>
      <c r="K244" s="12"/>
      <c r="L244" s="9" t="e">
        <f aca="false">#REF!+H244</f>
        <v>#REF!</v>
      </c>
      <c r="M244" s="10" t="str">
        <f aca="false">VLOOKUP(J244,RECATALOGANDO!A:C,2,0)</f>
        <v>VENTA DE MEDICAMENTO</v>
      </c>
      <c r="N244" s="12" t="str">
        <f aca="false">VLOOKUP(M244,RECATALOGANDO!B:C,2,0)</f>
        <v>VENTA DE PRODUCTO</v>
      </c>
      <c r="O244" s="2" t="s">
        <v>39</v>
      </c>
    </row>
    <row r="245" customFormat="false" ht="13.8" hidden="false" customHeight="false" outlineLevel="0" collapsed="false">
      <c r="A245" s="8" t="n">
        <v>44974</v>
      </c>
      <c r="B245" s="9" t="n">
        <f aca="false">DAY(A245)</f>
        <v>17</v>
      </c>
      <c r="C245" s="9" t="n">
        <f aca="false">MONTH(A245)</f>
        <v>2</v>
      </c>
      <c r="D245" s="9" t="n">
        <f aca="false">YEAR(A245)</f>
        <v>2023</v>
      </c>
      <c r="E245" s="9" t="n">
        <f aca="false">WEEKDAY(A245,2)</f>
        <v>5</v>
      </c>
      <c r="F245" s="10" t="n">
        <f aca="false">WEEKNUM(A245,2) - WEEKNUM(DATE(YEAR(A245),MONTH(A245),1),2) + 1</f>
        <v>3</v>
      </c>
      <c r="G245" s="10"/>
      <c r="H245" s="11" t="n">
        <v>960</v>
      </c>
      <c r="I245" s="12" t="s">
        <v>20</v>
      </c>
      <c r="J245" s="12" t="s">
        <v>44</v>
      </c>
      <c r="K245" s="12"/>
      <c r="L245" s="9" t="e">
        <f aca="false">#REF!+H245</f>
        <v>#REF!</v>
      </c>
      <c r="M245" s="10" t="str">
        <f aca="false">VLOOKUP(J245,RECATALOGANDO!A:C,2,0)</f>
        <v>HONORARIOS MEDICOS</v>
      </c>
      <c r="N245" s="12" t="str">
        <f aca="false">VLOOKUP(M245,RECATALOGANDO!B:C,2,0)</f>
        <v>VENTA DE SERVICIO</v>
      </c>
      <c r="O245" s="2" t="s">
        <v>39</v>
      </c>
    </row>
    <row r="246" customFormat="false" ht="13.8" hidden="false" customHeight="false" outlineLevel="0" collapsed="false">
      <c r="A246" s="8" t="n">
        <v>44977</v>
      </c>
      <c r="B246" s="9" t="n">
        <f aca="false">DAY(A246)</f>
        <v>20</v>
      </c>
      <c r="C246" s="9" t="n">
        <f aca="false">MONTH(A246)</f>
        <v>2</v>
      </c>
      <c r="D246" s="9" t="n">
        <f aca="false">YEAR(A246)</f>
        <v>2023</v>
      </c>
      <c r="E246" s="9" t="n">
        <f aca="false">WEEKDAY(A246,2)</f>
        <v>1</v>
      </c>
      <c r="F246" s="10" t="n">
        <f aca="false">WEEKNUM(A246,2) - WEEKNUM(DATE(YEAR(A246),MONTH(A246),1),2) + 1</f>
        <v>4</v>
      </c>
      <c r="G246" s="10"/>
      <c r="H246" s="11" t="n">
        <v>1020</v>
      </c>
      <c r="I246" s="12" t="s">
        <v>20</v>
      </c>
      <c r="J246" s="12" t="s">
        <v>45</v>
      </c>
      <c r="K246" s="12"/>
      <c r="L246" s="9" t="e">
        <f aca="false">#REF!+H246</f>
        <v>#REF!</v>
      </c>
      <c r="M246" s="10" t="str">
        <f aca="false">VLOOKUP(J246,RECATALOGANDO!A:C,2,0)</f>
        <v>VENTA DE MEDICAMENTO</v>
      </c>
      <c r="N246" s="12" t="str">
        <f aca="false">VLOOKUP(M246,RECATALOGANDO!B:C,2,0)</f>
        <v>VENTA DE PRODUCTO</v>
      </c>
      <c r="O246" s="2" t="s">
        <v>39</v>
      </c>
    </row>
    <row r="247" customFormat="false" ht="13.8" hidden="false" customHeight="false" outlineLevel="0" collapsed="false">
      <c r="A247" s="8" t="n">
        <v>44977</v>
      </c>
      <c r="B247" s="9" t="n">
        <f aca="false">DAY(A247)</f>
        <v>20</v>
      </c>
      <c r="C247" s="9" t="n">
        <f aca="false">MONTH(A247)</f>
        <v>2</v>
      </c>
      <c r="D247" s="9" t="n">
        <f aca="false">YEAR(A247)</f>
        <v>2023</v>
      </c>
      <c r="E247" s="9" t="n">
        <f aca="false">WEEKDAY(A247,2)</f>
        <v>1</v>
      </c>
      <c r="F247" s="10" t="n">
        <f aca="false">WEEKNUM(A247,2) - WEEKNUM(DATE(YEAR(A247),MONTH(A247),1),2) + 1</f>
        <v>4</v>
      </c>
      <c r="G247" s="10"/>
      <c r="H247" s="11" t="n">
        <v>1120</v>
      </c>
      <c r="I247" s="12" t="s">
        <v>20</v>
      </c>
      <c r="J247" s="12" t="s">
        <v>51</v>
      </c>
      <c r="K247" s="12"/>
      <c r="L247" s="9" t="e">
        <f aca="false">#REF!+H247</f>
        <v>#REF!</v>
      </c>
      <c r="M247" s="10" t="str">
        <f aca="false">VLOOKUP(J247,RECATALOGANDO!A:C,2,0)</f>
        <v>VENTA DE ALIMENTO</v>
      </c>
      <c r="N247" s="12" t="str">
        <f aca="false">VLOOKUP(M247,RECATALOGANDO!B:C,2,0)</f>
        <v>VENTA DE PRODUCTO</v>
      </c>
      <c r="O247" s="2" t="s">
        <v>39</v>
      </c>
    </row>
    <row r="248" customFormat="false" ht="13.8" hidden="false" customHeight="false" outlineLevel="0" collapsed="false">
      <c r="A248" s="8" t="n">
        <v>44978</v>
      </c>
      <c r="B248" s="9" t="n">
        <f aca="false">DAY(A248)</f>
        <v>21</v>
      </c>
      <c r="C248" s="9" t="n">
        <f aca="false">MONTH(A248)</f>
        <v>2</v>
      </c>
      <c r="D248" s="9" t="n">
        <f aca="false">YEAR(A248)</f>
        <v>2023</v>
      </c>
      <c r="E248" s="9" t="n">
        <f aca="false">WEEKDAY(A248,2)</f>
        <v>2</v>
      </c>
      <c r="F248" s="10" t="n">
        <f aca="false">WEEKNUM(A248,2) - WEEKNUM(DATE(YEAR(A248),MONTH(A248),1),2) + 1</f>
        <v>4</v>
      </c>
      <c r="G248" s="10"/>
      <c r="H248" s="11" t="n">
        <v>990.82</v>
      </c>
      <c r="I248" s="12" t="s">
        <v>15</v>
      </c>
      <c r="J248" s="12" t="s">
        <v>55</v>
      </c>
      <c r="K248" s="12"/>
      <c r="L248" s="9" t="e">
        <f aca="false">#REF!+H248</f>
        <v>#REF!</v>
      </c>
      <c r="M248" s="10" t="str">
        <f aca="false">VLOOKUP(J248,RECATALOGANDO!A:C,2,0)</f>
        <v>VENTA DE MEDICAMENTO</v>
      </c>
      <c r="N248" s="12" t="str">
        <f aca="false">VLOOKUP(M248,RECATALOGANDO!B:C,2,0)</f>
        <v>VENTA DE PRODUCTO</v>
      </c>
      <c r="O248" s="2" t="s">
        <v>39</v>
      </c>
    </row>
    <row r="249" customFormat="false" ht="13.8" hidden="false" customHeight="false" outlineLevel="0" collapsed="false">
      <c r="A249" s="8" t="n">
        <v>44978</v>
      </c>
      <c r="B249" s="9" t="n">
        <f aca="false">DAY(A249)</f>
        <v>21</v>
      </c>
      <c r="C249" s="9" t="n">
        <f aca="false">MONTH(A249)</f>
        <v>2</v>
      </c>
      <c r="D249" s="9" t="n">
        <f aca="false">YEAR(A249)</f>
        <v>2023</v>
      </c>
      <c r="E249" s="9" t="n">
        <f aca="false">WEEKDAY(A249,2)</f>
        <v>2</v>
      </c>
      <c r="F249" s="10" t="n">
        <f aca="false">WEEKNUM(A249,2) - WEEKNUM(DATE(YEAR(A249),MONTH(A249),1),2) + 1</f>
        <v>4</v>
      </c>
      <c r="G249" s="10"/>
      <c r="H249" s="11" t="n">
        <v>190</v>
      </c>
      <c r="I249" s="12" t="s">
        <v>20</v>
      </c>
      <c r="J249" s="12" t="s">
        <v>53</v>
      </c>
      <c r="K249" s="12"/>
      <c r="L249" s="9" t="e">
        <f aca="false">#REF!+H249</f>
        <v>#REF!</v>
      </c>
      <c r="M249" s="10" t="str">
        <f aca="false">VLOOKUP(J249,RECATALOGANDO!A:C,2,0)</f>
        <v>SERVICIO DE GROOMING</v>
      </c>
      <c r="N249" s="12" t="str">
        <f aca="false">VLOOKUP(M249,RECATALOGANDO!B:C,2,0)</f>
        <v>VENTA DE SERVICIO</v>
      </c>
      <c r="O249" s="2" t="s">
        <v>39</v>
      </c>
    </row>
    <row r="250" customFormat="false" ht="13.8" hidden="false" customHeight="false" outlineLevel="0" collapsed="false">
      <c r="A250" s="8" t="n">
        <v>44979</v>
      </c>
      <c r="B250" s="9" t="n">
        <f aca="false">DAY(A250)</f>
        <v>22</v>
      </c>
      <c r="C250" s="9" t="n">
        <f aca="false">MONTH(A250)</f>
        <v>2</v>
      </c>
      <c r="D250" s="9" t="n">
        <f aca="false">YEAR(A250)</f>
        <v>2023</v>
      </c>
      <c r="E250" s="9" t="n">
        <f aca="false">WEEKDAY(A250,2)</f>
        <v>3</v>
      </c>
      <c r="F250" s="10" t="n">
        <f aca="false">WEEKNUM(A250,2) - WEEKNUM(DATE(YEAR(A250),MONTH(A250),1),2) + 1</f>
        <v>4</v>
      </c>
      <c r="G250" s="10"/>
      <c r="H250" s="11" t="n">
        <v>1980</v>
      </c>
      <c r="I250" s="12" t="s">
        <v>20</v>
      </c>
      <c r="J250" s="12" t="s">
        <v>51</v>
      </c>
      <c r="K250" s="12"/>
      <c r="L250" s="9" t="e">
        <f aca="false">#REF!+H250</f>
        <v>#REF!</v>
      </c>
      <c r="M250" s="10" t="str">
        <f aca="false">VLOOKUP(J250,RECATALOGANDO!A:C,2,0)</f>
        <v>VENTA DE ALIMENTO</v>
      </c>
      <c r="N250" s="12" t="str">
        <f aca="false">VLOOKUP(M250,RECATALOGANDO!B:C,2,0)</f>
        <v>VENTA DE PRODUCTO</v>
      </c>
      <c r="O250" s="2" t="s">
        <v>39</v>
      </c>
    </row>
    <row r="251" customFormat="false" ht="13.8" hidden="false" customHeight="false" outlineLevel="0" collapsed="false">
      <c r="A251" s="8" t="n">
        <v>44980</v>
      </c>
      <c r="B251" s="9" t="n">
        <f aca="false">DAY(A251)</f>
        <v>23</v>
      </c>
      <c r="C251" s="9" t="n">
        <f aca="false">MONTH(A251)</f>
        <v>2</v>
      </c>
      <c r="D251" s="9" t="n">
        <f aca="false">YEAR(A251)</f>
        <v>2023</v>
      </c>
      <c r="E251" s="9" t="n">
        <f aca="false">WEEKDAY(A251,2)</f>
        <v>4</v>
      </c>
      <c r="F251" s="10" t="n">
        <f aca="false">WEEKNUM(A251,2) - WEEKNUM(DATE(YEAR(A251),MONTH(A251),1),2) + 1</f>
        <v>4</v>
      </c>
      <c r="G251" s="10"/>
      <c r="H251" s="11" t="n">
        <v>2410</v>
      </c>
      <c r="I251" s="12" t="s">
        <v>20</v>
      </c>
      <c r="J251" s="12" t="s">
        <v>51</v>
      </c>
      <c r="K251" s="12"/>
      <c r="L251" s="9" t="e">
        <f aca="false">#REF!+H251</f>
        <v>#REF!</v>
      </c>
      <c r="M251" s="10" t="str">
        <f aca="false">VLOOKUP(J251,RECATALOGANDO!A:C,2,0)</f>
        <v>VENTA DE ALIMENTO</v>
      </c>
      <c r="N251" s="12" t="str">
        <f aca="false">VLOOKUP(M251,RECATALOGANDO!B:C,2,0)</f>
        <v>VENTA DE PRODUCTO</v>
      </c>
      <c r="O251" s="2" t="s">
        <v>39</v>
      </c>
    </row>
    <row r="252" customFormat="false" ht="13.8" hidden="false" customHeight="false" outlineLevel="0" collapsed="false">
      <c r="A252" s="8" t="n">
        <v>44980</v>
      </c>
      <c r="B252" s="9" t="n">
        <f aca="false">DAY(A252)</f>
        <v>23</v>
      </c>
      <c r="C252" s="9" t="n">
        <f aca="false">MONTH(A252)</f>
        <v>2</v>
      </c>
      <c r="D252" s="9" t="n">
        <f aca="false">YEAR(A252)</f>
        <v>2023</v>
      </c>
      <c r="E252" s="9" t="n">
        <f aca="false">WEEKDAY(A252,2)</f>
        <v>4</v>
      </c>
      <c r="F252" s="10" t="n">
        <f aca="false">WEEKNUM(A252,2) - WEEKNUM(DATE(YEAR(A252),MONTH(A252),1),2) + 1</f>
        <v>4</v>
      </c>
      <c r="G252" s="10"/>
      <c r="H252" s="11" t="n">
        <v>645.86</v>
      </c>
      <c r="I252" s="12" t="s">
        <v>15</v>
      </c>
      <c r="J252" s="12" t="s">
        <v>44</v>
      </c>
      <c r="K252" s="12"/>
      <c r="L252" s="9" t="e">
        <f aca="false">#REF!+H252</f>
        <v>#REF!</v>
      </c>
      <c r="M252" s="10" t="str">
        <f aca="false">VLOOKUP(J252,RECATALOGANDO!A:C,2,0)</f>
        <v>HONORARIOS MEDICOS</v>
      </c>
      <c r="N252" s="12" t="str">
        <f aca="false">VLOOKUP(M252,RECATALOGANDO!B:C,2,0)</f>
        <v>VENTA DE SERVICIO</v>
      </c>
      <c r="O252" s="2" t="s">
        <v>39</v>
      </c>
    </row>
    <row r="253" customFormat="false" ht="13.8" hidden="false" customHeight="false" outlineLevel="0" collapsed="false">
      <c r="A253" s="8" t="n">
        <v>44980</v>
      </c>
      <c r="B253" s="9" t="n">
        <f aca="false">DAY(A253)</f>
        <v>23</v>
      </c>
      <c r="C253" s="9" t="n">
        <f aca="false">MONTH(A253)</f>
        <v>2</v>
      </c>
      <c r="D253" s="9" t="n">
        <f aca="false">YEAR(A253)</f>
        <v>2023</v>
      </c>
      <c r="E253" s="9" t="n">
        <f aca="false">WEEKDAY(A253,2)</f>
        <v>4</v>
      </c>
      <c r="F253" s="10" t="n">
        <f aca="false">WEEKNUM(A253,2) - WEEKNUM(DATE(YEAR(A253),MONTH(A253),1),2) + 1</f>
        <v>4</v>
      </c>
      <c r="G253" s="10"/>
      <c r="H253" s="11" t="n">
        <v>5000</v>
      </c>
      <c r="I253" s="12" t="s">
        <v>20</v>
      </c>
      <c r="J253" s="12" t="s">
        <v>44</v>
      </c>
      <c r="K253" s="12"/>
      <c r="L253" s="9" t="e">
        <f aca="false">#REF!+H253</f>
        <v>#REF!</v>
      </c>
      <c r="M253" s="10" t="str">
        <f aca="false">VLOOKUP(J253,RECATALOGANDO!A:C,2,0)</f>
        <v>HONORARIOS MEDICOS</v>
      </c>
      <c r="N253" s="12" t="str">
        <f aca="false">VLOOKUP(M253,RECATALOGANDO!B:C,2,0)</f>
        <v>VENTA DE SERVICIO</v>
      </c>
      <c r="O253" s="2" t="s">
        <v>39</v>
      </c>
    </row>
    <row r="254" customFormat="false" ht="13.8" hidden="false" customHeight="false" outlineLevel="0" collapsed="false">
      <c r="A254" s="8" t="n">
        <v>44981</v>
      </c>
      <c r="B254" s="9" t="n">
        <f aca="false">DAY(A254)</f>
        <v>24</v>
      </c>
      <c r="C254" s="9" t="n">
        <f aca="false">MONTH(A254)</f>
        <v>2</v>
      </c>
      <c r="D254" s="9" t="n">
        <f aca="false">YEAR(A254)</f>
        <v>2023</v>
      </c>
      <c r="E254" s="9" t="n">
        <f aca="false">WEEKDAY(A254,2)</f>
        <v>5</v>
      </c>
      <c r="F254" s="10" t="n">
        <f aca="false">WEEKNUM(A254,2) - WEEKNUM(DATE(YEAR(A254),MONTH(A254),1),2) + 1</f>
        <v>4</v>
      </c>
      <c r="G254" s="10"/>
      <c r="H254" s="11" t="n">
        <v>1000</v>
      </c>
      <c r="I254" s="12" t="s">
        <v>15</v>
      </c>
      <c r="J254" s="12" t="s">
        <v>51</v>
      </c>
      <c r="K254" s="12"/>
      <c r="L254" s="9" t="e">
        <f aca="false">#REF!+H254</f>
        <v>#REF!</v>
      </c>
      <c r="M254" s="10" t="str">
        <f aca="false">VLOOKUP(J254,RECATALOGANDO!A:C,2,0)</f>
        <v>VENTA DE ALIMENTO</v>
      </c>
      <c r="N254" s="12" t="str">
        <f aca="false">VLOOKUP(M254,RECATALOGANDO!B:C,2,0)</f>
        <v>VENTA DE PRODUCTO</v>
      </c>
      <c r="O254" s="2" t="s">
        <v>39</v>
      </c>
    </row>
    <row r="255" customFormat="false" ht="13.8" hidden="false" customHeight="false" outlineLevel="0" collapsed="false">
      <c r="A255" s="8" t="n">
        <v>44982</v>
      </c>
      <c r="B255" s="9" t="n">
        <f aca="false">DAY(A255)</f>
        <v>25</v>
      </c>
      <c r="C255" s="9" t="n">
        <f aca="false">MONTH(A255)</f>
        <v>2</v>
      </c>
      <c r="D255" s="9" t="n">
        <f aca="false">YEAR(A255)</f>
        <v>2023</v>
      </c>
      <c r="E255" s="9" t="n">
        <f aca="false">WEEKDAY(A255,2)</f>
        <v>6</v>
      </c>
      <c r="F255" s="10" t="n">
        <f aca="false">WEEKNUM(A255,2) - WEEKNUM(DATE(YEAR(A255),MONTH(A255),1),2) + 1</f>
        <v>4</v>
      </c>
      <c r="G255" s="10"/>
      <c r="H255" s="11" t="n">
        <v>694.37</v>
      </c>
      <c r="I255" s="12" t="s">
        <v>15</v>
      </c>
      <c r="J255" s="12" t="s">
        <v>45</v>
      </c>
      <c r="K255" s="12"/>
      <c r="L255" s="9" t="e">
        <f aca="false">#REF!+H255</f>
        <v>#REF!</v>
      </c>
      <c r="M255" s="10" t="str">
        <f aca="false">VLOOKUP(J255,RECATALOGANDO!A:C,2,0)</f>
        <v>VENTA DE MEDICAMENTO</v>
      </c>
      <c r="N255" s="12" t="str">
        <f aca="false">VLOOKUP(M255,RECATALOGANDO!B:C,2,0)</f>
        <v>VENTA DE PRODUCTO</v>
      </c>
      <c r="O255" s="2" t="s">
        <v>39</v>
      </c>
    </row>
    <row r="256" customFormat="false" ht="13.8" hidden="false" customHeight="false" outlineLevel="0" collapsed="false">
      <c r="A256" s="8" t="n">
        <v>44984</v>
      </c>
      <c r="B256" s="9" t="n">
        <f aca="false">DAY(A256)</f>
        <v>27</v>
      </c>
      <c r="C256" s="9" t="n">
        <f aca="false">MONTH(A256)</f>
        <v>2</v>
      </c>
      <c r="D256" s="9" t="n">
        <f aca="false">YEAR(A256)</f>
        <v>2023</v>
      </c>
      <c r="E256" s="9" t="n">
        <f aca="false">WEEKDAY(A256,2)</f>
        <v>1</v>
      </c>
      <c r="F256" s="10" t="n">
        <f aca="false">WEEKNUM(A256,2) - WEEKNUM(DATE(YEAR(A256),MONTH(A256),1),2) + 1</f>
        <v>5</v>
      </c>
      <c r="G256" s="10"/>
      <c r="H256" s="11" t="n">
        <v>1933</v>
      </c>
      <c r="I256" s="12" t="s">
        <v>15</v>
      </c>
      <c r="J256" s="12" t="s">
        <v>52</v>
      </c>
      <c r="K256" s="12"/>
      <c r="L256" s="9" t="e">
        <f aca="false">#REF!+H256</f>
        <v>#REF!</v>
      </c>
      <c r="M256" s="10" t="str">
        <f aca="false">VLOOKUP(J256,RECATALOGANDO!A:C,2,0)</f>
        <v>SERVICIO DE PENSION</v>
      </c>
      <c r="N256" s="12" t="str">
        <f aca="false">VLOOKUP(M256,RECATALOGANDO!B:C,2,0)</f>
        <v>VENTA DE SERVICIO</v>
      </c>
      <c r="O256" s="2" t="s">
        <v>39</v>
      </c>
    </row>
    <row r="257" customFormat="false" ht="13.8" hidden="false" customHeight="false" outlineLevel="0" collapsed="false">
      <c r="A257" s="8" t="n">
        <v>44984</v>
      </c>
      <c r="B257" s="9" t="n">
        <f aca="false">DAY(A257)</f>
        <v>27</v>
      </c>
      <c r="C257" s="9" t="n">
        <f aca="false">MONTH(A257)</f>
        <v>2</v>
      </c>
      <c r="D257" s="9" t="n">
        <f aca="false">YEAR(A257)</f>
        <v>2023</v>
      </c>
      <c r="E257" s="9" t="n">
        <f aca="false">WEEKDAY(A257,2)</f>
        <v>1</v>
      </c>
      <c r="F257" s="10" t="n">
        <f aca="false">WEEKNUM(A257,2) - WEEKNUM(DATE(YEAR(A257),MONTH(A257),1),2) + 1</f>
        <v>5</v>
      </c>
      <c r="G257" s="10"/>
      <c r="H257" s="11" t="n">
        <v>2500</v>
      </c>
      <c r="I257" s="12" t="s">
        <v>15</v>
      </c>
      <c r="J257" s="12" t="s">
        <v>54</v>
      </c>
      <c r="K257" s="12"/>
      <c r="L257" s="9" t="e">
        <f aca="false">#REF!+H257</f>
        <v>#REF!</v>
      </c>
      <c r="M257" s="10" t="str">
        <f aca="false">VLOOKUP(J257,RECATALOGANDO!A:C,2,0)</f>
        <v>SERVICIO DE LABORATORIO</v>
      </c>
      <c r="N257" s="12" t="str">
        <f aca="false">VLOOKUP(M257,RECATALOGANDO!B:C,2,0)</f>
        <v>VENTA DE SERVICIO</v>
      </c>
      <c r="O257" s="2" t="s">
        <v>39</v>
      </c>
    </row>
    <row r="258" customFormat="false" ht="13.8" hidden="false" customHeight="false" outlineLevel="0" collapsed="false">
      <c r="A258" s="8" t="n">
        <v>44984</v>
      </c>
      <c r="B258" s="9" t="n">
        <f aca="false">DAY(A258)</f>
        <v>27</v>
      </c>
      <c r="C258" s="9" t="n">
        <f aca="false">MONTH(A258)</f>
        <v>2</v>
      </c>
      <c r="D258" s="9" t="n">
        <f aca="false">YEAR(A258)</f>
        <v>2023</v>
      </c>
      <c r="E258" s="9" t="n">
        <f aca="false">WEEKDAY(A258,2)</f>
        <v>1</v>
      </c>
      <c r="F258" s="10" t="n">
        <f aca="false">WEEKNUM(A258,2) - WEEKNUM(DATE(YEAR(A258),MONTH(A258),1),2) + 1</f>
        <v>5</v>
      </c>
      <c r="G258" s="10"/>
      <c r="H258" s="11" t="n">
        <v>4500</v>
      </c>
      <c r="I258" s="12" t="s">
        <v>15</v>
      </c>
      <c r="J258" s="12" t="s">
        <v>56</v>
      </c>
      <c r="K258" s="12"/>
      <c r="L258" s="9" t="e">
        <f aca="false">#REF!+H258</f>
        <v>#REF!</v>
      </c>
      <c r="M258" s="10" t="str">
        <f aca="false">VLOOKUP(J258,RECATALOGANDO!A:C,2,0)</f>
        <v>SERVICIO DE IMAGEN</v>
      </c>
      <c r="N258" s="12" t="str">
        <f aca="false">VLOOKUP(M258,RECATALOGANDO!B:C,2,0)</f>
        <v>VENTA DE SERVICIO</v>
      </c>
      <c r="O258" s="2" t="s">
        <v>39</v>
      </c>
    </row>
    <row r="259" customFormat="false" ht="13.8" hidden="false" customHeight="false" outlineLevel="0" collapsed="false">
      <c r="A259" s="8" t="n">
        <v>44985</v>
      </c>
      <c r="B259" s="9" t="n">
        <f aca="false">DAY(A259)</f>
        <v>28</v>
      </c>
      <c r="C259" s="9" t="n">
        <f aca="false">MONTH(A259)</f>
        <v>2</v>
      </c>
      <c r="D259" s="9" t="n">
        <f aca="false">YEAR(A259)</f>
        <v>2023</v>
      </c>
      <c r="E259" s="9" t="n">
        <f aca="false">WEEKDAY(A259,2)</f>
        <v>2</v>
      </c>
      <c r="F259" s="10" t="n">
        <f aca="false">WEEKNUM(A259,2) - WEEKNUM(DATE(YEAR(A259),MONTH(A259),1),2) + 1</f>
        <v>5</v>
      </c>
      <c r="G259" s="10"/>
      <c r="H259" s="11" t="n">
        <v>3762.05</v>
      </c>
      <c r="I259" s="12" t="s">
        <v>15</v>
      </c>
      <c r="J259" s="12" t="s">
        <v>57</v>
      </c>
      <c r="K259" s="12"/>
      <c r="L259" s="9" t="e">
        <f aca="false">#REF!+H259</f>
        <v>#REF!</v>
      </c>
      <c r="M259" s="10" t="str">
        <f aca="false">VLOOKUP(J259,RECATALOGANDO!A:C,2,0)</f>
        <v>SERVICIO DE CREMACION</v>
      </c>
      <c r="N259" s="12" t="str">
        <f aca="false">VLOOKUP(M259,RECATALOGANDO!B:C,2,0)</f>
        <v>VENTA DE SERVICIO</v>
      </c>
      <c r="O259" s="2" t="s">
        <v>39</v>
      </c>
    </row>
    <row r="260" customFormat="false" ht="13.8" hidden="false" customHeight="false" outlineLevel="0" collapsed="false">
      <c r="A260" s="8" t="n">
        <v>44986</v>
      </c>
      <c r="B260" s="9" t="n">
        <f aca="false">DAY(A260)</f>
        <v>1</v>
      </c>
      <c r="C260" s="9" t="n">
        <f aca="false">MONTH(A260)</f>
        <v>3</v>
      </c>
      <c r="D260" s="9" t="n">
        <f aca="false">YEAR(A260)</f>
        <v>2023</v>
      </c>
      <c r="E260" s="9" t="n">
        <f aca="false">WEEKDAY(A260,2)</f>
        <v>3</v>
      </c>
      <c r="F260" s="10" t="n">
        <f aca="false">WEEKNUM(A260,2) - WEEKNUM(DATE(YEAR(A260),MONTH(A260),1),2) + 1</f>
        <v>1</v>
      </c>
      <c r="G260" s="10"/>
      <c r="H260" s="11" t="n">
        <v>250</v>
      </c>
      <c r="I260" s="12" t="s">
        <v>20</v>
      </c>
      <c r="J260" s="12" t="s">
        <v>45</v>
      </c>
      <c r="K260" s="12"/>
      <c r="L260" s="9" t="n">
        <f aca="false">H260</f>
        <v>250</v>
      </c>
      <c r="M260" s="10" t="str">
        <f aca="false">VLOOKUP(J260,RECATALOGANDO!A:C,2,0)</f>
        <v>VENTA DE MEDICAMENTO</v>
      </c>
      <c r="N260" s="12" t="str">
        <f aca="false">VLOOKUP(M260,RECATALOGANDO!B:C,2,0)</f>
        <v>VENTA DE PRODUCTO</v>
      </c>
      <c r="O260" s="2" t="s">
        <v>39</v>
      </c>
    </row>
    <row r="261" customFormat="false" ht="13.8" hidden="false" customHeight="false" outlineLevel="0" collapsed="false">
      <c r="A261" s="8" t="n">
        <v>44988</v>
      </c>
      <c r="B261" s="9" t="n">
        <f aca="false">DAY(A261)</f>
        <v>3</v>
      </c>
      <c r="C261" s="9" t="n">
        <f aca="false">MONTH(A261)</f>
        <v>3</v>
      </c>
      <c r="D261" s="9" t="n">
        <f aca="false">YEAR(A261)</f>
        <v>2023</v>
      </c>
      <c r="E261" s="9" t="n">
        <f aca="false">WEEKDAY(A261,2)</f>
        <v>5</v>
      </c>
      <c r="F261" s="10" t="n">
        <f aca="false">WEEKNUM(A261,2) - WEEKNUM(DATE(YEAR(A261),MONTH(A261),1),2) + 1</f>
        <v>1</v>
      </c>
      <c r="G261" s="10"/>
      <c r="H261" s="11" t="n">
        <v>2000</v>
      </c>
      <c r="I261" s="12" t="s">
        <v>20</v>
      </c>
      <c r="J261" s="12" t="s">
        <v>51</v>
      </c>
      <c r="K261" s="12"/>
      <c r="L261" s="9" t="n">
        <f aca="false">L260+H261</f>
        <v>2250</v>
      </c>
      <c r="M261" s="10" t="str">
        <f aca="false">VLOOKUP(J261,RECATALOGANDO!A:C,2,0)</f>
        <v>VENTA DE ALIMENTO</v>
      </c>
      <c r="N261" s="12" t="str">
        <f aca="false">VLOOKUP(M261,RECATALOGANDO!B:C,2,0)</f>
        <v>VENTA DE PRODUCTO</v>
      </c>
      <c r="O261" s="2" t="s">
        <v>39</v>
      </c>
    </row>
    <row r="262" customFormat="false" ht="13.8" hidden="false" customHeight="false" outlineLevel="0" collapsed="false">
      <c r="A262" s="8" t="n">
        <v>44988</v>
      </c>
      <c r="B262" s="9" t="n">
        <f aca="false">DAY(A262)</f>
        <v>3</v>
      </c>
      <c r="C262" s="9" t="n">
        <f aca="false">MONTH(A262)</f>
        <v>3</v>
      </c>
      <c r="D262" s="9" t="n">
        <f aca="false">YEAR(A262)</f>
        <v>2023</v>
      </c>
      <c r="E262" s="9" t="n">
        <f aca="false">WEEKDAY(A262,2)</f>
        <v>5</v>
      </c>
      <c r="F262" s="10" t="n">
        <f aca="false">WEEKNUM(A262,2) - WEEKNUM(DATE(YEAR(A262),MONTH(A262),1),2) + 1</f>
        <v>1</v>
      </c>
      <c r="G262" s="10"/>
      <c r="H262" s="11" t="n">
        <v>650</v>
      </c>
      <c r="I262" s="12" t="s">
        <v>20</v>
      </c>
      <c r="J262" s="12" t="s">
        <v>54</v>
      </c>
      <c r="K262" s="12"/>
      <c r="L262" s="9" t="n">
        <f aca="false">L261+H262</f>
        <v>2900</v>
      </c>
      <c r="M262" s="10" t="str">
        <f aca="false">VLOOKUP(J262,RECATALOGANDO!A:C,2,0)</f>
        <v>SERVICIO DE LABORATORIO</v>
      </c>
      <c r="N262" s="12" t="str">
        <f aca="false">VLOOKUP(M262,RECATALOGANDO!B:C,2,0)</f>
        <v>VENTA DE SERVICIO</v>
      </c>
      <c r="O262" s="2" t="s">
        <v>39</v>
      </c>
    </row>
    <row r="263" customFormat="false" ht="13.8" hidden="false" customHeight="false" outlineLevel="0" collapsed="false">
      <c r="A263" s="8" t="n">
        <v>44991</v>
      </c>
      <c r="B263" s="9" t="n">
        <f aca="false">DAY(A263)</f>
        <v>6</v>
      </c>
      <c r="C263" s="9" t="n">
        <f aca="false">MONTH(A263)</f>
        <v>3</v>
      </c>
      <c r="D263" s="9" t="n">
        <f aca="false">YEAR(A263)</f>
        <v>2023</v>
      </c>
      <c r="E263" s="9" t="n">
        <f aca="false">WEEKDAY(A263,2)</f>
        <v>1</v>
      </c>
      <c r="F263" s="10" t="n">
        <f aca="false">WEEKNUM(A263,2) - WEEKNUM(DATE(YEAR(A263),MONTH(A263),1),2) + 1</f>
        <v>2</v>
      </c>
      <c r="G263" s="10"/>
      <c r="H263" s="11" t="n">
        <v>1640</v>
      </c>
      <c r="I263" s="12" t="s">
        <v>20</v>
      </c>
      <c r="J263" s="12" t="s">
        <v>45</v>
      </c>
      <c r="K263" s="12"/>
      <c r="L263" s="9" t="n">
        <f aca="false">L262+H263</f>
        <v>4540</v>
      </c>
      <c r="M263" s="10" t="str">
        <f aca="false">VLOOKUP(J263,RECATALOGANDO!A:C,2,0)</f>
        <v>VENTA DE MEDICAMENTO</v>
      </c>
      <c r="N263" s="12" t="str">
        <f aca="false">VLOOKUP(M263,RECATALOGANDO!B:C,2,0)</f>
        <v>VENTA DE PRODUCTO</v>
      </c>
      <c r="O263" s="2" t="s">
        <v>39</v>
      </c>
    </row>
    <row r="264" customFormat="false" ht="13.8" hidden="false" customHeight="false" outlineLevel="0" collapsed="false">
      <c r="A264" s="8" t="n">
        <v>44991</v>
      </c>
      <c r="B264" s="9" t="n">
        <f aca="false">DAY(A264)</f>
        <v>6</v>
      </c>
      <c r="C264" s="9" t="n">
        <f aca="false">MONTH(A264)</f>
        <v>3</v>
      </c>
      <c r="D264" s="9" t="n">
        <f aca="false">YEAR(A264)</f>
        <v>2023</v>
      </c>
      <c r="E264" s="9" t="n">
        <f aca="false">WEEKDAY(A264,2)</f>
        <v>1</v>
      </c>
      <c r="F264" s="10" t="n">
        <f aca="false">WEEKNUM(A264,2) - WEEKNUM(DATE(YEAR(A264),MONTH(A264),1),2) + 1</f>
        <v>2</v>
      </c>
      <c r="G264" s="10"/>
      <c r="H264" s="11" t="n">
        <v>7201</v>
      </c>
      <c r="I264" s="12" t="s">
        <v>20</v>
      </c>
      <c r="J264" s="12" t="s">
        <v>55</v>
      </c>
      <c r="K264" s="12"/>
      <c r="L264" s="9" t="n">
        <f aca="false">L263+H264</f>
        <v>11741</v>
      </c>
      <c r="M264" s="10" t="str">
        <f aca="false">VLOOKUP(J264,RECATALOGANDO!A:C,2,0)</f>
        <v>VENTA DE MEDICAMENTO</v>
      </c>
      <c r="N264" s="12" t="str">
        <f aca="false">VLOOKUP(M264,RECATALOGANDO!B:C,2,0)</f>
        <v>VENTA DE PRODUCTO</v>
      </c>
      <c r="O264" s="2" t="s">
        <v>39</v>
      </c>
    </row>
    <row r="265" customFormat="false" ht="13.8" hidden="false" customHeight="false" outlineLevel="0" collapsed="false">
      <c r="A265" s="8" t="n">
        <v>44991</v>
      </c>
      <c r="B265" s="9" t="n">
        <f aca="false">DAY(A265)</f>
        <v>6</v>
      </c>
      <c r="C265" s="9" t="n">
        <f aca="false">MONTH(A265)</f>
        <v>3</v>
      </c>
      <c r="D265" s="9" t="n">
        <f aca="false">YEAR(A265)</f>
        <v>2023</v>
      </c>
      <c r="E265" s="9" t="n">
        <f aca="false">WEEKDAY(A265,2)</f>
        <v>1</v>
      </c>
      <c r="F265" s="10" t="n">
        <f aca="false">WEEKNUM(A265,2) - WEEKNUM(DATE(YEAR(A265),MONTH(A265),1),2) + 1</f>
        <v>2</v>
      </c>
      <c r="G265" s="10"/>
      <c r="H265" s="11" t="n">
        <v>1220</v>
      </c>
      <c r="I265" s="12" t="s">
        <v>15</v>
      </c>
      <c r="J265" s="12" t="s">
        <v>54</v>
      </c>
      <c r="K265" s="12"/>
      <c r="L265" s="9" t="n">
        <f aca="false">L264+H265</f>
        <v>12961</v>
      </c>
      <c r="M265" s="10" t="str">
        <f aca="false">VLOOKUP(J265,RECATALOGANDO!A:C,2,0)</f>
        <v>SERVICIO DE LABORATORIO</v>
      </c>
      <c r="N265" s="12" t="str">
        <f aca="false">VLOOKUP(M265,RECATALOGANDO!B:C,2,0)</f>
        <v>VENTA DE SERVICIO</v>
      </c>
      <c r="O265" s="2" t="s">
        <v>39</v>
      </c>
    </row>
    <row r="266" customFormat="false" ht="13.8" hidden="false" customHeight="false" outlineLevel="0" collapsed="false">
      <c r="A266" s="8" t="n">
        <v>44992</v>
      </c>
      <c r="B266" s="9" t="n">
        <f aca="false">DAY(A266)</f>
        <v>7</v>
      </c>
      <c r="C266" s="9" t="n">
        <f aca="false">MONTH(A266)</f>
        <v>3</v>
      </c>
      <c r="D266" s="9" t="n">
        <f aca="false">YEAR(A266)</f>
        <v>2023</v>
      </c>
      <c r="E266" s="9" t="n">
        <f aca="false">WEEKDAY(A266,2)</f>
        <v>2</v>
      </c>
      <c r="F266" s="10" t="n">
        <f aca="false">WEEKNUM(A266,2) - WEEKNUM(DATE(YEAR(A266),MONTH(A266),1),2) + 1</f>
        <v>2</v>
      </c>
      <c r="G266" s="10"/>
      <c r="H266" s="11" t="n">
        <v>3950</v>
      </c>
      <c r="I266" s="12" t="s">
        <v>15</v>
      </c>
      <c r="J266" s="12" t="s">
        <v>45</v>
      </c>
      <c r="K266" s="12"/>
      <c r="L266" s="9" t="n">
        <f aca="false">L265+H266</f>
        <v>16911</v>
      </c>
      <c r="M266" s="10" t="str">
        <f aca="false">VLOOKUP(J266,RECATALOGANDO!A:C,2,0)</f>
        <v>VENTA DE MEDICAMENTO</v>
      </c>
      <c r="N266" s="12" t="str">
        <f aca="false">VLOOKUP(M266,RECATALOGANDO!B:C,2,0)</f>
        <v>VENTA DE PRODUCTO</v>
      </c>
      <c r="O266" s="2" t="s">
        <v>39</v>
      </c>
    </row>
    <row r="267" customFormat="false" ht="13.8" hidden="false" customHeight="false" outlineLevel="0" collapsed="false">
      <c r="A267" s="8" t="n">
        <v>44992</v>
      </c>
      <c r="B267" s="9" t="n">
        <f aca="false">DAY(A267)</f>
        <v>7</v>
      </c>
      <c r="C267" s="9" t="n">
        <f aca="false">MONTH(A267)</f>
        <v>3</v>
      </c>
      <c r="D267" s="9" t="n">
        <f aca="false">YEAR(A267)</f>
        <v>2023</v>
      </c>
      <c r="E267" s="9" t="n">
        <f aca="false">WEEKDAY(A267,2)</f>
        <v>2</v>
      </c>
      <c r="F267" s="10" t="n">
        <f aca="false">WEEKNUM(A267,2) - WEEKNUM(DATE(YEAR(A267),MONTH(A267),1),2) + 1</f>
        <v>2</v>
      </c>
      <c r="G267" s="10"/>
      <c r="H267" s="11" t="n">
        <v>170</v>
      </c>
      <c r="I267" s="12" t="s">
        <v>15</v>
      </c>
      <c r="J267" s="12" t="s">
        <v>53</v>
      </c>
      <c r="K267" s="12"/>
      <c r="L267" s="9" t="n">
        <f aca="false">L266+H267</f>
        <v>17081</v>
      </c>
      <c r="M267" s="10" t="str">
        <f aca="false">VLOOKUP(J267,RECATALOGANDO!A:C,2,0)</f>
        <v>SERVICIO DE GROOMING</v>
      </c>
      <c r="N267" s="12" t="str">
        <f aca="false">VLOOKUP(M267,RECATALOGANDO!B:C,2,0)</f>
        <v>VENTA DE SERVICIO</v>
      </c>
      <c r="O267" s="2" t="s">
        <v>39</v>
      </c>
    </row>
    <row r="268" customFormat="false" ht="13.8" hidden="false" customHeight="false" outlineLevel="0" collapsed="false">
      <c r="A268" s="8" t="n">
        <v>44992</v>
      </c>
      <c r="B268" s="9" t="n">
        <f aca="false">DAY(A268)</f>
        <v>7</v>
      </c>
      <c r="C268" s="9" t="n">
        <f aca="false">MONTH(A268)</f>
        <v>3</v>
      </c>
      <c r="D268" s="9" t="n">
        <f aca="false">YEAR(A268)</f>
        <v>2023</v>
      </c>
      <c r="E268" s="9" t="n">
        <f aca="false">WEEKDAY(A268,2)</f>
        <v>2</v>
      </c>
      <c r="F268" s="10" t="n">
        <f aca="false">WEEKNUM(A268,2) - WEEKNUM(DATE(YEAR(A268),MONTH(A268),1),2) + 1</f>
        <v>2</v>
      </c>
      <c r="G268" s="10"/>
      <c r="H268" s="11" t="n">
        <v>400</v>
      </c>
      <c r="I268" s="12" t="s">
        <v>20</v>
      </c>
      <c r="J268" s="12" t="s">
        <v>49</v>
      </c>
      <c r="K268" s="12"/>
      <c r="L268" s="9" t="n">
        <f aca="false">L267+H268</f>
        <v>17481</v>
      </c>
      <c r="M268" s="10" t="str">
        <f aca="false">VLOOKUP(J268,RECATALOGANDO!A:C,2,0)</f>
        <v>SERVICIO DE GROOMING</v>
      </c>
      <c r="N268" s="12" t="str">
        <f aca="false">VLOOKUP(M268,RECATALOGANDO!B:C,2,0)</f>
        <v>VENTA DE SERVICIO</v>
      </c>
      <c r="O268" s="2" t="s">
        <v>39</v>
      </c>
    </row>
    <row r="269" customFormat="false" ht="13.8" hidden="false" customHeight="false" outlineLevel="0" collapsed="false">
      <c r="A269" s="8" t="n">
        <v>44992</v>
      </c>
      <c r="B269" s="9" t="n">
        <f aca="false">DAY(A269)</f>
        <v>7</v>
      </c>
      <c r="C269" s="9" t="n">
        <f aca="false">MONTH(A269)</f>
        <v>3</v>
      </c>
      <c r="D269" s="9" t="n">
        <f aca="false">YEAR(A269)</f>
        <v>2023</v>
      </c>
      <c r="E269" s="9" t="n">
        <f aca="false">WEEKDAY(A269,2)</f>
        <v>2</v>
      </c>
      <c r="F269" s="10" t="n">
        <f aca="false">WEEKNUM(A269,2) - WEEKNUM(DATE(YEAR(A269),MONTH(A269),1),2) + 1</f>
        <v>2</v>
      </c>
      <c r="G269" s="10"/>
      <c r="H269" s="11" t="n">
        <v>410</v>
      </c>
      <c r="I269" s="12" t="s">
        <v>20</v>
      </c>
      <c r="J269" s="12" t="s">
        <v>53</v>
      </c>
      <c r="K269" s="12"/>
      <c r="L269" s="9" t="n">
        <f aca="false">L268+H269</f>
        <v>17891</v>
      </c>
      <c r="M269" s="10" t="str">
        <f aca="false">VLOOKUP(J269,RECATALOGANDO!A:C,2,0)</f>
        <v>SERVICIO DE GROOMING</v>
      </c>
      <c r="N269" s="12" t="str">
        <f aca="false">VLOOKUP(M269,RECATALOGANDO!B:C,2,0)</f>
        <v>VENTA DE SERVICIO</v>
      </c>
      <c r="O269" s="2" t="s">
        <v>39</v>
      </c>
    </row>
    <row r="270" customFormat="false" ht="13.8" hidden="false" customHeight="false" outlineLevel="0" collapsed="false">
      <c r="A270" s="8" t="n">
        <v>44993</v>
      </c>
      <c r="B270" s="9" t="n">
        <f aca="false">DAY(A270)</f>
        <v>8</v>
      </c>
      <c r="C270" s="9" t="n">
        <f aca="false">MONTH(A270)</f>
        <v>3</v>
      </c>
      <c r="D270" s="9" t="n">
        <f aca="false">YEAR(A270)</f>
        <v>2023</v>
      </c>
      <c r="E270" s="9" t="n">
        <f aca="false">WEEKDAY(A270,2)</f>
        <v>3</v>
      </c>
      <c r="F270" s="10" t="n">
        <f aca="false">WEEKNUM(A270,2) - WEEKNUM(DATE(YEAR(A270),MONTH(A270),1),2) + 1</f>
        <v>2</v>
      </c>
      <c r="G270" s="10"/>
      <c r="H270" s="11" t="n">
        <v>200</v>
      </c>
      <c r="I270" s="12" t="s">
        <v>20</v>
      </c>
      <c r="J270" s="12" t="s">
        <v>55</v>
      </c>
      <c r="K270" s="12"/>
      <c r="L270" s="9" t="n">
        <f aca="false">L269+H270</f>
        <v>18091</v>
      </c>
      <c r="M270" s="10" t="str">
        <f aca="false">VLOOKUP(J270,RECATALOGANDO!A:C,2,0)</f>
        <v>VENTA DE MEDICAMENTO</v>
      </c>
      <c r="N270" s="12" t="str">
        <f aca="false">VLOOKUP(M270,RECATALOGANDO!B:C,2,0)</f>
        <v>VENTA DE PRODUCTO</v>
      </c>
      <c r="O270" s="2" t="s">
        <v>39</v>
      </c>
    </row>
    <row r="271" customFormat="false" ht="13.8" hidden="false" customHeight="false" outlineLevel="0" collapsed="false">
      <c r="A271" s="8" t="n">
        <v>44993</v>
      </c>
      <c r="B271" s="9" t="n">
        <f aca="false">DAY(A271)</f>
        <v>8</v>
      </c>
      <c r="C271" s="9" t="n">
        <f aca="false">MONTH(A271)</f>
        <v>3</v>
      </c>
      <c r="D271" s="9" t="n">
        <f aca="false">YEAR(A271)</f>
        <v>2023</v>
      </c>
      <c r="E271" s="9" t="n">
        <f aca="false">WEEKDAY(A271,2)</f>
        <v>3</v>
      </c>
      <c r="F271" s="10" t="n">
        <f aca="false">WEEKNUM(A271,2) - WEEKNUM(DATE(YEAR(A271),MONTH(A271),1),2) + 1</f>
        <v>2</v>
      </c>
      <c r="G271" s="10"/>
      <c r="H271" s="11" t="n">
        <v>314</v>
      </c>
      <c r="I271" s="12" t="s">
        <v>15</v>
      </c>
      <c r="J271" s="12" t="s">
        <v>51</v>
      </c>
      <c r="K271" s="12"/>
      <c r="L271" s="9" t="n">
        <f aca="false">L270+H271</f>
        <v>18405</v>
      </c>
      <c r="M271" s="10" t="str">
        <f aca="false">VLOOKUP(J271,RECATALOGANDO!A:C,2,0)</f>
        <v>VENTA DE ALIMENTO</v>
      </c>
      <c r="N271" s="12" t="str">
        <f aca="false">VLOOKUP(M271,RECATALOGANDO!B:C,2,0)</f>
        <v>VENTA DE PRODUCTO</v>
      </c>
      <c r="O271" s="2" t="s">
        <v>39</v>
      </c>
    </row>
    <row r="272" customFormat="false" ht="13.8" hidden="false" customHeight="false" outlineLevel="0" collapsed="false">
      <c r="A272" s="8" t="n">
        <v>44995</v>
      </c>
      <c r="B272" s="9" t="n">
        <f aca="false">DAY(A272)</f>
        <v>10</v>
      </c>
      <c r="C272" s="9" t="n">
        <f aca="false">MONTH(A272)</f>
        <v>3</v>
      </c>
      <c r="D272" s="9" t="n">
        <f aca="false">YEAR(A272)</f>
        <v>2023</v>
      </c>
      <c r="E272" s="9" t="n">
        <f aca="false">WEEKDAY(A272,2)</f>
        <v>5</v>
      </c>
      <c r="F272" s="10" t="n">
        <f aca="false">WEEKNUM(A272,2) - WEEKNUM(DATE(YEAR(A272),MONTH(A272),1),2) + 1</f>
        <v>2</v>
      </c>
      <c r="G272" s="10"/>
      <c r="H272" s="11" t="n">
        <v>350</v>
      </c>
      <c r="I272" s="12" t="s">
        <v>20</v>
      </c>
      <c r="J272" s="12" t="s">
        <v>53</v>
      </c>
      <c r="K272" s="12"/>
      <c r="L272" s="9" t="n">
        <f aca="false">L271+H272</f>
        <v>18755</v>
      </c>
      <c r="M272" s="10" t="str">
        <f aca="false">VLOOKUP(J272,RECATALOGANDO!A:C,2,0)</f>
        <v>SERVICIO DE GROOMING</v>
      </c>
      <c r="N272" s="12" t="str">
        <f aca="false">VLOOKUP(M272,RECATALOGANDO!B:C,2,0)</f>
        <v>VENTA DE SERVICIO</v>
      </c>
      <c r="O272" s="2" t="s">
        <v>39</v>
      </c>
    </row>
    <row r="273" customFormat="false" ht="13.8" hidden="false" customHeight="false" outlineLevel="0" collapsed="false">
      <c r="A273" s="8" t="n">
        <v>44995</v>
      </c>
      <c r="B273" s="9" t="n">
        <f aca="false">DAY(A273)</f>
        <v>10</v>
      </c>
      <c r="C273" s="9" t="n">
        <f aca="false">MONTH(A273)</f>
        <v>3</v>
      </c>
      <c r="D273" s="9" t="n">
        <f aca="false">YEAR(A273)</f>
        <v>2023</v>
      </c>
      <c r="E273" s="9" t="n">
        <f aca="false">WEEKDAY(A273,2)</f>
        <v>5</v>
      </c>
      <c r="F273" s="10" t="n">
        <f aca="false">WEEKNUM(A273,2) - WEEKNUM(DATE(YEAR(A273),MONTH(A273),1),2) + 1</f>
        <v>2</v>
      </c>
      <c r="G273" s="10"/>
      <c r="H273" s="11" t="n">
        <v>441.74</v>
      </c>
      <c r="I273" s="12" t="s">
        <v>15</v>
      </c>
      <c r="J273" s="12" t="s">
        <v>44</v>
      </c>
      <c r="K273" s="12"/>
      <c r="L273" s="9" t="n">
        <f aca="false">L272+H273</f>
        <v>19196.74</v>
      </c>
      <c r="M273" s="10" t="str">
        <f aca="false">VLOOKUP(J273,RECATALOGANDO!A:C,2,0)</f>
        <v>HONORARIOS MEDICOS</v>
      </c>
      <c r="N273" s="12" t="str">
        <f aca="false">VLOOKUP(M273,RECATALOGANDO!B:C,2,0)</f>
        <v>VENTA DE SERVICIO</v>
      </c>
      <c r="O273" s="2" t="s">
        <v>39</v>
      </c>
    </row>
    <row r="274" customFormat="false" ht="13.8" hidden="false" customHeight="false" outlineLevel="0" collapsed="false">
      <c r="A274" s="8" t="n">
        <v>44996</v>
      </c>
      <c r="B274" s="9" t="n">
        <f aca="false">DAY(A274)</f>
        <v>11</v>
      </c>
      <c r="C274" s="9" t="n">
        <f aca="false">MONTH(A274)</f>
        <v>3</v>
      </c>
      <c r="D274" s="9" t="n">
        <f aca="false">YEAR(A274)</f>
        <v>2023</v>
      </c>
      <c r="E274" s="9" t="n">
        <f aca="false">WEEKDAY(A274,2)</f>
        <v>6</v>
      </c>
      <c r="F274" s="10" t="n">
        <f aca="false">WEEKNUM(A274,2) - WEEKNUM(DATE(YEAR(A274),MONTH(A274),1),2) + 1</f>
        <v>2</v>
      </c>
      <c r="G274" s="10"/>
      <c r="H274" s="11" t="n">
        <v>2354.38</v>
      </c>
      <c r="I274" s="12" t="s">
        <v>15</v>
      </c>
      <c r="J274" s="12" t="s">
        <v>41</v>
      </c>
      <c r="K274" s="12"/>
      <c r="L274" s="9" t="n">
        <f aca="false">L273+H274</f>
        <v>21551.12</v>
      </c>
      <c r="M274" s="10" t="str">
        <f aca="false">VLOOKUP(J274,RECATALOGANDO!A:C,2,0)</f>
        <v>HONORARIOS QUIRURGICOS</v>
      </c>
      <c r="N274" s="12" t="str">
        <f aca="false">VLOOKUP(M274,RECATALOGANDO!B:C,2,0)</f>
        <v>VENTA DE SERVICIO</v>
      </c>
      <c r="O274" s="2" t="s">
        <v>39</v>
      </c>
    </row>
    <row r="275" customFormat="false" ht="13.8" hidden="false" customHeight="false" outlineLevel="0" collapsed="false">
      <c r="A275" s="8" t="n">
        <v>44997</v>
      </c>
      <c r="B275" s="9" t="n">
        <f aca="false">DAY(A275)</f>
        <v>12</v>
      </c>
      <c r="C275" s="9" t="n">
        <f aca="false">MONTH(A275)</f>
        <v>3</v>
      </c>
      <c r="D275" s="9" t="n">
        <f aca="false">YEAR(A275)</f>
        <v>2023</v>
      </c>
      <c r="E275" s="9" t="n">
        <f aca="false">WEEKDAY(A275,2)</f>
        <v>7</v>
      </c>
      <c r="F275" s="10" t="n">
        <f aca="false">WEEKNUM(A275,2) - WEEKNUM(DATE(YEAR(A275),MONTH(A275),1),2) + 1</f>
        <v>2</v>
      </c>
      <c r="G275" s="10"/>
      <c r="H275" s="11" t="n">
        <v>280</v>
      </c>
      <c r="I275" s="12" t="s">
        <v>15</v>
      </c>
      <c r="J275" s="12" t="s">
        <v>45</v>
      </c>
      <c r="K275" s="12"/>
      <c r="L275" s="9" t="n">
        <f aca="false">L274+H275</f>
        <v>21831.12</v>
      </c>
      <c r="M275" s="10" t="str">
        <f aca="false">VLOOKUP(J275,RECATALOGANDO!A:C,2,0)</f>
        <v>VENTA DE MEDICAMENTO</v>
      </c>
      <c r="N275" s="12" t="str">
        <f aca="false">VLOOKUP(M275,RECATALOGANDO!B:C,2,0)</f>
        <v>VENTA DE PRODUCTO</v>
      </c>
      <c r="O275" s="2" t="s">
        <v>39</v>
      </c>
    </row>
    <row r="276" customFormat="false" ht="13.8" hidden="false" customHeight="false" outlineLevel="0" collapsed="false">
      <c r="A276" s="8" t="n">
        <v>44998</v>
      </c>
      <c r="B276" s="9" t="n">
        <f aca="false">DAY(A276)</f>
        <v>13</v>
      </c>
      <c r="C276" s="9" t="n">
        <f aca="false">MONTH(A276)</f>
        <v>3</v>
      </c>
      <c r="D276" s="9" t="n">
        <f aca="false">YEAR(A276)</f>
        <v>2023</v>
      </c>
      <c r="E276" s="9" t="n">
        <f aca="false">WEEKDAY(A276,2)</f>
        <v>1</v>
      </c>
      <c r="F276" s="10" t="n">
        <f aca="false">WEEKNUM(A276,2) - WEEKNUM(DATE(YEAR(A276),MONTH(A276),1),2) + 1</f>
        <v>3</v>
      </c>
      <c r="G276" s="10"/>
      <c r="H276" s="11" t="n">
        <v>857</v>
      </c>
      <c r="I276" s="12" t="s">
        <v>20</v>
      </c>
      <c r="J276" s="12" t="s">
        <v>55</v>
      </c>
      <c r="K276" s="12"/>
      <c r="L276" s="9" t="n">
        <f aca="false">L275+H276</f>
        <v>22688.12</v>
      </c>
      <c r="M276" s="10" t="str">
        <f aca="false">VLOOKUP(J276,RECATALOGANDO!A:C,2,0)</f>
        <v>VENTA DE MEDICAMENTO</v>
      </c>
      <c r="N276" s="12" t="str">
        <f aca="false">VLOOKUP(M276,RECATALOGANDO!B:C,2,0)</f>
        <v>VENTA DE PRODUCTO</v>
      </c>
      <c r="O276" s="2" t="s">
        <v>39</v>
      </c>
    </row>
    <row r="277" customFormat="false" ht="13.8" hidden="false" customHeight="false" outlineLevel="0" collapsed="false">
      <c r="A277" s="8" t="n">
        <v>44998</v>
      </c>
      <c r="B277" s="9" t="n">
        <f aca="false">DAY(A277)</f>
        <v>13</v>
      </c>
      <c r="C277" s="9" t="n">
        <f aca="false">MONTH(A277)</f>
        <v>3</v>
      </c>
      <c r="D277" s="9" t="n">
        <f aca="false">YEAR(A277)</f>
        <v>2023</v>
      </c>
      <c r="E277" s="9" t="n">
        <f aca="false">WEEKDAY(A277,2)</f>
        <v>1</v>
      </c>
      <c r="F277" s="10" t="n">
        <f aca="false">WEEKNUM(A277,2) - WEEKNUM(DATE(YEAR(A277),MONTH(A277),1),2) + 1</f>
        <v>3</v>
      </c>
      <c r="G277" s="10"/>
      <c r="H277" s="11" t="n">
        <v>950</v>
      </c>
      <c r="I277" s="12" t="s">
        <v>20</v>
      </c>
      <c r="J277" s="12" t="s">
        <v>54</v>
      </c>
      <c r="K277" s="12"/>
      <c r="L277" s="9" t="n">
        <f aca="false">L276+H277</f>
        <v>23638.12</v>
      </c>
      <c r="M277" s="10" t="str">
        <f aca="false">VLOOKUP(J277,RECATALOGANDO!A:C,2,0)</f>
        <v>SERVICIO DE LABORATORIO</v>
      </c>
      <c r="N277" s="12" t="str">
        <f aca="false">VLOOKUP(M277,RECATALOGANDO!B:C,2,0)</f>
        <v>VENTA DE SERVICIO</v>
      </c>
      <c r="O277" s="2" t="s">
        <v>39</v>
      </c>
    </row>
    <row r="278" customFormat="false" ht="13.8" hidden="false" customHeight="false" outlineLevel="0" collapsed="false">
      <c r="A278" s="8" t="n">
        <v>45006</v>
      </c>
      <c r="B278" s="9" t="n">
        <f aca="false">DAY(A278)</f>
        <v>21</v>
      </c>
      <c r="C278" s="9" t="n">
        <f aca="false">MONTH(A278)</f>
        <v>3</v>
      </c>
      <c r="D278" s="9" t="n">
        <f aca="false">YEAR(A278)</f>
        <v>2023</v>
      </c>
      <c r="E278" s="9" t="n">
        <f aca="false">WEEKDAY(A278,2)</f>
        <v>2</v>
      </c>
      <c r="F278" s="10" t="n">
        <f aca="false">WEEKNUM(A278,2) - WEEKNUM(DATE(YEAR(A278),MONTH(A278),1),2) + 1</f>
        <v>4</v>
      </c>
      <c r="G278" s="10"/>
      <c r="H278" s="11" t="n">
        <v>270</v>
      </c>
      <c r="I278" s="12" t="s">
        <v>20</v>
      </c>
      <c r="J278" s="12" t="s">
        <v>53</v>
      </c>
      <c r="K278" s="12"/>
      <c r="L278" s="9" t="n">
        <f aca="false">L277+H278</f>
        <v>23908.12</v>
      </c>
      <c r="M278" s="10" t="str">
        <f aca="false">VLOOKUP(J278,RECATALOGANDO!A:C,2,0)</f>
        <v>SERVICIO DE GROOMING</v>
      </c>
      <c r="N278" s="12" t="str">
        <f aca="false">VLOOKUP(M278,RECATALOGANDO!B:C,2,0)</f>
        <v>VENTA DE SERVICIO</v>
      </c>
      <c r="O278" s="2" t="s">
        <v>39</v>
      </c>
    </row>
    <row r="279" customFormat="false" ht="13.8" hidden="false" customHeight="false" outlineLevel="0" collapsed="false">
      <c r="A279" s="8" t="n">
        <v>45006</v>
      </c>
      <c r="B279" s="9" t="n">
        <f aca="false">DAY(A279)</f>
        <v>21</v>
      </c>
      <c r="C279" s="9" t="n">
        <f aca="false">MONTH(A279)</f>
        <v>3</v>
      </c>
      <c r="D279" s="9" t="n">
        <f aca="false">YEAR(A279)</f>
        <v>2023</v>
      </c>
      <c r="E279" s="9" t="n">
        <f aca="false">WEEKDAY(A279,2)</f>
        <v>2</v>
      </c>
      <c r="F279" s="10" t="n">
        <f aca="false">WEEKNUM(A279,2) - WEEKNUM(DATE(YEAR(A279),MONTH(A279),1),2) + 1</f>
        <v>4</v>
      </c>
      <c r="G279" s="10"/>
      <c r="H279" s="11" t="n">
        <v>1000</v>
      </c>
      <c r="I279" s="12" t="s">
        <v>20</v>
      </c>
      <c r="J279" s="12" t="s">
        <v>44</v>
      </c>
      <c r="K279" s="12"/>
      <c r="L279" s="9" t="n">
        <f aca="false">L278+H279</f>
        <v>24908.12</v>
      </c>
      <c r="M279" s="10" t="str">
        <f aca="false">VLOOKUP(J279,RECATALOGANDO!A:C,2,0)</f>
        <v>HONORARIOS MEDICOS</v>
      </c>
      <c r="N279" s="12" t="str">
        <f aca="false">VLOOKUP(M279,RECATALOGANDO!B:C,2,0)</f>
        <v>VENTA DE SERVICIO</v>
      </c>
      <c r="O279" s="2" t="s">
        <v>39</v>
      </c>
    </row>
    <row r="280" customFormat="false" ht="13.8" hidden="false" customHeight="false" outlineLevel="0" collapsed="false">
      <c r="A280" s="8" t="n">
        <v>45006</v>
      </c>
      <c r="B280" s="9" t="n">
        <f aca="false">DAY(A280)</f>
        <v>21</v>
      </c>
      <c r="C280" s="9" t="n">
        <f aca="false">MONTH(A280)</f>
        <v>3</v>
      </c>
      <c r="D280" s="9" t="n">
        <f aca="false">YEAR(A280)</f>
        <v>2023</v>
      </c>
      <c r="E280" s="9" t="n">
        <f aca="false">WEEKDAY(A280,2)</f>
        <v>2</v>
      </c>
      <c r="F280" s="10" t="n">
        <f aca="false">WEEKNUM(A280,2) - WEEKNUM(DATE(YEAR(A280),MONTH(A280),1),2) + 1</f>
        <v>4</v>
      </c>
      <c r="G280" s="10"/>
      <c r="H280" s="11" t="n">
        <v>1400</v>
      </c>
      <c r="I280" s="12" t="s">
        <v>20</v>
      </c>
      <c r="J280" s="12" t="s">
        <v>47</v>
      </c>
      <c r="K280" s="12"/>
      <c r="L280" s="9" t="n">
        <f aca="false">L279+H280</f>
        <v>26308.12</v>
      </c>
      <c r="M280" s="10" t="str">
        <f aca="false">VLOOKUP(J280,RECATALOGANDO!A:C,2,0)</f>
        <v>SERVICIO DE PENSION</v>
      </c>
      <c r="N280" s="12" t="str">
        <f aca="false">VLOOKUP(M280,RECATALOGANDO!B:C,2,0)</f>
        <v>VENTA DE SERVICIO</v>
      </c>
      <c r="O280" s="2" t="s">
        <v>39</v>
      </c>
    </row>
    <row r="281" customFormat="false" ht="13.8" hidden="false" customHeight="false" outlineLevel="0" collapsed="false">
      <c r="A281" s="8" t="n">
        <v>45007</v>
      </c>
      <c r="B281" s="9" t="n">
        <f aca="false">DAY(A281)</f>
        <v>22</v>
      </c>
      <c r="C281" s="9" t="n">
        <f aca="false">MONTH(A281)</f>
        <v>3</v>
      </c>
      <c r="D281" s="9" t="n">
        <f aca="false">YEAR(A281)</f>
        <v>2023</v>
      </c>
      <c r="E281" s="9" t="n">
        <f aca="false">WEEKDAY(A281,2)</f>
        <v>3</v>
      </c>
      <c r="F281" s="10" t="n">
        <f aca="false">WEEKNUM(A281,2) - WEEKNUM(DATE(YEAR(A281),MONTH(A281),1),2) + 1</f>
        <v>4</v>
      </c>
      <c r="G281" s="10"/>
      <c r="H281" s="11" t="n">
        <v>1119</v>
      </c>
      <c r="I281" s="12" t="s">
        <v>20</v>
      </c>
      <c r="J281" s="12" t="s">
        <v>51</v>
      </c>
      <c r="K281" s="12"/>
      <c r="L281" s="9" t="n">
        <f aca="false">L280+H281</f>
        <v>27427.12</v>
      </c>
      <c r="M281" s="10" t="str">
        <f aca="false">VLOOKUP(J281,RECATALOGANDO!A:C,2,0)</f>
        <v>VENTA DE ALIMENTO</v>
      </c>
      <c r="N281" s="12" t="str">
        <f aca="false">VLOOKUP(M281,RECATALOGANDO!B:C,2,0)</f>
        <v>VENTA DE PRODUCTO</v>
      </c>
      <c r="O281" s="2" t="s">
        <v>39</v>
      </c>
    </row>
    <row r="282" customFormat="false" ht="13.8" hidden="false" customHeight="false" outlineLevel="0" collapsed="false">
      <c r="A282" s="8" t="n">
        <v>45007</v>
      </c>
      <c r="B282" s="9" t="n">
        <f aca="false">DAY(A282)</f>
        <v>22</v>
      </c>
      <c r="C282" s="9" t="n">
        <f aca="false">MONTH(A282)</f>
        <v>3</v>
      </c>
      <c r="D282" s="9" t="n">
        <f aca="false">YEAR(A282)</f>
        <v>2023</v>
      </c>
      <c r="E282" s="9" t="n">
        <f aca="false">WEEKDAY(A282,2)</f>
        <v>3</v>
      </c>
      <c r="F282" s="10" t="n">
        <f aca="false">WEEKNUM(A282,2) - WEEKNUM(DATE(YEAR(A282),MONTH(A282),1),2) + 1</f>
        <v>4</v>
      </c>
      <c r="G282" s="10"/>
      <c r="H282" s="11" t="n">
        <v>200</v>
      </c>
      <c r="I282" s="12" t="s">
        <v>20</v>
      </c>
      <c r="J282" s="12" t="s">
        <v>47</v>
      </c>
      <c r="K282" s="12"/>
      <c r="L282" s="9" t="n">
        <f aca="false">L281+H282</f>
        <v>27627.12</v>
      </c>
      <c r="M282" s="10" t="str">
        <f aca="false">VLOOKUP(J282,RECATALOGANDO!A:C,2,0)</f>
        <v>SERVICIO DE PENSION</v>
      </c>
      <c r="N282" s="12" t="str">
        <f aca="false">VLOOKUP(M282,RECATALOGANDO!B:C,2,0)</f>
        <v>VENTA DE SERVICIO</v>
      </c>
      <c r="O282" s="2" t="s">
        <v>39</v>
      </c>
    </row>
    <row r="283" customFormat="false" ht="13.8" hidden="false" customHeight="false" outlineLevel="0" collapsed="false">
      <c r="A283" s="8" t="n">
        <v>45007</v>
      </c>
      <c r="B283" s="9" t="n">
        <f aca="false">DAY(A283)</f>
        <v>22</v>
      </c>
      <c r="C283" s="9" t="n">
        <f aca="false">MONTH(A283)</f>
        <v>3</v>
      </c>
      <c r="D283" s="9" t="n">
        <f aca="false">YEAR(A283)</f>
        <v>2023</v>
      </c>
      <c r="E283" s="9" t="n">
        <f aca="false">WEEKDAY(A283,2)</f>
        <v>3</v>
      </c>
      <c r="F283" s="10" t="n">
        <f aca="false">WEEKNUM(A283,2) - WEEKNUM(DATE(YEAR(A283),MONTH(A283),1),2) + 1</f>
        <v>4</v>
      </c>
      <c r="G283" s="10"/>
      <c r="H283" s="11" t="n">
        <v>250</v>
      </c>
      <c r="I283" s="12" t="s">
        <v>20</v>
      </c>
      <c r="J283" s="12" t="s">
        <v>44</v>
      </c>
      <c r="K283" s="12"/>
      <c r="L283" s="9" t="n">
        <f aca="false">L282+H283</f>
        <v>27877.12</v>
      </c>
      <c r="M283" s="10" t="str">
        <f aca="false">VLOOKUP(J283,RECATALOGANDO!A:C,2,0)</f>
        <v>HONORARIOS MEDICOS</v>
      </c>
      <c r="N283" s="12" t="str">
        <f aca="false">VLOOKUP(M283,RECATALOGANDO!B:C,2,0)</f>
        <v>VENTA DE SERVICIO</v>
      </c>
      <c r="O283" s="2" t="s">
        <v>39</v>
      </c>
    </row>
    <row r="284" customFormat="false" ht="13.8" hidden="false" customHeight="false" outlineLevel="0" collapsed="false">
      <c r="A284" s="8" t="n">
        <v>45007</v>
      </c>
      <c r="B284" s="9" t="n">
        <f aca="false">DAY(A284)</f>
        <v>22</v>
      </c>
      <c r="C284" s="9" t="n">
        <f aca="false">MONTH(A284)</f>
        <v>3</v>
      </c>
      <c r="D284" s="9" t="n">
        <f aca="false">YEAR(A284)</f>
        <v>2023</v>
      </c>
      <c r="E284" s="9" t="n">
        <f aca="false">WEEKDAY(A284,2)</f>
        <v>3</v>
      </c>
      <c r="F284" s="10" t="n">
        <f aca="false">WEEKNUM(A284,2) - WEEKNUM(DATE(YEAR(A284),MONTH(A284),1),2) + 1</f>
        <v>4</v>
      </c>
      <c r="G284" s="10"/>
      <c r="H284" s="11" t="n">
        <v>250</v>
      </c>
      <c r="I284" s="12" t="s">
        <v>20</v>
      </c>
      <c r="J284" s="12" t="s">
        <v>44</v>
      </c>
      <c r="K284" s="12"/>
      <c r="L284" s="9" t="n">
        <f aca="false">L283+H284</f>
        <v>28127.12</v>
      </c>
      <c r="M284" s="10" t="str">
        <f aca="false">VLOOKUP(J284,RECATALOGANDO!A:C,2,0)</f>
        <v>HONORARIOS MEDICOS</v>
      </c>
      <c r="N284" s="12" t="str">
        <f aca="false">VLOOKUP(M284,RECATALOGANDO!B:C,2,0)</f>
        <v>VENTA DE SERVICIO</v>
      </c>
      <c r="O284" s="2" t="s">
        <v>39</v>
      </c>
    </row>
    <row r="285" customFormat="false" ht="13.8" hidden="false" customHeight="false" outlineLevel="0" collapsed="false">
      <c r="A285" s="8" t="n">
        <v>45008</v>
      </c>
      <c r="B285" s="9" t="n">
        <f aca="false">DAY(A285)</f>
        <v>23</v>
      </c>
      <c r="C285" s="9" t="n">
        <f aca="false">MONTH(A285)</f>
        <v>3</v>
      </c>
      <c r="D285" s="9" t="n">
        <f aca="false">YEAR(A285)</f>
        <v>2023</v>
      </c>
      <c r="E285" s="9" t="n">
        <f aca="false">WEEKDAY(A285,2)</f>
        <v>4</v>
      </c>
      <c r="F285" s="10" t="n">
        <f aca="false">WEEKNUM(A285,2) - WEEKNUM(DATE(YEAR(A285),MONTH(A285),1),2) + 1</f>
        <v>4</v>
      </c>
      <c r="G285" s="10"/>
      <c r="H285" s="11" t="n">
        <v>1880</v>
      </c>
      <c r="I285" s="12" t="s">
        <v>20</v>
      </c>
      <c r="J285" s="12" t="s">
        <v>44</v>
      </c>
      <c r="K285" s="12"/>
      <c r="L285" s="9" t="n">
        <f aca="false">L284+H285</f>
        <v>30007.12</v>
      </c>
      <c r="M285" s="10" t="str">
        <f aca="false">VLOOKUP(J285,RECATALOGANDO!A:C,2,0)</f>
        <v>HONORARIOS MEDICOS</v>
      </c>
      <c r="N285" s="12" t="str">
        <f aca="false">VLOOKUP(M285,RECATALOGANDO!B:C,2,0)</f>
        <v>VENTA DE SERVICIO</v>
      </c>
      <c r="O285" s="2" t="s">
        <v>39</v>
      </c>
    </row>
    <row r="286" customFormat="false" ht="13.8" hidden="false" customHeight="false" outlineLevel="0" collapsed="false">
      <c r="A286" s="8" t="n">
        <v>45009</v>
      </c>
      <c r="B286" s="9" t="n">
        <f aca="false">DAY(A286)</f>
        <v>24</v>
      </c>
      <c r="C286" s="9" t="n">
        <f aca="false">MONTH(A286)</f>
        <v>3</v>
      </c>
      <c r="D286" s="9" t="n">
        <f aca="false">YEAR(A286)</f>
        <v>2023</v>
      </c>
      <c r="E286" s="9" t="n">
        <f aca="false">WEEKDAY(A286,2)</f>
        <v>5</v>
      </c>
      <c r="F286" s="10" t="n">
        <f aca="false">WEEKNUM(A286,2) - WEEKNUM(DATE(YEAR(A286),MONTH(A286),1),2) + 1</f>
        <v>4</v>
      </c>
      <c r="G286" s="10"/>
      <c r="H286" s="11" t="n">
        <v>990</v>
      </c>
      <c r="I286" s="12" t="s">
        <v>15</v>
      </c>
      <c r="J286" s="12" t="s">
        <v>54</v>
      </c>
      <c r="K286" s="12"/>
      <c r="L286" s="9" t="n">
        <f aca="false">L285+H286</f>
        <v>30997.12</v>
      </c>
      <c r="M286" s="10" t="str">
        <f aca="false">VLOOKUP(J286,RECATALOGANDO!A:C,2,0)</f>
        <v>SERVICIO DE LABORATORIO</v>
      </c>
      <c r="N286" s="12" t="str">
        <f aca="false">VLOOKUP(M286,RECATALOGANDO!B:C,2,0)</f>
        <v>VENTA DE SERVICIO</v>
      </c>
      <c r="O286" s="2" t="s">
        <v>39</v>
      </c>
    </row>
    <row r="287" customFormat="false" ht="13.8" hidden="false" customHeight="false" outlineLevel="0" collapsed="false">
      <c r="A287" s="8" t="n">
        <v>45009</v>
      </c>
      <c r="B287" s="9" t="n">
        <f aca="false">DAY(A287)</f>
        <v>24</v>
      </c>
      <c r="C287" s="9" t="n">
        <f aca="false">MONTH(A287)</f>
        <v>3</v>
      </c>
      <c r="D287" s="9" t="n">
        <f aca="false">YEAR(A287)</f>
        <v>2023</v>
      </c>
      <c r="E287" s="9" t="n">
        <f aca="false">WEEKDAY(A287,2)</f>
        <v>5</v>
      </c>
      <c r="F287" s="10" t="n">
        <f aca="false">WEEKNUM(A287,2) - WEEKNUM(DATE(YEAR(A287),MONTH(A287),1),2) + 1</f>
        <v>4</v>
      </c>
      <c r="G287" s="10"/>
      <c r="H287" s="11" t="n">
        <v>5714.95</v>
      </c>
      <c r="I287" s="12" t="s">
        <v>15</v>
      </c>
      <c r="J287" s="12" t="s">
        <v>41</v>
      </c>
      <c r="K287" s="12"/>
      <c r="L287" s="9" t="n">
        <f aca="false">L286+H287</f>
        <v>36712.07</v>
      </c>
      <c r="M287" s="10" t="str">
        <f aca="false">VLOOKUP(J287,RECATALOGANDO!A:C,2,0)</f>
        <v>HONORARIOS QUIRURGICOS</v>
      </c>
      <c r="N287" s="12" t="str">
        <f aca="false">VLOOKUP(M287,RECATALOGANDO!B:C,2,0)</f>
        <v>VENTA DE SERVICIO</v>
      </c>
      <c r="O287" s="2" t="s">
        <v>39</v>
      </c>
    </row>
    <row r="288" customFormat="false" ht="13.8" hidden="false" customHeight="false" outlineLevel="0" collapsed="false">
      <c r="A288" s="8" t="n">
        <v>45010</v>
      </c>
      <c r="B288" s="9" t="n">
        <f aca="false">DAY(A288)</f>
        <v>25</v>
      </c>
      <c r="C288" s="9" t="n">
        <f aca="false">MONTH(A288)</f>
        <v>3</v>
      </c>
      <c r="D288" s="9" t="n">
        <f aca="false">YEAR(A288)</f>
        <v>2023</v>
      </c>
      <c r="E288" s="9" t="n">
        <f aca="false">WEEKDAY(A288,2)</f>
        <v>6</v>
      </c>
      <c r="F288" s="10" t="n">
        <f aca="false">WEEKNUM(A288,2) - WEEKNUM(DATE(YEAR(A288),MONTH(A288),1),2) + 1</f>
        <v>4</v>
      </c>
      <c r="G288" s="10"/>
      <c r="H288" s="11" t="n">
        <v>1081.86</v>
      </c>
      <c r="I288" s="12" t="s">
        <v>15</v>
      </c>
      <c r="J288" s="12" t="s">
        <v>51</v>
      </c>
      <c r="K288" s="12"/>
      <c r="L288" s="9" t="n">
        <f aca="false">L287+H288</f>
        <v>37793.93</v>
      </c>
      <c r="M288" s="10" t="str">
        <f aca="false">VLOOKUP(J288,RECATALOGANDO!A:C,2,0)</f>
        <v>VENTA DE ALIMENTO</v>
      </c>
      <c r="N288" s="12" t="str">
        <f aca="false">VLOOKUP(M288,RECATALOGANDO!B:C,2,0)</f>
        <v>VENTA DE PRODUCTO</v>
      </c>
      <c r="O288" s="2" t="s">
        <v>39</v>
      </c>
    </row>
    <row r="289" customFormat="false" ht="13.8" hidden="false" customHeight="false" outlineLevel="0" collapsed="false">
      <c r="A289" s="8" t="n">
        <v>45011</v>
      </c>
      <c r="B289" s="9" t="n">
        <f aca="false">DAY(A289)</f>
        <v>26</v>
      </c>
      <c r="C289" s="9" t="n">
        <f aca="false">MONTH(A289)</f>
        <v>3</v>
      </c>
      <c r="D289" s="9" t="n">
        <f aca="false">YEAR(A289)</f>
        <v>2023</v>
      </c>
      <c r="E289" s="9" t="n">
        <f aca="false">WEEKDAY(A289,2)</f>
        <v>7</v>
      </c>
      <c r="F289" s="10" t="n">
        <f aca="false">WEEKNUM(A289,2) - WEEKNUM(DATE(YEAR(A289),MONTH(A289),1),2) + 1</f>
        <v>4</v>
      </c>
      <c r="G289" s="10"/>
      <c r="H289" s="11" t="n">
        <v>4224.89</v>
      </c>
      <c r="I289" s="12" t="s">
        <v>15</v>
      </c>
      <c r="J289" s="12" t="s">
        <v>54</v>
      </c>
      <c r="K289" s="12"/>
      <c r="L289" s="9" t="n">
        <f aca="false">L288+H289</f>
        <v>42018.82</v>
      </c>
      <c r="M289" s="10" t="str">
        <f aca="false">VLOOKUP(J289,RECATALOGANDO!A:C,2,0)</f>
        <v>SERVICIO DE LABORATORIO</v>
      </c>
      <c r="N289" s="12" t="str">
        <f aca="false">VLOOKUP(M289,RECATALOGANDO!B:C,2,0)</f>
        <v>VENTA DE SERVICIO</v>
      </c>
      <c r="O289" s="2" t="s">
        <v>39</v>
      </c>
    </row>
    <row r="290" customFormat="false" ht="13.8" hidden="false" customHeight="false" outlineLevel="0" collapsed="false">
      <c r="A290" s="8" t="n">
        <v>45012</v>
      </c>
      <c r="B290" s="9" t="n">
        <f aca="false">DAY(A290)</f>
        <v>27</v>
      </c>
      <c r="C290" s="9" t="n">
        <f aca="false">MONTH(A290)</f>
        <v>3</v>
      </c>
      <c r="D290" s="9" t="n">
        <f aca="false">YEAR(A290)</f>
        <v>2023</v>
      </c>
      <c r="E290" s="9" t="n">
        <f aca="false">WEEKDAY(A290,2)</f>
        <v>1</v>
      </c>
      <c r="F290" s="10" t="n">
        <f aca="false">WEEKNUM(A290,2) - WEEKNUM(DATE(YEAR(A290),MONTH(A290),1),2) + 1</f>
        <v>5</v>
      </c>
      <c r="G290" s="10"/>
      <c r="H290" s="11" t="n">
        <v>750</v>
      </c>
      <c r="I290" s="12" t="s">
        <v>20</v>
      </c>
      <c r="J290" s="12" t="s">
        <v>45</v>
      </c>
      <c r="K290" s="12"/>
      <c r="L290" s="9" t="n">
        <f aca="false">L289+H290</f>
        <v>42768.82</v>
      </c>
      <c r="M290" s="10" t="str">
        <f aca="false">VLOOKUP(J290,RECATALOGANDO!A:C,2,0)</f>
        <v>VENTA DE MEDICAMENTO</v>
      </c>
      <c r="N290" s="12" t="str">
        <f aca="false">VLOOKUP(M290,RECATALOGANDO!B:C,2,0)</f>
        <v>VENTA DE PRODUCTO</v>
      </c>
      <c r="O290" s="2" t="s">
        <v>39</v>
      </c>
    </row>
    <row r="291" customFormat="false" ht="13.8" hidden="false" customHeight="false" outlineLevel="0" collapsed="false">
      <c r="A291" s="8" t="n">
        <v>45012</v>
      </c>
      <c r="B291" s="9" t="n">
        <f aca="false">DAY(A291)</f>
        <v>27</v>
      </c>
      <c r="C291" s="9" t="n">
        <f aca="false">MONTH(A291)</f>
        <v>3</v>
      </c>
      <c r="D291" s="9" t="n">
        <f aca="false">YEAR(A291)</f>
        <v>2023</v>
      </c>
      <c r="E291" s="9" t="n">
        <f aca="false">WEEKDAY(A291,2)</f>
        <v>1</v>
      </c>
      <c r="F291" s="10" t="n">
        <f aca="false">WEEKNUM(A291,2) - WEEKNUM(DATE(YEAR(A291),MONTH(A291),1),2) + 1</f>
        <v>5</v>
      </c>
      <c r="G291" s="10"/>
      <c r="H291" s="11" t="n">
        <v>180</v>
      </c>
      <c r="I291" s="12" t="s">
        <v>20</v>
      </c>
      <c r="J291" s="12" t="s">
        <v>53</v>
      </c>
      <c r="K291" s="12"/>
      <c r="L291" s="9" t="n">
        <f aca="false">L290+H291</f>
        <v>42948.82</v>
      </c>
      <c r="M291" s="10" t="str">
        <f aca="false">VLOOKUP(J291,RECATALOGANDO!A:C,2,0)</f>
        <v>SERVICIO DE GROOMING</v>
      </c>
      <c r="N291" s="12" t="str">
        <f aca="false">VLOOKUP(M291,RECATALOGANDO!B:C,2,0)</f>
        <v>VENTA DE SERVICIO</v>
      </c>
      <c r="O291" s="2" t="s">
        <v>39</v>
      </c>
    </row>
    <row r="292" customFormat="false" ht="13.8" hidden="false" customHeight="false" outlineLevel="0" collapsed="false">
      <c r="A292" s="8" t="n">
        <v>45012</v>
      </c>
      <c r="B292" s="9" t="n">
        <f aca="false">DAY(A292)</f>
        <v>27</v>
      </c>
      <c r="C292" s="9" t="n">
        <f aca="false">MONTH(A292)</f>
        <v>3</v>
      </c>
      <c r="D292" s="9" t="n">
        <f aca="false">YEAR(A292)</f>
        <v>2023</v>
      </c>
      <c r="E292" s="9" t="n">
        <f aca="false">WEEKDAY(A292,2)</f>
        <v>1</v>
      </c>
      <c r="F292" s="10" t="n">
        <f aca="false">WEEKNUM(A292,2) - WEEKNUM(DATE(YEAR(A292),MONTH(A292),1),2) + 1</f>
        <v>5</v>
      </c>
      <c r="G292" s="10"/>
      <c r="H292" s="11" t="n">
        <v>980</v>
      </c>
      <c r="I292" s="12" t="s">
        <v>20</v>
      </c>
      <c r="J292" s="12" t="s">
        <v>58</v>
      </c>
      <c r="K292" s="12"/>
      <c r="L292" s="9" t="n">
        <f aca="false">L291+H292</f>
        <v>43928.82</v>
      </c>
      <c r="M292" s="10" t="str">
        <f aca="false">VLOOKUP(J292,RECATALOGANDO!A:C,2,0)</f>
        <v>SERVICIO DE LABORATORIO</v>
      </c>
      <c r="N292" s="12" t="str">
        <f aca="false">VLOOKUP(M292,RECATALOGANDO!B:C,2,0)</f>
        <v>VENTA DE SERVICIO</v>
      </c>
      <c r="O292" s="2" t="s">
        <v>39</v>
      </c>
    </row>
    <row r="293" customFormat="false" ht="13.8" hidden="false" customHeight="false" outlineLevel="0" collapsed="false">
      <c r="A293" s="8" t="n">
        <v>45012</v>
      </c>
      <c r="B293" s="9" t="n">
        <f aca="false">DAY(A293)</f>
        <v>27</v>
      </c>
      <c r="C293" s="9" t="n">
        <f aca="false">MONTH(A293)</f>
        <v>3</v>
      </c>
      <c r="D293" s="9" t="n">
        <f aca="false">YEAR(A293)</f>
        <v>2023</v>
      </c>
      <c r="E293" s="9" t="n">
        <f aca="false">WEEKDAY(A293,2)</f>
        <v>1</v>
      </c>
      <c r="F293" s="10" t="n">
        <f aca="false">WEEKNUM(A293,2) - WEEKNUM(DATE(YEAR(A293),MONTH(A293),1),2) + 1</f>
        <v>5</v>
      </c>
      <c r="G293" s="10"/>
      <c r="H293" s="11" t="n">
        <v>980</v>
      </c>
      <c r="I293" s="12" t="s">
        <v>20</v>
      </c>
      <c r="J293" s="12" t="s">
        <v>44</v>
      </c>
      <c r="K293" s="12"/>
      <c r="L293" s="9" t="n">
        <f aca="false">L292+H293</f>
        <v>44908.82</v>
      </c>
      <c r="M293" s="10" t="str">
        <f aca="false">VLOOKUP(J293,RECATALOGANDO!A:C,2,0)</f>
        <v>HONORARIOS MEDICOS</v>
      </c>
      <c r="N293" s="12" t="str">
        <f aca="false">VLOOKUP(M293,RECATALOGANDO!B:C,2,0)</f>
        <v>VENTA DE SERVICIO</v>
      </c>
      <c r="O293" s="2" t="s">
        <v>39</v>
      </c>
    </row>
    <row r="294" customFormat="false" ht="13.8" hidden="false" customHeight="false" outlineLevel="0" collapsed="false">
      <c r="A294" s="8" t="n">
        <v>45015</v>
      </c>
      <c r="B294" s="9" t="n">
        <f aca="false">DAY(A294)</f>
        <v>30</v>
      </c>
      <c r="C294" s="9" t="n">
        <f aca="false">MONTH(A294)</f>
        <v>3</v>
      </c>
      <c r="D294" s="9" t="n">
        <f aca="false">YEAR(A294)</f>
        <v>2023</v>
      </c>
      <c r="E294" s="9" t="n">
        <f aca="false">WEEKDAY(A294,2)</f>
        <v>4</v>
      </c>
      <c r="F294" s="10" t="n">
        <f aca="false">WEEKNUM(A294,2) - WEEKNUM(DATE(YEAR(A294),MONTH(A294),1),2) + 1</f>
        <v>5</v>
      </c>
      <c r="G294" s="10" t="n">
        <v>2</v>
      </c>
      <c r="H294" s="11" t="n">
        <v>350</v>
      </c>
      <c r="I294" s="12" t="s">
        <v>20</v>
      </c>
      <c r="J294" s="12" t="s">
        <v>45</v>
      </c>
      <c r="K294" s="12"/>
      <c r="L294" s="9" t="n">
        <f aca="false">L293+H294</f>
        <v>45258.82</v>
      </c>
      <c r="M294" s="10" t="str">
        <f aca="false">VLOOKUP(J294,RECATALOGANDO!A:C,2,0)</f>
        <v>VENTA DE MEDICAMENTO</v>
      </c>
      <c r="N294" s="12" t="str">
        <f aca="false">VLOOKUP(M294,RECATALOGANDO!B:C,2,0)</f>
        <v>VENTA DE PRODUCTO</v>
      </c>
      <c r="O294" s="2" t="s">
        <v>39</v>
      </c>
    </row>
    <row r="295" customFormat="false" ht="13.8" hidden="false" customHeight="false" outlineLevel="0" collapsed="false">
      <c r="A295" s="8" t="n">
        <v>45015</v>
      </c>
      <c r="B295" s="9" t="n">
        <f aca="false">DAY(A295)</f>
        <v>30</v>
      </c>
      <c r="C295" s="9" t="n">
        <f aca="false">MONTH(A295)</f>
        <v>3</v>
      </c>
      <c r="D295" s="9" t="n">
        <f aca="false">YEAR(A295)</f>
        <v>2023</v>
      </c>
      <c r="E295" s="9" t="n">
        <f aca="false">WEEKDAY(A295,2)</f>
        <v>4</v>
      </c>
      <c r="F295" s="10" t="n">
        <f aca="false">WEEKNUM(A295,2) - WEEKNUM(DATE(YEAR(A295),MONTH(A295),1),2) + 1</f>
        <v>5</v>
      </c>
      <c r="G295" s="10" t="n">
        <v>2</v>
      </c>
      <c r="H295" s="11" t="n">
        <v>2980</v>
      </c>
      <c r="I295" s="12" t="s">
        <v>20</v>
      </c>
      <c r="J295" s="12" t="s">
        <v>44</v>
      </c>
      <c r="K295" s="12"/>
      <c r="L295" s="9" t="n">
        <f aca="false">L294+H295</f>
        <v>48238.82</v>
      </c>
      <c r="M295" s="10" t="str">
        <f aca="false">VLOOKUP(J295,RECATALOGANDO!A:C,2,0)</f>
        <v>HONORARIOS MEDICOS</v>
      </c>
      <c r="N295" s="12" t="str">
        <f aca="false">VLOOKUP(M295,RECATALOGANDO!B:C,2,0)</f>
        <v>VENTA DE SERVICIO</v>
      </c>
      <c r="O295" s="2" t="s">
        <v>39</v>
      </c>
    </row>
    <row r="296" customFormat="false" ht="13.8" hidden="false" customHeight="false" outlineLevel="0" collapsed="false">
      <c r="A296" s="8" t="n">
        <v>45016</v>
      </c>
      <c r="B296" s="9" t="n">
        <f aca="false">DAY(A296)</f>
        <v>31</v>
      </c>
      <c r="C296" s="9" t="n">
        <f aca="false">MONTH(A296)</f>
        <v>3</v>
      </c>
      <c r="D296" s="9" t="n">
        <f aca="false">YEAR(A296)</f>
        <v>2023</v>
      </c>
      <c r="E296" s="9" t="n">
        <f aca="false">WEEKDAY(A296,2)</f>
        <v>5</v>
      </c>
      <c r="F296" s="10" t="n">
        <f aca="false">WEEKNUM(A296,2) - WEEKNUM(DATE(YEAR(A296),MONTH(A296),1),2) + 1</f>
        <v>5</v>
      </c>
      <c r="G296" s="10"/>
      <c r="H296" s="11" t="n">
        <v>3400</v>
      </c>
      <c r="I296" s="12" t="s">
        <v>20</v>
      </c>
      <c r="J296" s="12" t="s">
        <v>51</v>
      </c>
      <c r="K296" s="12"/>
      <c r="L296" s="9" t="n">
        <f aca="false">L295+H296</f>
        <v>51638.82</v>
      </c>
      <c r="M296" s="10" t="str">
        <f aca="false">VLOOKUP(J296,RECATALOGANDO!A:C,2,0)</f>
        <v>VENTA DE ALIMENTO</v>
      </c>
      <c r="N296" s="12" t="str">
        <f aca="false">VLOOKUP(M296,RECATALOGANDO!B:C,2,0)</f>
        <v>VENTA DE PRODUCTO</v>
      </c>
      <c r="O296" s="2" t="s">
        <v>39</v>
      </c>
    </row>
    <row r="297" customFormat="false" ht="13.8" hidden="false" customHeight="false" outlineLevel="0" collapsed="false">
      <c r="A297" s="8" t="n">
        <v>45017</v>
      </c>
      <c r="B297" s="9" t="n">
        <f aca="false">DAY(A297)</f>
        <v>1</v>
      </c>
      <c r="C297" s="9" t="n">
        <f aca="false">MONTH(A297)</f>
        <v>4</v>
      </c>
      <c r="D297" s="9" t="n">
        <f aca="false">YEAR(A297)</f>
        <v>2023</v>
      </c>
      <c r="E297" s="9" t="n">
        <f aca="false">WEEKDAY(A297,2)</f>
        <v>6</v>
      </c>
      <c r="F297" s="10" t="n">
        <f aca="false">WEEKNUM(A297,2) - WEEKNUM(DATE(YEAR(A297),MONTH(A297),1),2) + 1</f>
        <v>1</v>
      </c>
      <c r="G297" s="10"/>
      <c r="H297" s="11" t="n">
        <v>230</v>
      </c>
      <c r="I297" s="12" t="s">
        <v>15</v>
      </c>
      <c r="J297" s="12" t="s">
        <v>53</v>
      </c>
      <c r="K297" s="12"/>
      <c r="L297" s="9" t="n">
        <f aca="false">H297</f>
        <v>230</v>
      </c>
      <c r="M297" s="10" t="str">
        <f aca="false">VLOOKUP(J297,RECATALOGANDO!A:C,2,0)</f>
        <v>SERVICIO DE GROOMING</v>
      </c>
      <c r="N297" s="12" t="str">
        <f aca="false">VLOOKUP(M297,RECATALOGANDO!B:C,2,0)</f>
        <v>VENTA DE SERVICIO</v>
      </c>
      <c r="O297" s="2" t="s">
        <v>39</v>
      </c>
    </row>
    <row r="298" customFormat="false" ht="13.8" hidden="false" customHeight="false" outlineLevel="0" collapsed="false">
      <c r="A298" s="8" t="n">
        <v>45019</v>
      </c>
      <c r="B298" s="9" t="n">
        <f aca="false">DAY(A298)</f>
        <v>3</v>
      </c>
      <c r="C298" s="9" t="n">
        <f aca="false">MONTH(A298)</f>
        <v>4</v>
      </c>
      <c r="D298" s="9" t="n">
        <f aca="false">YEAR(A298)</f>
        <v>2023</v>
      </c>
      <c r="E298" s="9" t="n">
        <f aca="false">WEEKDAY(A298,2)</f>
        <v>1</v>
      </c>
      <c r="F298" s="10" t="n">
        <f aca="false">WEEKNUM(A298,2) - WEEKNUM(DATE(YEAR(A298),MONTH(A298),1),2) + 1</f>
        <v>2</v>
      </c>
      <c r="G298" s="10"/>
      <c r="H298" s="11" t="n">
        <v>1100</v>
      </c>
      <c r="I298" s="12" t="s">
        <v>20</v>
      </c>
      <c r="J298" s="12" t="s">
        <v>45</v>
      </c>
      <c r="K298" s="12"/>
      <c r="L298" s="9" t="n">
        <f aca="false">L297+H298</f>
        <v>1330</v>
      </c>
      <c r="M298" s="10" t="str">
        <f aca="false">VLOOKUP(J298,RECATALOGANDO!A:C,2,0)</f>
        <v>VENTA DE MEDICAMENTO</v>
      </c>
      <c r="N298" s="12" t="str">
        <f aca="false">VLOOKUP(M298,RECATALOGANDO!B:C,2,0)</f>
        <v>VENTA DE PRODUCTO</v>
      </c>
      <c r="O298" s="2" t="s">
        <v>39</v>
      </c>
    </row>
    <row r="299" customFormat="false" ht="13.8" hidden="false" customHeight="false" outlineLevel="0" collapsed="false">
      <c r="A299" s="8" t="n">
        <v>45019</v>
      </c>
      <c r="B299" s="9" t="n">
        <f aca="false">DAY(A299)</f>
        <v>3</v>
      </c>
      <c r="C299" s="9" t="n">
        <f aca="false">MONTH(A299)</f>
        <v>4</v>
      </c>
      <c r="D299" s="9" t="n">
        <f aca="false">YEAR(A299)</f>
        <v>2023</v>
      </c>
      <c r="E299" s="9" t="n">
        <f aca="false">WEEKDAY(A299,2)</f>
        <v>1</v>
      </c>
      <c r="F299" s="10" t="n">
        <f aca="false">WEEKNUM(A299,2) - WEEKNUM(DATE(YEAR(A299),MONTH(A299),1),2) + 1</f>
        <v>2</v>
      </c>
      <c r="G299" s="10"/>
      <c r="H299" s="11" t="n">
        <v>1500</v>
      </c>
      <c r="I299" s="12" t="s">
        <v>20</v>
      </c>
      <c r="J299" s="12" t="s">
        <v>51</v>
      </c>
      <c r="K299" s="12"/>
      <c r="L299" s="9" t="n">
        <f aca="false">L298+H299</f>
        <v>2830</v>
      </c>
      <c r="M299" s="10" t="str">
        <f aca="false">VLOOKUP(J299,RECATALOGANDO!A:C,2,0)</f>
        <v>VENTA DE ALIMENTO</v>
      </c>
      <c r="N299" s="12" t="str">
        <f aca="false">VLOOKUP(M299,RECATALOGANDO!B:C,2,0)</f>
        <v>VENTA DE PRODUCTO</v>
      </c>
      <c r="O299" s="2" t="s">
        <v>39</v>
      </c>
    </row>
    <row r="300" customFormat="false" ht="13.8" hidden="false" customHeight="false" outlineLevel="0" collapsed="false">
      <c r="A300" s="8" t="n">
        <v>45019</v>
      </c>
      <c r="B300" s="9" t="n">
        <f aca="false">DAY(A300)</f>
        <v>3</v>
      </c>
      <c r="C300" s="9" t="n">
        <f aca="false">MONTH(A300)</f>
        <v>4</v>
      </c>
      <c r="D300" s="9" t="n">
        <f aca="false">YEAR(A300)</f>
        <v>2023</v>
      </c>
      <c r="E300" s="9" t="n">
        <f aca="false">WEEKDAY(A300,2)</f>
        <v>1</v>
      </c>
      <c r="F300" s="10" t="n">
        <f aca="false">WEEKNUM(A300,2) - WEEKNUM(DATE(YEAR(A300),MONTH(A300),1),2) + 1</f>
        <v>2</v>
      </c>
      <c r="G300" s="10"/>
      <c r="H300" s="11" t="n">
        <v>350</v>
      </c>
      <c r="I300" s="12" t="s">
        <v>20</v>
      </c>
      <c r="J300" s="12" t="s">
        <v>54</v>
      </c>
      <c r="K300" s="12"/>
      <c r="L300" s="9" t="n">
        <f aca="false">L299+H300</f>
        <v>3180</v>
      </c>
      <c r="M300" s="10" t="str">
        <f aca="false">VLOOKUP(J300,RECATALOGANDO!A:C,2,0)</f>
        <v>SERVICIO DE LABORATORIO</v>
      </c>
      <c r="N300" s="12" t="str">
        <f aca="false">VLOOKUP(M300,RECATALOGANDO!B:C,2,0)</f>
        <v>VENTA DE SERVICIO</v>
      </c>
      <c r="O300" s="2" t="s">
        <v>39</v>
      </c>
    </row>
    <row r="301" customFormat="false" ht="13.8" hidden="false" customHeight="false" outlineLevel="0" collapsed="false">
      <c r="A301" s="8" t="n">
        <v>45019</v>
      </c>
      <c r="B301" s="9" t="n">
        <f aca="false">DAY(A301)</f>
        <v>3</v>
      </c>
      <c r="C301" s="9" t="n">
        <f aca="false">MONTH(A301)</f>
        <v>4</v>
      </c>
      <c r="D301" s="9" t="n">
        <f aca="false">YEAR(A301)</f>
        <v>2023</v>
      </c>
      <c r="E301" s="9" t="n">
        <f aca="false">WEEKDAY(A301,2)</f>
        <v>1</v>
      </c>
      <c r="F301" s="10" t="n">
        <f aca="false">WEEKNUM(A301,2) - WEEKNUM(DATE(YEAR(A301),MONTH(A301),1),2) + 1</f>
        <v>2</v>
      </c>
      <c r="G301" s="10"/>
      <c r="H301" s="11" t="n">
        <v>2000</v>
      </c>
      <c r="I301" s="12" t="s">
        <v>20</v>
      </c>
      <c r="J301" s="12" t="s">
        <v>59</v>
      </c>
      <c r="K301" s="12"/>
      <c r="L301" s="9" t="n">
        <f aca="false">L300+H301</f>
        <v>5180</v>
      </c>
      <c r="M301" s="10" t="str">
        <f aca="false">VLOOKUP(J301,RECATALOGANDO!A:C,2,0)</f>
        <v>SERVICIO DE PENSION</v>
      </c>
      <c r="N301" s="12" t="str">
        <f aca="false">VLOOKUP(M301,RECATALOGANDO!B:C,2,0)</f>
        <v>VENTA DE SERVICIO</v>
      </c>
      <c r="O301" s="2" t="s">
        <v>39</v>
      </c>
    </row>
    <row r="302" customFormat="false" ht="13.8" hidden="false" customHeight="false" outlineLevel="0" collapsed="false">
      <c r="A302" s="8" t="n">
        <v>45020</v>
      </c>
      <c r="B302" s="9" t="n">
        <f aca="false">DAY(A302)</f>
        <v>4</v>
      </c>
      <c r="C302" s="9" t="n">
        <f aca="false">MONTH(A302)</f>
        <v>4</v>
      </c>
      <c r="D302" s="9" t="n">
        <f aca="false">YEAR(A302)</f>
        <v>2023</v>
      </c>
      <c r="E302" s="9" t="n">
        <f aca="false">WEEKDAY(A302,2)</f>
        <v>2</v>
      </c>
      <c r="F302" s="10" t="n">
        <f aca="false">WEEKNUM(A302,2) - WEEKNUM(DATE(YEAR(A302),MONTH(A302),1),2) + 1</f>
        <v>2</v>
      </c>
      <c r="G302" s="10"/>
      <c r="H302" s="11" t="n">
        <v>1380</v>
      </c>
      <c r="I302" s="12" t="s">
        <v>20</v>
      </c>
      <c r="J302" s="12" t="s">
        <v>45</v>
      </c>
      <c r="K302" s="12"/>
      <c r="L302" s="9" t="n">
        <f aca="false">L301+H302</f>
        <v>6560</v>
      </c>
      <c r="M302" s="10" t="str">
        <f aca="false">VLOOKUP(J302,RECATALOGANDO!A:C,2,0)</f>
        <v>VENTA DE MEDICAMENTO</v>
      </c>
      <c r="N302" s="12" t="str">
        <f aca="false">VLOOKUP(M302,RECATALOGANDO!B:C,2,0)</f>
        <v>VENTA DE PRODUCTO</v>
      </c>
      <c r="O302" s="2" t="s">
        <v>39</v>
      </c>
    </row>
    <row r="303" customFormat="false" ht="13.8" hidden="false" customHeight="false" outlineLevel="0" collapsed="false">
      <c r="A303" s="8" t="n">
        <v>45021</v>
      </c>
      <c r="B303" s="9" t="n">
        <f aca="false">DAY(A303)</f>
        <v>5</v>
      </c>
      <c r="C303" s="9" t="n">
        <f aca="false">MONTH(A303)</f>
        <v>4</v>
      </c>
      <c r="D303" s="9" t="n">
        <f aca="false">YEAR(A303)</f>
        <v>2023</v>
      </c>
      <c r="E303" s="9" t="n">
        <f aca="false">WEEKDAY(A303,2)</f>
        <v>3</v>
      </c>
      <c r="F303" s="10" t="n">
        <f aca="false">WEEKNUM(A303,2) - WEEKNUM(DATE(YEAR(A303),MONTH(A303),1),2) + 1</f>
        <v>2</v>
      </c>
      <c r="G303" s="10"/>
      <c r="H303" s="11" t="n">
        <v>714</v>
      </c>
      <c r="I303" s="12" t="s">
        <v>20</v>
      </c>
      <c r="J303" s="12" t="s">
        <v>45</v>
      </c>
      <c r="K303" s="12"/>
      <c r="L303" s="9" t="n">
        <f aca="false">L302+H303</f>
        <v>7274</v>
      </c>
      <c r="M303" s="10" t="str">
        <f aca="false">VLOOKUP(J303,RECATALOGANDO!A:C,2,0)</f>
        <v>VENTA DE MEDICAMENTO</v>
      </c>
      <c r="N303" s="12" t="str">
        <f aca="false">VLOOKUP(M303,RECATALOGANDO!B:C,2,0)</f>
        <v>VENTA DE PRODUCTO</v>
      </c>
      <c r="O303" s="2" t="s">
        <v>39</v>
      </c>
    </row>
    <row r="304" customFormat="false" ht="13.8" hidden="false" customHeight="false" outlineLevel="0" collapsed="false">
      <c r="A304" s="8" t="n">
        <v>45021</v>
      </c>
      <c r="B304" s="9" t="n">
        <f aca="false">DAY(A304)</f>
        <v>5</v>
      </c>
      <c r="C304" s="9" t="n">
        <f aca="false">MONTH(A304)</f>
        <v>4</v>
      </c>
      <c r="D304" s="9" t="n">
        <f aca="false">YEAR(A304)</f>
        <v>2023</v>
      </c>
      <c r="E304" s="9" t="n">
        <f aca="false">WEEKDAY(A304,2)</f>
        <v>3</v>
      </c>
      <c r="F304" s="10" t="n">
        <f aca="false">WEEKNUM(A304,2) - WEEKNUM(DATE(YEAR(A304),MONTH(A304),1),2) + 1</f>
        <v>2</v>
      </c>
      <c r="G304" s="10"/>
      <c r="H304" s="11" t="n">
        <v>1260</v>
      </c>
      <c r="I304" s="12" t="s">
        <v>20</v>
      </c>
      <c r="J304" s="12" t="s">
        <v>59</v>
      </c>
      <c r="K304" s="12"/>
      <c r="L304" s="9" t="n">
        <f aca="false">L303+H304</f>
        <v>8534</v>
      </c>
      <c r="M304" s="10" t="str">
        <f aca="false">VLOOKUP(J304,RECATALOGANDO!A:C,2,0)</f>
        <v>SERVICIO DE PENSION</v>
      </c>
      <c r="N304" s="12" t="str">
        <f aca="false">VLOOKUP(M304,RECATALOGANDO!B:C,2,0)</f>
        <v>VENTA DE SERVICIO</v>
      </c>
      <c r="O304" s="2" t="s">
        <v>39</v>
      </c>
    </row>
    <row r="305" customFormat="false" ht="13.8" hidden="false" customHeight="false" outlineLevel="0" collapsed="false">
      <c r="A305" s="8" t="n">
        <v>45021</v>
      </c>
      <c r="B305" s="9" t="n">
        <f aca="false">DAY(A305)</f>
        <v>5</v>
      </c>
      <c r="C305" s="9" t="n">
        <f aca="false">MONTH(A305)</f>
        <v>4</v>
      </c>
      <c r="D305" s="9" t="n">
        <f aca="false">YEAR(A305)</f>
        <v>2023</v>
      </c>
      <c r="E305" s="9" t="n">
        <f aca="false">WEEKDAY(A305,2)</f>
        <v>3</v>
      </c>
      <c r="F305" s="10" t="n">
        <f aca="false">WEEKNUM(A305,2) - WEEKNUM(DATE(YEAR(A305),MONTH(A305),1),2) + 1</f>
        <v>2</v>
      </c>
      <c r="G305" s="10"/>
      <c r="H305" s="11" t="n">
        <v>2341</v>
      </c>
      <c r="I305" s="12" t="s">
        <v>20</v>
      </c>
      <c r="J305" s="12" t="s">
        <v>44</v>
      </c>
      <c r="K305" s="12"/>
      <c r="L305" s="9" t="n">
        <f aca="false">L304+H305</f>
        <v>10875</v>
      </c>
      <c r="M305" s="10" t="str">
        <f aca="false">VLOOKUP(J305,RECATALOGANDO!A:C,2,0)</f>
        <v>HONORARIOS MEDICOS</v>
      </c>
      <c r="N305" s="12" t="str">
        <f aca="false">VLOOKUP(M305,RECATALOGANDO!B:C,2,0)</f>
        <v>VENTA DE SERVICIO</v>
      </c>
      <c r="O305" s="2" t="s">
        <v>39</v>
      </c>
    </row>
    <row r="306" customFormat="false" ht="13.8" hidden="false" customHeight="false" outlineLevel="0" collapsed="false">
      <c r="A306" s="8" t="n">
        <v>45021</v>
      </c>
      <c r="B306" s="9" t="n">
        <f aca="false">DAY(A306)</f>
        <v>5</v>
      </c>
      <c r="C306" s="9" t="n">
        <f aca="false">MONTH(A306)</f>
        <v>4</v>
      </c>
      <c r="D306" s="9" t="n">
        <f aca="false">YEAR(A306)</f>
        <v>2023</v>
      </c>
      <c r="E306" s="9" t="n">
        <f aca="false">WEEKDAY(A306,2)</f>
        <v>3</v>
      </c>
      <c r="F306" s="10" t="n">
        <f aca="false">WEEKNUM(A306,2) - WEEKNUM(DATE(YEAR(A306),MONTH(A306),1),2) + 1</f>
        <v>2</v>
      </c>
      <c r="G306" s="10"/>
      <c r="H306" s="11" t="n">
        <v>5000</v>
      </c>
      <c r="I306" s="12" t="s">
        <v>15</v>
      </c>
      <c r="J306" s="12" t="s">
        <v>41</v>
      </c>
      <c r="K306" s="12"/>
      <c r="L306" s="9" t="n">
        <f aca="false">L305+H306</f>
        <v>15875</v>
      </c>
      <c r="M306" s="10" t="str">
        <f aca="false">VLOOKUP(J306,RECATALOGANDO!A:C,2,0)</f>
        <v>HONORARIOS QUIRURGICOS</v>
      </c>
      <c r="N306" s="12" t="str">
        <f aca="false">VLOOKUP(M306,RECATALOGANDO!B:C,2,0)</f>
        <v>VENTA DE SERVICIO</v>
      </c>
      <c r="O306" s="2" t="s">
        <v>39</v>
      </c>
    </row>
    <row r="307" customFormat="false" ht="13.8" hidden="false" customHeight="false" outlineLevel="0" collapsed="false">
      <c r="A307" s="8" t="n">
        <v>45022</v>
      </c>
      <c r="B307" s="9" t="n">
        <f aca="false">DAY(A307)</f>
        <v>6</v>
      </c>
      <c r="C307" s="9" t="n">
        <f aca="false">MONTH(A307)</f>
        <v>4</v>
      </c>
      <c r="D307" s="9" t="n">
        <f aca="false">YEAR(A307)</f>
        <v>2023</v>
      </c>
      <c r="E307" s="9" t="n">
        <f aca="false">WEEKDAY(A307,2)</f>
        <v>4</v>
      </c>
      <c r="F307" s="10" t="n">
        <f aca="false">WEEKNUM(A307,2) - WEEKNUM(DATE(YEAR(A307),MONTH(A307),1),2) + 1</f>
        <v>2</v>
      </c>
      <c r="G307" s="10"/>
      <c r="H307" s="11" t="n">
        <v>2044</v>
      </c>
      <c r="I307" s="12" t="s">
        <v>15</v>
      </c>
      <c r="J307" s="12" t="s">
        <v>51</v>
      </c>
      <c r="K307" s="12"/>
      <c r="L307" s="9" t="n">
        <f aca="false">L306+H307</f>
        <v>17919</v>
      </c>
      <c r="M307" s="10" t="str">
        <f aca="false">VLOOKUP(J307,RECATALOGANDO!A:C,2,0)</f>
        <v>VENTA DE ALIMENTO</v>
      </c>
      <c r="N307" s="12" t="str">
        <f aca="false">VLOOKUP(M307,RECATALOGANDO!B:C,2,0)</f>
        <v>VENTA DE PRODUCTO</v>
      </c>
      <c r="O307" s="2" t="s">
        <v>39</v>
      </c>
    </row>
    <row r="308" customFormat="false" ht="13.8" hidden="false" customHeight="false" outlineLevel="0" collapsed="false">
      <c r="A308" s="8" t="n">
        <v>45023</v>
      </c>
      <c r="B308" s="9" t="n">
        <f aca="false">DAY(A308)</f>
        <v>7</v>
      </c>
      <c r="C308" s="9" t="n">
        <f aca="false">MONTH(A308)</f>
        <v>4</v>
      </c>
      <c r="D308" s="9" t="n">
        <f aca="false">YEAR(A308)</f>
        <v>2023</v>
      </c>
      <c r="E308" s="9" t="n">
        <f aca="false">WEEKDAY(A308,2)</f>
        <v>5</v>
      </c>
      <c r="F308" s="10" t="n">
        <f aca="false">WEEKNUM(A308,2) - WEEKNUM(DATE(YEAR(A308),MONTH(A308),1),2) + 1</f>
        <v>2</v>
      </c>
      <c r="G308" s="10"/>
      <c r="H308" s="11" t="n">
        <v>1030</v>
      </c>
      <c r="I308" s="12" t="s">
        <v>15</v>
      </c>
      <c r="J308" s="12" t="s">
        <v>44</v>
      </c>
      <c r="K308" s="12"/>
      <c r="L308" s="9" t="n">
        <f aca="false">L307+H308</f>
        <v>18949</v>
      </c>
      <c r="M308" s="10" t="str">
        <f aca="false">VLOOKUP(J308,RECATALOGANDO!A:C,2,0)</f>
        <v>HONORARIOS MEDICOS</v>
      </c>
      <c r="N308" s="12" t="str">
        <f aca="false">VLOOKUP(M308,RECATALOGANDO!B:C,2,0)</f>
        <v>VENTA DE SERVICIO</v>
      </c>
      <c r="O308" s="2" t="s">
        <v>39</v>
      </c>
    </row>
    <row r="309" customFormat="false" ht="13.8" hidden="false" customHeight="false" outlineLevel="0" collapsed="false">
      <c r="A309" s="8" t="n">
        <v>45026</v>
      </c>
      <c r="B309" s="9" t="n">
        <f aca="false">DAY(A309)</f>
        <v>10</v>
      </c>
      <c r="C309" s="9" t="n">
        <f aca="false">MONTH(A309)</f>
        <v>4</v>
      </c>
      <c r="D309" s="9" t="n">
        <f aca="false">YEAR(A309)</f>
        <v>2023</v>
      </c>
      <c r="E309" s="9" t="n">
        <f aca="false">WEEKDAY(A309,2)</f>
        <v>1</v>
      </c>
      <c r="F309" s="10" t="n">
        <f aca="false">WEEKNUM(A309,2) - WEEKNUM(DATE(YEAR(A309),MONTH(A309),1),2) + 1</f>
        <v>3</v>
      </c>
      <c r="G309" s="10"/>
      <c r="H309" s="11" t="n">
        <v>295</v>
      </c>
      <c r="I309" s="12" t="s">
        <v>20</v>
      </c>
      <c r="J309" s="12" t="s">
        <v>45</v>
      </c>
      <c r="K309" s="12"/>
      <c r="L309" s="9" t="n">
        <f aca="false">L308+H309</f>
        <v>19244</v>
      </c>
      <c r="M309" s="10" t="str">
        <f aca="false">VLOOKUP(J309,RECATALOGANDO!A:C,2,0)</f>
        <v>VENTA DE MEDICAMENTO</v>
      </c>
      <c r="N309" s="12" t="str">
        <f aca="false">VLOOKUP(M309,RECATALOGANDO!B:C,2,0)</f>
        <v>VENTA DE PRODUCTO</v>
      </c>
      <c r="O309" s="2" t="s">
        <v>39</v>
      </c>
    </row>
    <row r="310" customFormat="false" ht="13.8" hidden="false" customHeight="false" outlineLevel="0" collapsed="false">
      <c r="A310" s="8" t="n">
        <v>45026</v>
      </c>
      <c r="B310" s="9" t="n">
        <f aca="false">DAY(A310)</f>
        <v>10</v>
      </c>
      <c r="C310" s="9" t="n">
        <f aca="false">MONTH(A310)</f>
        <v>4</v>
      </c>
      <c r="D310" s="9" t="n">
        <f aca="false">YEAR(A310)</f>
        <v>2023</v>
      </c>
      <c r="E310" s="9" t="n">
        <f aca="false">WEEKDAY(A310,2)</f>
        <v>1</v>
      </c>
      <c r="F310" s="10" t="n">
        <f aca="false">WEEKNUM(A310,2) - WEEKNUM(DATE(YEAR(A310),MONTH(A310),1),2) + 1</f>
        <v>3</v>
      </c>
      <c r="G310" s="10"/>
      <c r="H310" s="11" t="n">
        <v>420</v>
      </c>
      <c r="I310" s="12" t="s">
        <v>20</v>
      </c>
      <c r="J310" s="12" t="s">
        <v>59</v>
      </c>
      <c r="K310" s="12"/>
      <c r="L310" s="9" t="n">
        <f aca="false">L309+H310</f>
        <v>19664</v>
      </c>
      <c r="M310" s="10" t="str">
        <f aca="false">VLOOKUP(J310,RECATALOGANDO!A:C,2,0)</f>
        <v>SERVICIO DE PENSION</v>
      </c>
      <c r="N310" s="12" t="str">
        <f aca="false">VLOOKUP(M310,RECATALOGANDO!B:C,2,0)</f>
        <v>VENTA DE SERVICIO</v>
      </c>
      <c r="O310" s="2" t="s">
        <v>39</v>
      </c>
    </row>
    <row r="311" customFormat="false" ht="13.8" hidden="false" customHeight="false" outlineLevel="0" collapsed="false">
      <c r="A311" s="8" t="n">
        <v>45026</v>
      </c>
      <c r="B311" s="9" t="n">
        <f aca="false">DAY(A311)</f>
        <v>10</v>
      </c>
      <c r="C311" s="9" t="n">
        <f aca="false">MONTH(A311)</f>
        <v>4</v>
      </c>
      <c r="D311" s="9" t="n">
        <f aca="false">YEAR(A311)</f>
        <v>2023</v>
      </c>
      <c r="E311" s="9" t="n">
        <f aca="false">WEEKDAY(A311,2)</f>
        <v>1</v>
      </c>
      <c r="F311" s="10" t="n">
        <f aca="false">WEEKNUM(A311,2) - WEEKNUM(DATE(YEAR(A311),MONTH(A311),1),2) + 1</f>
        <v>3</v>
      </c>
      <c r="G311" s="10"/>
      <c r="H311" s="11" t="n">
        <v>1790</v>
      </c>
      <c r="I311" s="12" t="s">
        <v>20</v>
      </c>
      <c r="J311" s="12" t="s">
        <v>54</v>
      </c>
      <c r="K311" s="12"/>
      <c r="L311" s="9" t="n">
        <f aca="false">L310+H311</f>
        <v>21454</v>
      </c>
      <c r="M311" s="10" t="str">
        <f aca="false">VLOOKUP(J311,RECATALOGANDO!A:C,2,0)</f>
        <v>SERVICIO DE LABORATORIO</v>
      </c>
      <c r="N311" s="12" t="str">
        <f aca="false">VLOOKUP(M311,RECATALOGANDO!B:C,2,0)</f>
        <v>VENTA DE SERVICIO</v>
      </c>
      <c r="O311" s="2" t="s">
        <v>39</v>
      </c>
    </row>
    <row r="312" customFormat="false" ht="13.8" hidden="false" customHeight="false" outlineLevel="0" collapsed="false">
      <c r="A312" s="8" t="n">
        <v>45026</v>
      </c>
      <c r="B312" s="9" t="n">
        <f aca="false">DAY(A312)</f>
        <v>10</v>
      </c>
      <c r="C312" s="9" t="n">
        <f aca="false">MONTH(A312)</f>
        <v>4</v>
      </c>
      <c r="D312" s="9" t="n">
        <f aca="false">YEAR(A312)</f>
        <v>2023</v>
      </c>
      <c r="E312" s="9" t="n">
        <f aca="false">WEEKDAY(A312,2)</f>
        <v>1</v>
      </c>
      <c r="F312" s="10" t="n">
        <f aca="false">WEEKNUM(A312,2) - WEEKNUM(DATE(YEAR(A312),MONTH(A312),1),2) + 1</f>
        <v>3</v>
      </c>
      <c r="G312" s="10"/>
      <c r="H312" s="11" t="n">
        <v>1800</v>
      </c>
      <c r="I312" s="12" t="s">
        <v>20</v>
      </c>
      <c r="J312" s="12" t="s">
        <v>59</v>
      </c>
      <c r="K312" s="12"/>
      <c r="L312" s="9" t="n">
        <f aca="false">L311+H312</f>
        <v>23254</v>
      </c>
      <c r="M312" s="10" t="str">
        <f aca="false">VLOOKUP(J312,RECATALOGANDO!A:C,2,0)</f>
        <v>SERVICIO DE PENSION</v>
      </c>
      <c r="N312" s="12" t="str">
        <f aca="false">VLOOKUP(M312,RECATALOGANDO!B:C,2,0)</f>
        <v>VENTA DE SERVICIO</v>
      </c>
      <c r="O312" s="2" t="s">
        <v>39</v>
      </c>
    </row>
    <row r="313" customFormat="false" ht="13.8" hidden="false" customHeight="false" outlineLevel="0" collapsed="false">
      <c r="A313" s="8" t="n">
        <v>45027</v>
      </c>
      <c r="B313" s="9" t="n">
        <f aca="false">DAY(A313)</f>
        <v>11</v>
      </c>
      <c r="C313" s="9" t="n">
        <f aca="false">MONTH(A313)</f>
        <v>4</v>
      </c>
      <c r="D313" s="9" t="n">
        <f aca="false">YEAR(A313)</f>
        <v>2023</v>
      </c>
      <c r="E313" s="9" t="n">
        <f aca="false">WEEKDAY(A313,2)</f>
        <v>2</v>
      </c>
      <c r="F313" s="10" t="n">
        <f aca="false">WEEKNUM(A313,2) - WEEKNUM(DATE(YEAR(A313),MONTH(A313),1),2) + 1</f>
        <v>3</v>
      </c>
      <c r="G313" s="10"/>
      <c r="H313" s="11" t="n">
        <v>899</v>
      </c>
      <c r="I313" s="12" t="s">
        <v>20</v>
      </c>
      <c r="J313" s="12" t="s">
        <v>51</v>
      </c>
      <c r="K313" s="12"/>
      <c r="L313" s="9" t="n">
        <f aca="false">L312+H313</f>
        <v>24153</v>
      </c>
      <c r="M313" s="10" t="str">
        <f aca="false">VLOOKUP(J313,RECATALOGANDO!A:C,2,0)</f>
        <v>VENTA DE ALIMENTO</v>
      </c>
      <c r="N313" s="12" t="str">
        <f aca="false">VLOOKUP(M313,RECATALOGANDO!B:C,2,0)</f>
        <v>VENTA DE PRODUCTO</v>
      </c>
      <c r="O313" s="2" t="s">
        <v>39</v>
      </c>
    </row>
    <row r="314" customFormat="false" ht="13.8" hidden="false" customHeight="false" outlineLevel="0" collapsed="false">
      <c r="A314" s="8" t="n">
        <v>45027</v>
      </c>
      <c r="B314" s="9" t="n">
        <f aca="false">DAY(A314)</f>
        <v>11</v>
      </c>
      <c r="C314" s="9" t="n">
        <f aca="false">MONTH(A314)</f>
        <v>4</v>
      </c>
      <c r="D314" s="9" t="n">
        <f aca="false">YEAR(A314)</f>
        <v>2023</v>
      </c>
      <c r="E314" s="9" t="n">
        <f aca="false">WEEKDAY(A314,2)</f>
        <v>2</v>
      </c>
      <c r="F314" s="10" t="n">
        <f aca="false">WEEKNUM(A314,2) - WEEKNUM(DATE(YEAR(A314),MONTH(A314),1),2) + 1</f>
        <v>3</v>
      </c>
      <c r="G314" s="10"/>
      <c r="H314" s="11" t="n">
        <v>370</v>
      </c>
      <c r="I314" s="12" t="s">
        <v>20</v>
      </c>
      <c r="J314" s="12" t="s">
        <v>49</v>
      </c>
      <c r="K314" s="12"/>
      <c r="L314" s="9" t="n">
        <f aca="false">L313+H314</f>
        <v>24523</v>
      </c>
      <c r="M314" s="10" t="str">
        <f aca="false">VLOOKUP(J314,RECATALOGANDO!A:C,2,0)</f>
        <v>SERVICIO DE GROOMING</v>
      </c>
      <c r="N314" s="12" t="str">
        <f aca="false">VLOOKUP(M314,RECATALOGANDO!B:C,2,0)</f>
        <v>VENTA DE SERVICIO</v>
      </c>
      <c r="O314" s="2" t="s">
        <v>39</v>
      </c>
    </row>
    <row r="315" customFormat="false" ht="13.8" hidden="false" customHeight="false" outlineLevel="0" collapsed="false">
      <c r="A315" s="8" t="n">
        <v>45027</v>
      </c>
      <c r="B315" s="9" t="n">
        <f aca="false">DAY(A315)</f>
        <v>11</v>
      </c>
      <c r="C315" s="9" t="n">
        <f aca="false">MONTH(A315)</f>
        <v>4</v>
      </c>
      <c r="D315" s="9" t="n">
        <f aca="false">YEAR(A315)</f>
        <v>2023</v>
      </c>
      <c r="E315" s="9" t="n">
        <f aca="false">WEEKDAY(A315,2)</f>
        <v>2</v>
      </c>
      <c r="F315" s="10" t="n">
        <f aca="false">WEEKNUM(A315,2) - WEEKNUM(DATE(YEAR(A315),MONTH(A315),1),2) + 1</f>
        <v>3</v>
      </c>
      <c r="G315" s="10"/>
      <c r="H315" s="11" t="n">
        <v>750</v>
      </c>
      <c r="I315" s="12" t="s">
        <v>20</v>
      </c>
      <c r="J315" s="12" t="s">
        <v>54</v>
      </c>
      <c r="K315" s="12"/>
      <c r="L315" s="9" t="n">
        <f aca="false">L314+H315</f>
        <v>25273</v>
      </c>
      <c r="M315" s="10" t="str">
        <f aca="false">VLOOKUP(J315,RECATALOGANDO!A:C,2,0)</f>
        <v>SERVICIO DE LABORATORIO</v>
      </c>
      <c r="N315" s="12" t="str">
        <f aca="false">VLOOKUP(M315,RECATALOGANDO!B:C,2,0)</f>
        <v>VENTA DE SERVICIO</v>
      </c>
      <c r="O315" s="2" t="s">
        <v>39</v>
      </c>
    </row>
    <row r="316" customFormat="false" ht="13.8" hidden="false" customHeight="false" outlineLevel="0" collapsed="false">
      <c r="A316" s="8" t="n">
        <v>45028</v>
      </c>
      <c r="B316" s="9" t="n">
        <f aca="false">DAY(A316)</f>
        <v>12</v>
      </c>
      <c r="C316" s="9" t="n">
        <f aca="false">MONTH(A316)</f>
        <v>4</v>
      </c>
      <c r="D316" s="9" t="n">
        <f aca="false">YEAR(A316)</f>
        <v>2023</v>
      </c>
      <c r="E316" s="9" t="n">
        <f aca="false">WEEKDAY(A316,2)</f>
        <v>3</v>
      </c>
      <c r="F316" s="10" t="n">
        <f aca="false">WEEKNUM(A316,2) - WEEKNUM(DATE(YEAR(A316),MONTH(A316),1),2) + 1</f>
        <v>3</v>
      </c>
      <c r="G316" s="10"/>
      <c r="H316" s="11" t="n">
        <v>5938</v>
      </c>
      <c r="I316" s="12" t="s">
        <v>15</v>
      </c>
      <c r="J316" s="12" t="s">
        <v>45</v>
      </c>
      <c r="K316" s="12"/>
      <c r="L316" s="9" t="n">
        <f aca="false">L315+H316</f>
        <v>31211</v>
      </c>
      <c r="M316" s="10" t="str">
        <f aca="false">VLOOKUP(J316,RECATALOGANDO!A:C,2,0)</f>
        <v>VENTA DE MEDICAMENTO</v>
      </c>
      <c r="N316" s="12" t="str">
        <f aca="false">VLOOKUP(M316,RECATALOGANDO!B:C,2,0)</f>
        <v>VENTA DE PRODUCTO</v>
      </c>
      <c r="O316" s="2" t="s">
        <v>39</v>
      </c>
    </row>
    <row r="317" customFormat="false" ht="13.8" hidden="false" customHeight="false" outlineLevel="0" collapsed="false">
      <c r="A317" s="8" t="n">
        <v>45028</v>
      </c>
      <c r="B317" s="9" t="n">
        <f aca="false">DAY(A317)</f>
        <v>12</v>
      </c>
      <c r="C317" s="9" t="n">
        <f aca="false">MONTH(A317)</f>
        <v>4</v>
      </c>
      <c r="D317" s="9" t="n">
        <f aca="false">YEAR(A317)</f>
        <v>2023</v>
      </c>
      <c r="E317" s="9" t="n">
        <f aca="false">WEEKDAY(A317,2)</f>
        <v>3</v>
      </c>
      <c r="F317" s="10" t="n">
        <f aca="false">WEEKNUM(A317,2) - WEEKNUM(DATE(YEAR(A317),MONTH(A317),1),2) + 1</f>
        <v>3</v>
      </c>
      <c r="G317" s="10"/>
      <c r="H317" s="11" t="n">
        <v>959</v>
      </c>
      <c r="I317" s="12" t="s">
        <v>15</v>
      </c>
      <c r="J317" s="12" t="s">
        <v>59</v>
      </c>
      <c r="K317" s="12"/>
      <c r="L317" s="9" t="n">
        <f aca="false">L316+H317</f>
        <v>32170</v>
      </c>
      <c r="M317" s="10" t="str">
        <f aca="false">VLOOKUP(J317,RECATALOGANDO!A:C,2,0)</f>
        <v>SERVICIO DE PENSION</v>
      </c>
      <c r="N317" s="12" t="str">
        <f aca="false">VLOOKUP(M317,RECATALOGANDO!B:C,2,0)</f>
        <v>VENTA DE SERVICIO</v>
      </c>
      <c r="O317" s="2" t="s">
        <v>39</v>
      </c>
    </row>
    <row r="318" customFormat="false" ht="13.8" hidden="false" customHeight="false" outlineLevel="0" collapsed="false">
      <c r="A318" s="8" t="n">
        <v>45029</v>
      </c>
      <c r="B318" s="9" t="n">
        <f aca="false">DAY(A318)</f>
        <v>13</v>
      </c>
      <c r="C318" s="9" t="n">
        <f aca="false">MONTH(A318)</f>
        <v>4</v>
      </c>
      <c r="D318" s="9" t="n">
        <f aca="false">YEAR(A318)</f>
        <v>2023</v>
      </c>
      <c r="E318" s="9" t="n">
        <f aca="false">WEEKDAY(A318,2)</f>
        <v>4</v>
      </c>
      <c r="F318" s="10" t="n">
        <f aca="false">WEEKNUM(A318,2) - WEEKNUM(DATE(YEAR(A318),MONTH(A318),1),2) + 1</f>
        <v>3</v>
      </c>
      <c r="G318" s="10"/>
      <c r="H318" s="11" t="n">
        <v>883</v>
      </c>
      <c r="I318" s="12" t="s">
        <v>20</v>
      </c>
      <c r="J318" s="12" t="s">
        <v>45</v>
      </c>
      <c r="K318" s="12"/>
      <c r="L318" s="9" t="n">
        <f aca="false">L317+H318</f>
        <v>33053</v>
      </c>
      <c r="M318" s="10" t="str">
        <f aca="false">VLOOKUP(J318,RECATALOGANDO!A:C,2,0)</f>
        <v>VENTA DE MEDICAMENTO</v>
      </c>
      <c r="N318" s="12" t="str">
        <f aca="false">VLOOKUP(M318,RECATALOGANDO!B:C,2,0)</f>
        <v>VENTA DE PRODUCTO</v>
      </c>
      <c r="O318" s="2" t="s">
        <v>39</v>
      </c>
    </row>
    <row r="319" customFormat="false" ht="13.8" hidden="false" customHeight="false" outlineLevel="0" collapsed="false">
      <c r="A319" s="8" t="n">
        <v>45029</v>
      </c>
      <c r="B319" s="9" t="n">
        <f aca="false">DAY(A319)</f>
        <v>13</v>
      </c>
      <c r="C319" s="9" t="n">
        <f aca="false">MONTH(A319)</f>
        <v>4</v>
      </c>
      <c r="D319" s="9" t="n">
        <f aca="false">YEAR(A319)</f>
        <v>2023</v>
      </c>
      <c r="E319" s="9" t="n">
        <f aca="false">WEEKDAY(A319,2)</f>
        <v>4</v>
      </c>
      <c r="F319" s="10" t="n">
        <f aca="false">WEEKNUM(A319,2) - WEEKNUM(DATE(YEAR(A319),MONTH(A319),1),2) + 1</f>
        <v>3</v>
      </c>
      <c r="G319" s="10"/>
      <c r="H319" s="11" t="n">
        <v>1235</v>
      </c>
      <c r="I319" s="12" t="s">
        <v>15</v>
      </c>
      <c r="J319" s="12" t="s">
        <v>56</v>
      </c>
      <c r="K319" s="12"/>
      <c r="L319" s="9" t="n">
        <f aca="false">L318+H319</f>
        <v>34288</v>
      </c>
      <c r="M319" s="10" t="str">
        <f aca="false">VLOOKUP(J319,RECATALOGANDO!A:C,2,0)</f>
        <v>SERVICIO DE IMAGEN</v>
      </c>
      <c r="N319" s="12" t="str">
        <f aca="false">VLOOKUP(M319,RECATALOGANDO!B:C,2,0)</f>
        <v>VENTA DE SERVICIO</v>
      </c>
      <c r="O319" s="2" t="s">
        <v>39</v>
      </c>
    </row>
    <row r="320" customFormat="false" ht="13.8" hidden="false" customHeight="false" outlineLevel="0" collapsed="false">
      <c r="A320" s="8" t="n">
        <v>45029</v>
      </c>
      <c r="B320" s="9" t="n">
        <f aca="false">DAY(A320)</f>
        <v>13</v>
      </c>
      <c r="C320" s="9" t="n">
        <f aca="false">MONTH(A320)</f>
        <v>4</v>
      </c>
      <c r="D320" s="9" t="n">
        <f aca="false">YEAR(A320)</f>
        <v>2023</v>
      </c>
      <c r="E320" s="9" t="n">
        <f aca="false">WEEKDAY(A320,2)</f>
        <v>4</v>
      </c>
      <c r="F320" s="10" t="n">
        <f aca="false">WEEKNUM(A320,2) - WEEKNUM(DATE(YEAR(A320),MONTH(A320),1),2) + 1</f>
        <v>3</v>
      </c>
      <c r="G320" s="10"/>
      <c r="H320" s="11" t="n">
        <v>3000</v>
      </c>
      <c r="I320" s="12" t="s">
        <v>15</v>
      </c>
      <c r="J320" s="12" t="s">
        <v>41</v>
      </c>
      <c r="K320" s="12"/>
      <c r="L320" s="9" t="n">
        <f aca="false">L319+H320</f>
        <v>37288</v>
      </c>
      <c r="M320" s="10" t="str">
        <f aca="false">VLOOKUP(J320,RECATALOGANDO!A:C,2,0)</f>
        <v>HONORARIOS QUIRURGICOS</v>
      </c>
      <c r="N320" s="12" t="str">
        <f aca="false">VLOOKUP(M320,RECATALOGANDO!B:C,2,0)</f>
        <v>VENTA DE SERVICIO</v>
      </c>
      <c r="O320" s="2" t="s">
        <v>39</v>
      </c>
    </row>
    <row r="321" customFormat="false" ht="13.8" hidden="false" customHeight="false" outlineLevel="0" collapsed="false">
      <c r="A321" s="8" t="n">
        <v>45031</v>
      </c>
      <c r="B321" s="9" t="n">
        <f aca="false">DAY(A321)</f>
        <v>15</v>
      </c>
      <c r="C321" s="9" t="n">
        <f aca="false">MONTH(A321)</f>
        <v>4</v>
      </c>
      <c r="D321" s="9" t="n">
        <f aca="false">YEAR(A321)</f>
        <v>2023</v>
      </c>
      <c r="E321" s="9" t="n">
        <f aca="false">WEEKDAY(A321,2)</f>
        <v>6</v>
      </c>
      <c r="F321" s="10" t="n">
        <f aca="false">WEEKNUM(A321,2) - WEEKNUM(DATE(YEAR(A321),MONTH(A321),1),2) + 1</f>
        <v>3</v>
      </c>
      <c r="G321" s="10"/>
      <c r="H321" s="11" t="n">
        <v>2810</v>
      </c>
      <c r="I321" s="22" t="s">
        <v>20</v>
      </c>
      <c r="J321" s="12" t="s">
        <v>45</v>
      </c>
      <c r="K321" s="12"/>
      <c r="L321" s="9" t="n">
        <f aca="false">L320+H321</f>
        <v>40098</v>
      </c>
      <c r="M321" s="10" t="str">
        <f aca="false">VLOOKUP(J321,RECATALOGANDO!A:C,2,0)</f>
        <v>VENTA DE MEDICAMENTO</v>
      </c>
      <c r="N321" s="12" t="str">
        <f aca="false">VLOOKUP(M321,RECATALOGANDO!B:C,2,0)</f>
        <v>VENTA DE PRODUCTO</v>
      </c>
      <c r="O321" s="2" t="s">
        <v>39</v>
      </c>
    </row>
    <row r="322" customFormat="false" ht="13.8" hidden="false" customHeight="false" outlineLevel="0" collapsed="false">
      <c r="A322" s="8" t="n">
        <v>45031</v>
      </c>
      <c r="B322" s="9" t="n">
        <f aca="false">DAY(A322)</f>
        <v>15</v>
      </c>
      <c r="C322" s="9" t="n">
        <f aca="false">MONTH(A322)</f>
        <v>4</v>
      </c>
      <c r="D322" s="9" t="n">
        <f aca="false">YEAR(A322)</f>
        <v>2023</v>
      </c>
      <c r="E322" s="9" t="n">
        <f aca="false">WEEKDAY(A322,2)</f>
        <v>6</v>
      </c>
      <c r="F322" s="10" t="n">
        <f aca="false">WEEKNUM(A322,2) - WEEKNUM(DATE(YEAR(A322),MONTH(A322),1),2) + 1</f>
        <v>3</v>
      </c>
      <c r="G322" s="10"/>
      <c r="H322" s="11" t="n">
        <v>148.53</v>
      </c>
      <c r="I322" s="22" t="s">
        <v>15</v>
      </c>
      <c r="J322" s="12" t="s">
        <v>53</v>
      </c>
      <c r="K322" s="12"/>
      <c r="L322" s="9" t="n">
        <f aca="false">L321+H322</f>
        <v>40246.53</v>
      </c>
      <c r="M322" s="10" t="str">
        <f aca="false">VLOOKUP(J322,RECATALOGANDO!A:C,2,0)</f>
        <v>SERVICIO DE GROOMING</v>
      </c>
      <c r="N322" s="12" t="str">
        <f aca="false">VLOOKUP(M322,RECATALOGANDO!B:C,2,0)</f>
        <v>VENTA DE SERVICIO</v>
      </c>
      <c r="O322" s="2" t="s">
        <v>39</v>
      </c>
    </row>
    <row r="323" customFormat="false" ht="13.8" hidden="false" customHeight="false" outlineLevel="0" collapsed="false">
      <c r="A323" s="8" t="n">
        <v>45031</v>
      </c>
      <c r="B323" s="9" t="n">
        <f aca="false">DAY(A323)</f>
        <v>15</v>
      </c>
      <c r="C323" s="9" t="n">
        <f aca="false">MONTH(A323)</f>
        <v>4</v>
      </c>
      <c r="D323" s="9" t="n">
        <f aca="false">YEAR(A323)</f>
        <v>2023</v>
      </c>
      <c r="E323" s="9" t="n">
        <f aca="false">WEEKDAY(A323,2)</f>
        <v>6</v>
      </c>
      <c r="F323" s="10" t="n">
        <f aca="false">WEEKNUM(A323,2) - WEEKNUM(DATE(YEAR(A323),MONTH(A323),1),2) + 1</f>
        <v>3</v>
      </c>
      <c r="G323" s="10"/>
      <c r="H323" s="11" t="n">
        <v>150</v>
      </c>
      <c r="I323" s="22" t="s">
        <v>20</v>
      </c>
      <c r="J323" s="12" t="s">
        <v>53</v>
      </c>
      <c r="K323" s="12"/>
      <c r="L323" s="9" t="n">
        <f aca="false">L322+H323</f>
        <v>40396.53</v>
      </c>
      <c r="M323" s="10" t="str">
        <f aca="false">VLOOKUP(J323,RECATALOGANDO!A:C,2,0)</f>
        <v>SERVICIO DE GROOMING</v>
      </c>
      <c r="N323" s="12" t="str">
        <f aca="false">VLOOKUP(M323,RECATALOGANDO!B:C,2,0)</f>
        <v>VENTA DE SERVICIO</v>
      </c>
      <c r="O323" s="2" t="s">
        <v>39</v>
      </c>
    </row>
    <row r="324" customFormat="false" ht="13.8" hidden="false" customHeight="false" outlineLevel="0" collapsed="false">
      <c r="A324" s="8" t="n">
        <v>45031</v>
      </c>
      <c r="B324" s="9" t="n">
        <f aca="false">DAY(A324)</f>
        <v>15</v>
      </c>
      <c r="C324" s="9" t="n">
        <f aca="false">MONTH(A324)</f>
        <v>4</v>
      </c>
      <c r="D324" s="9" t="n">
        <f aca="false">YEAR(A324)</f>
        <v>2023</v>
      </c>
      <c r="E324" s="9" t="n">
        <f aca="false">WEEKDAY(A324,2)</f>
        <v>6</v>
      </c>
      <c r="F324" s="10" t="n">
        <f aca="false">WEEKNUM(A324,2) - WEEKNUM(DATE(YEAR(A324),MONTH(A324),1),2) + 1</f>
        <v>3</v>
      </c>
      <c r="G324" s="10"/>
      <c r="H324" s="11" t="n">
        <v>200</v>
      </c>
      <c r="I324" s="22" t="s">
        <v>20</v>
      </c>
      <c r="J324" s="12" t="s">
        <v>53</v>
      </c>
      <c r="K324" s="12"/>
      <c r="L324" s="9" t="n">
        <f aca="false">L323+H324</f>
        <v>40596.53</v>
      </c>
      <c r="M324" s="10" t="str">
        <f aca="false">VLOOKUP(J324,RECATALOGANDO!A:C,2,0)</f>
        <v>SERVICIO DE GROOMING</v>
      </c>
      <c r="N324" s="12" t="str">
        <f aca="false">VLOOKUP(M324,RECATALOGANDO!B:C,2,0)</f>
        <v>VENTA DE SERVICIO</v>
      </c>
      <c r="O324" s="2" t="s">
        <v>39</v>
      </c>
    </row>
    <row r="325" customFormat="false" ht="13.8" hidden="false" customHeight="false" outlineLevel="0" collapsed="false">
      <c r="A325" s="8" t="n">
        <v>45031</v>
      </c>
      <c r="B325" s="9" t="n">
        <f aca="false">DAY(A325)</f>
        <v>15</v>
      </c>
      <c r="C325" s="9" t="n">
        <f aca="false">MONTH(A325)</f>
        <v>4</v>
      </c>
      <c r="D325" s="9" t="n">
        <f aca="false">YEAR(A325)</f>
        <v>2023</v>
      </c>
      <c r="E325" s="9" t="n">
        <f aca="false">WEEKDAY(A325,2)</f>
        <v>6</v>
      </c>
      <c r="F325" s="10" t="n">
        <f aca="false">WEEKNUM(A325,2) - WEEKNUM(DATE(YEAR(A325),MONTH(A325),1),2) + 1</f>
        <v>3</v>
      </c>
      <c r="G325" s="10"/>
      <c r="H325" s="11" t="n">
        <v>2069.83</v>
      </c>
      <c r="I325" s="12" t="s">
        <v>15</v>
      </c>
      <c r="J325" s="12" t="s">
        <v>60</v>
      </c>
      <c r="K325" s="12"/>
      <c r="L325" s="9" t="n">
        <f aca="false">L324+H325</f>
        <v>42666.36</v>
      </c>
      <c r="M325" s="10" t="str">
        <f aca="false">VLOOKUP(J325,RECATALOGANDO!A:C,2,0)</f>
        <v>SERVICIO DE HOSPITALIZACION</v>
      </c>
      <c r="N325" s="12" t="str">
        <f aca="false">VLOOKUP(M325,RECATALOGANDO!B:C,2,0)</f>
        <v>VENTA DE SERVICIO</v>
      </c>
      <c r="O325" s="2" t="s">
        <v>39</v>
      </c>
    </row>
    <row r="326" customFormat="false" ht="13.8" hidden="false" customHeight="false" outlineLevel="0" collapsed="false">
      <c r="A326" s="8" t="n">
        <v>45033</v>
      </c>
      <c r="B326" s="9" t="n">
        <f aca="false">DAY(A326)</f>
        <v>17</v>
      </c>
      <c r="C326" s="9" t="n">
        <f aca="false">MONTH(A326)</f>
        <v>4</v>
      </c>
      <c r="D326" s="9" t="n">
        <f aca="false">YEAR(A326)</f>
        <v>2023</v>
      </c>
      <c r="E326" s="9" t="n">
        <f aca="false">WEEKDAY(A326,2)</f>
        <v>1</v>
      </c>
      <c r="F326" s="10" t="n">
        <f aca="false">WEEKNUM(A326,2) - WEEKNUM(DATE(YEAR(A326),MONTH(A326),1),2) + 1</f>
        <v>4</v>
      </c>
      <c r="G326" s="10"/>
      <c r="H326" s="11" t="n">
        <v>1000</v>
      </c>
      <c r="I326" s="12" t="s">
        <v>15</v>
      </c>
      <c r="J326" s="12" t="s">
        <v>44</v>
      </c>
      <c r="K326" s="12"/>
      <c r="L326" s="9" t="n">
        <f aca="false">L325+H326</f>
        <v>43666.36</v>
      </c>
      <c r="M326" s="10" t="str">
        <f aca="false">VLOOKUP(J326,RECATALOGANDO!A:C,2,0)</f>
        <v>HONORARIOS MEDICOS</v>
      </c>
      <c r="N326" s="12" t="str">
        <f aca="false">VLOOKUP(M326,RECATALOGANDO!B:C,2,0)</f>
        <v>VENTA DE SERVICIO</v>
      </c>
      <c r="O326" s="2" t="s">
        <v>39</v>
      </c>
    </row>
    <row r="327" customFormat="false" ht="13.8" hidden="false" customHeight="false" outlineLevel="0" collapsed="false">
      <c r="A327" s="8" t="n">
        <v>45034</v>
      </c>
      <c r="B327" s="9" t="n">
        <f aca="false">DAY(A327)</f>
        <v>18</v>
      </c>
      <c r="C327" s="9" t="n">
        <f aca="false">MONTH(A327)</f>
        <v>4</v>
      </c>
      <c r="D327" s="9" t="n">
        <f aca="false">YEAR(A327)</f>
        <v>2023</v>
      </c>
      <c r="E327" s="9" t="n">
        <f aca="false">WEEKDAY(A327,2)</f>
        <v>2</v>
      </c>
      <c r="F327" s="10" t="n">
        <f aca="false">WEEKNUM(A327,2) - WEEKNUM(DATE(YEAR(A327),MONTH(A327),1),2) + 1</f>
        <v>4</v>
      </c>
      <c r="G327" s="10"/>
      <c r="H327" s="11" t="n">
        <v>380.42</v>
      </c>
      <c r="I327" s="12" t="s">
        <v>15</v>
      </c>
      <c r="J327" s="12" t="s">
        <v>53</v>
      </c>
      <c r="K327" s="12"/>
      <c r="L327" s="9" t="n">
        <f aca="false">L326+H327</f>
        <v>44046.78</v>
      </c>
      <c r="M327" s="10" t="str">
        <f aca="false">VLOOKUP(J327,RECATALOGANDO!A:C,2,0)</f>
        <v>SERVICIO DE GROOMING</v>
      </c>
      <c r="N327" s="12" t="str">
        <f aca="false">VLOOKUP(M327,RECATALOGANDO!B:C,2,0)</f>
        <v>VENTA DE SERVICIO</v>
      </c>
      <c r="O327" s="2" t="s">
        <v>39</v>
      </c>
    </row>
    <row r="328" customFormat="false" ht="13.8" hidden="false" customHeight="false" outlineLevel="0" collapsed="false">
      <c r="A328" s="8" t="n">
        <v>45034</v>
      </c>
      <c r="B328" s="9" t="n">
        <f aca="false">DAY(A328)</f>
        <v>18</v>
      </c>
      <c r="C328" s="9" t="n">
        <f aca="false">MONTH(A328)</f>
        <v>4</v>
      </c>
      <c r="D328" s="9" t="n">
        <f aca="false">YEAR(A328)</f>
        <v>2023</v>
      </c>
      <c r="E328" s="9" t="n">
        <f aca="false">WEEKDAY(A328,2)</f>
        <v>2</v>
      </c>
      <c r="F328" s="10" t="n">
        <f aca="false">WEEKNUM(A328,2) - WEEKNUM(DATE(YEAR(A328),MONTH(A328),1),2) + 1</f>
        <v>4</v>
      </c>
      <c r="G328" s="10"/>
      <c r="H328" s="11" t="n">
        <v>5000</v>
      </c>
      <c r="I328" s="12" t="s">
        <v>15</v>
      </c>
      <c r="J328" s="12" t="s">
        <v>41</v>
      </c>
      <c r="K328" s="12"/>
      <c r="L328" s="9" t="n">
        <f aca="false">L327+H328</f>
        <v>49046.78</v>
      </c>
      <c r="M328" s="10" t="str">
        <f aca="false">VLOOKUP(J328,RECATALOGANDO!A:C,2,0)</f>
        <v>HONORARIOS QUIRURGICOS</v>
      </c>
      <c r="N328" s="12" t="str">
        <f aca="false">VLOOKUP(M328,RECATALOGANDO!B:C,2,0)</f>
        <v>VENTA DE SERVICIO</v>
      </c>
      <c r="O328" s="2" t="s">
        <v>39</v>
      </c>
    </row>
    <row r="329" customFormat="false" ht="13.8" hidden="false" customHeight="false" outlineLevel="0" collapsed="false">
      <c r="A329" s="8" t="n">
        <v>45035</v>
      </c>
      <c r="B329" s="9" t="n">
        <f aca="false">DAY(A329)</f>
        <v>19</v>
      </c>
      <c r="C329" s="9" t="n">
        <f aca="false">MONTH(A329)</f>
        <v>4</v>
      </c>
      <c r="D329" s="9" t="n">
        <f aca="false">YEAR(A329)</f>
        <v>2023</v>
      </c>
      <c r="E329" s="9" t="n">
        <f aca="false">WEEKDAY(A329,2)</f>
        <v>3</v>
      </c>
      <c r="F329" s="10" t="n">
        <f aca="false">WEEKNUM(A329,2) - WEEKNUM(DATE(YEAR(A329),MONTH(A329),1),2) + 1</f>
        <v>4</v>
      </c>
      <c r="G329" s="10"/>
      <c r="H329" s="11" t="n">
        <v>3380.67</v>
      </c>
      <c r="I329" s="12" t="s">
        <v>15</v>
      </c>
      <c r="J329" s="12" t="s">
        <v>45</v>
      </c>
      <c r="K329" s="12"/>
      <c r="L329" s="9" t="n">
        <f aca="false">L328+H329</f>
        <v>52427.45</v>
      </c>
      <c r="M329" s="10" t="str">
        <f aca="false">VLOOKUP(J329,RECATALOGANDO!A:C,2,0)</f>
        <v>VENTA DE MEDICAMENTO</v>
      </c>
      <c r="N329" s="12" t="str">
        <f aca="false">VLOOKUP(M329,RECATALOGANDO!B:C,2,0)</f>
        <v>VENTA DE PRODUCTO</v>
      </c>
      <c r="O329" s="2" t="s">
        <v>39</v>
      </c>
    </row>
    <row r="330" customFormat="false" ht="13.8" hidden="false" customHeight="false" outlineLevel="0" collapsed="false">
      <c r="A330" s="8" t="n">
        <v>45035</v>
      </c>
      <c r="B330" s="9" t="n">
        <f aca="false">DAY(A330)</f>
        <v>19</v>
      </c>
      <c r="C330" s="9" t="n">
        <f aca="false">MONTH(A330)</f>
        <v>4</v>
      </c>
      <c r="D330" s="9" t="n">
        <f aca="false">YEAR(A330)</f>
        <v>2023</v>
      </c>
      <c r="E330" s="9" t="n">
        <f aca="false">WEEKDAY(A330,2)</f>
        <v>3</v>
      </c>
      <c r="F330" s="10" t="n">
        <f aca="false">WEEKNUM(A330,2) - WEEKNUM(DATE(YEAR(A330),MONTH(A330),1),2) + 1</f>
        <v>4</v>
      </c>
      <c r="G330" s="10"/>
      <c r="H330" s="11" t="n">
        <v>1920</v>
      </c>
      <c r="I330" s="12" t="s">
        <v>20</v>
      </c>
      <c r="J330" s="12" t="s">
        <v>54</v>
      </c>
      <c r="K330" s="12"/>
      <c r="L330" s="9" t="n">
        <f aca="false">L329+H330</f>
        <v>54347.45</v>
      </c>
      <c r="M330" s="10" t="str">
        <f aca="false">VLOOKUP(J330,RECATALOGANDO!A:C,2,0)</f>
        <v>SERVICIO DE LABORATORIO</v>
      </c>
      <c r="N330" s="12" t="str">
        <f aca="false">VLOOKUP(M330,RECATALOGANDO!B:C,2,0)</f>
        <v>VENTA DE SERVICIO</v>
      </c>
      <c r="O330" s="2" t="s">
        <v>39</v>
      </c>
    </row>
    <row r="331" customFormat="false" ht="13.8" hidden="false" customHeight="false" outlineLevel="0" collapsed="false">
      <c r="A331" s="8" t="n">
        <v>45035</v>
      </c>
      <c r="B331" s="9" t="n">
        <f aca="false">DAY(A331)</f>
        <v>19</v>
      </c>
      <c r="C331" s="9" t="n">
        <f aca="false">MONTH(A331)</f>
        <v>4</v>
      </c>
      <c r="D331" s="9" t="n">
        <f aca="false">YEAR(A331)</f>
        <v>2023</v>
      </c>
      <c r="E331" s="9" t="n">
        <f aca="false">WEEKDAY(A331,2)</f>
        <v>3</v>
      </c>
      <c r="F331" s="10" t="n">
        <f aca="false">WEEKNUM(A331,2) - WEEKNUM(DATE(YEAR(A331),MONTH(A331),1),2) + 1</f>
        <v>4</v>
      </c>
      <c r="G331" s="10"/>
      <c r="H331" s="11" t="n">
        <v>2860</v>
      </c>
      <c r="I331" s="12" t="s">
        <v>15</v>
      </c>
      <c r="J331" s="12" t="s">
        <v>41</v>
      </c>
      <c r="K331" s="12"/>
      <c r="L331" s="9" t="n">
        <f aca="false">L330+H331</f>
        <v>57207.45</v>
      </c>
      <c r="M331" s="10" t="str">
        <f aca="false">VLOOKUP(J331,RECATALOGANDO!A:C,2,0)</f>
        <v>HONORARIOS QUIRURGICOS</v>
      </c>
      <c r="N331" s="12" t="str">
        <f aca="false">VLOOKUP(M331,RECATALOGANDO!B:C,2,0)</f>
        <v>VENTA DE SERVICIO</v>
      </c>
      <c r="O331" s="2" t="s">
        <v>39</v>
      </c>
    </row>
    <row r="332" customFormat="false" ht="13.8" hidden="false" customHeight="false" outlineLevel="0" collapsed="false">
      <c r="A332" s="8" t="n">
        <v>45036</v>
      </c>
      <c r="B332" s="9" t="n">
        <f aca="false">DAY(A332)</f>
        <v>20</v>
      </c>
      <c r="C332" s="9" t="n">
        <f aca="false">MONTH(A332)</f>
        <v>4</v>
      </c>
      <c r="D332" s="9" t="n">
        <f aca="false">YEAR(A332)</f>
        <v>2023</v>
      </c>
      <c r="E332" s="9" t="n">
        <f aca="false">WEEKDAY(A332,2)</f>
        <v>4</v>
      </c>
      <c r="F332" s="10" t="n">
        <f aca="false">WEEKNUM(A332,2) - WEEKNUM(DATE(YEAR(A332),MONTH(A332),1),2) + 1</f>
        <v>4</v>
      </c>
      <c r="G332" s="10"/>
      <c r="H332" s="11" t="n">
        <v>560</v>
      </c>
      <c r="I332" s="12" t="s">
        <v>20</v>
      </c>
      <c r="J332" s="12" t="s">
        <v>44</v>
      </c>
      <c r="K332" s="12"/>
      <c r="L332" s="9" t="n">
        <f aca="false">L331+H332</f>
        <v>57767.45</v>
      </c>
      <c r="M332" s="10" t="str">
        <f aca="false">VLOOKUP(J332,RECATALOGANDO!A:C,2,0)</f>
        <v>HONORARIOS MEDICOS</v>
      </c>
      <c r="N332" s="12" t="str">
        <f aca="false">VLOOKUP(M332,RECATALOGANDO!B:C,2,0)</f>
        <v>VENTA DE SERVICIO</v>
      </c>
      <c r="O332" s="2" t="s">
        <v>39</v>
      </c>
    </row>
    <row r="333" customFormat="false" ht="13.8" hidden="false" customHeight="false" outlineLevel="0" collapsed="false">
      <c r="A333" s="8" t="n">
        <v>45036</v>
      </c>
      <c r="B333" s="9" t="n">
        <f aca="false">DAY(A333)</f>
        <v>20</v>
      </c>
      <c r="C333" s="9" t="n">
        <f aca="false">MONTH(A333)</f>
        <v>4</v>
      </c>
      <c r="D333" s="9" t="n">
        <f aca="false">YEAR(A333)</f>
        <v>2023</v>
      </c>
      <c r="E333" s="9" t="n">
        <f aca="false">WEEKDAY(A333,2)</f>
        <v>4</v>
      </c>
      <c r="F333" s="10" t="n">
        <f aca="false">WEEKNUM(A333,2) - WEEKNUM(DATE(YEAR(A333),MONTH(A333),1),2) + 1</f>
        <v>4</v>
      </c>
      <c r="G333" s="10"/>
      <c r="H333" s="11" t="n">
        <v>1000</v>
      </c>
      <c r="I333" s="12" t="s">
        <v>15</v>
      </c>
      <c r="J333" s="12" t="s">
        <v>60</v>
      </c>
      <c r="K333" s="12"/>
      <c r="L333" s="9" t="n">
        <f aca="false">L332+H333</f>
        <v>58767.45</v>
      </c>
      <c r="M333" s="10" t="str">
        <f aca="false">VLOOKUP(J333,RECATALOGANDO!A:C,2,0)</f>
        <v>SERVICIO DE HOSPITALIZACION</v>
      </c>
      <c r="N333" s="12" t="str">
        <f aca="false">VLOOKUP(M333,RECATALOGANDO!B:C,2,0)</f>
        <v>VENTA DE SERVICIO</v>
      </c>
      <c r="O333" s="2" t="s">
        <v>39</v>
      </c>
    </row>
    <row r="334" customFormat="false" ht="13.8" hidden="false" customHeight="false" outlineLevel="0" collapsed="false">
      <c r="A334" s="8" t="n">
        <v>45039</v>
      </c>
      <c r="B334" s="9" t="n">
        <f aca="false">DAY(A334)</f>
        <v>23</v>
      </c>
      <c r="C334" s="9" t="n">
        <f aca="false">MONTH(A334)</f>
        <v>4</v>
      </c>
      <c r="D334" s="9" t="n">
        <f aca="false">YEAR(A334)</f>
        <v>2023</v>
      </c>
      <c r="E334" s="9" t="n">
        <f aca="false">WEEKDAY(A334,2)</f>
        <v>7</v>
      </c>
      <c r="F334" s="10" t="n">
        <f aca="false">WEEKNUM(A334,2) - WEEKNUM(DATE(YEAR(A334),MONTH(A334),1),2) + 1</f>
        <v>4</v>
      </c>
      <c r="G334" s="10"/>
      <c r="H334" s="11" t="n">
        <v>1087</v>
      </c>
      <c r="I334" s="12" t="s">
        <v>15</v>
      </c>
      <c r="J334" s="12" t="s">
        <v>51</v>
      </c>
      <c r="K334" s="12"/>
      <c r="L334" s="9" t="n">
        <f aca="false">L333+H334</f>
        <v>59854.45</v>
      </c>
      <c r="M334" s="10" t="str">
        <f aca="false">VLOOKUP(J334,RECATALOGANDO!A:C,2,0)</f>
        <v>VENTA DE ALIMENTO</v>
      </c>
      <c r="N334" s="12" t="str">
        <f aca="false">VLOOKUP(M334,RECATALOGANDO!B:C,2,0)</f>
        <v>VENTA DE PRODUCTO</v>
      </c>
      <c r="O334" s="2" t="s">
        <v>39</v>
      </c>
    </row>
    <row r="335" customFormat="false" ht="13.8" hidden="false" customHeight="false" outlineLevel="0" collapsed="false">
      <c r="A335" s="8" t="n">
        <v>45040</v>
      </c>
      <c r="B335" s="9" t="n">
        <f aca="false">DAY(A335)</f>
        <v>24</v>
      </c>
      <c r="C335" s="9" t="n">
        <f aca="false">MONTH(A335)</f>
        <v>4</v>
      </c>
      <c r="D335" s="9" t="n">
        <f aca="false">YEAR(A335)</f>
        <v>2023</v>
      </c>
      <c r="E335" s="9" t="n">
        <f aca="false">WEEKDAY(A335,2)</f>
        <v>1</v>
      </c>
      <c r="F335" s="10" t="n">
        <f aca="false">WEEKNUM(A335,2) - WEEKNUM(DATE(YEAR(A335),MONTH(A335),1),2) + 1</f>
        <v>5</v>
      </c>
      <c r="G335" s="10"/>
      <c r="H335" s="11" t="n">
        <v>680</v>
      </c>
      <c r="I335" s="12" t="s">
        <v>20</v>
      </c>
      <c r="J335" s="12" t="s">
        <v>51</v>
      </c>
      <c r="K335" s="12"/>
      <c r="L335" s="9" t="n">
        <f aca="false">L334+H335</f>
        <v>60534.45</v>
      </c>
      <c r="M335" s="10" t="str">
        <f aca="false">VLOOKUP(J335,RECATALOGANDO!A:C,2,0)</f>
        <v>VENTA DE ALIMENTO</v>
      </c>
      <c r="N335" s="12" t="str">
        <f aca="false">VLOOKUP(M335,RECATALOGANDO!B:C,2,0)</f>
        <v>VENTA DE PRODUCTO</v>
      </c>
      <c r="O335" s="2" t="s">
        <v>39</v>
      </c>
    </row>
    <row r="336" customFormat="false" ht="13.8" hidden="false" customHeight="false" outlineLevel="0" collapsed="false">
      <c r="A336" s="8" t="n">
        <v>45040</v>
      </c>
      <c r="B336" s="9" t="n">
        <f aca="false">DAY(A336)</f>
        <v>24</v>
      </c>
      <c r="C336" s="9" t="n">
        <f aca="false">MONTH(A336)</f>
        <v>4</v>
      </c>
      <c r="D336" s="9" t="n">
        <f aca="false">YEAR(A336)</f>
        <v>2023</v>
      </c>
      <c r="E336" s="9" t="n">
        <f aca="false">WEEKDAY(A336,2)</f>
        <v>1</v>
      </c>
      <c r="F336" s="10" t="n">
        <f aca="false">WEEKNUM(A336,2) - WEEKNUM(DATE(YEAR(A336),MONTH(A336),1),2) + 1</f>
        <v>5</v>
      </c>
      <c r="G336" s="10"/>
      <c r="H336" s="11" t="n">
        <v>1990</v>
      </c>
      <c r="I336" s="12" t="s">
        <v>20</v>
      </c>
      <c r="J336" s="12" t="s">
        <v>51</v>
      </c>
      <c r="K336" s="12"/>
      <c r="L336" s="9" t="n">
        <f aca="false">L335+H336</f>
        <v>62524.45</v>
      </c>
      <c r="M336" s="10" t="str">
        <f aca="false">VLOOKUP(J336,RECATALOGANDO!A:C,2,0)</f>
        <v>VENTA DE ALIMENTO</v>
      </c>
      <c r="N336" s="12" t="str">
        <f aca="false">VLOOKUP(M336,RECATALOGANDO!B:C,2,0)</f>
        <v>VENTA DE PRODUCTO</v>
      </c>
      <c r="O336" s="2" t="s">
        <v>39</v>
      </c>
    </row>
    <row r="337" customFormat="false" ht="13.8" hidden="false" customHeight="false" outlineLevel="0" collapsed="false">
      <c r="A337" s="8" t="n">
        <v>45040</v>
      </c>
      <c r="B337" s="9" t="n">
        <f aca="false">DAY(A337)</f>
        <v>24</v>
      </c>
      <c r="C337" s="9" t="n">
        <f aca="false">MONTH(A337)</f>
        <v>4</v>
      </c>
      <c r="D337" s="9" t="n">
        <f aca="false">YEAR(A337)</f>
        <v>2023</v>
      </c>
      <c r="E337" s="9" t="n">
        <f aca="false">WEEKDAY(A337,2)</f>
        <v>1</v>
      </c>
      <c r="F337" s="10" t="n">
        <f aca="false">WEEKNUM(A337,2) - WEEKNUM(DATE(YEAR(A337),MONTH(A337),1),2) + 1</f>
        <v>5</v>
      </c>
      <c r="G337" s="10"/>
      <c r="H337" s="11" t="n">
        <v>290</v>
      </c>
      <c r="I337" s="12" t="s">
        <v>20</v>
      </c>
      <c r="J337" s="12" t="s">
        <v>49</v>
      </c>
      <c r="K337" s="12"/>
      <c r="L337" s="9" t="n">
        <f aca="false">L336+H337</f>
        <v>62814.45</v>
      </c>
      <c r="M337" s="10" t="str">
        <f aca="false">VLOOKUP(J337,RECATALOGANDO!A:C,2,0)</f>
        <v>SERVICIO DE GROOMING</v>
      </c>
      <c r="N337" s="12" t="str">
        <f aca="false">VLOOKUP(M337,RECATALOGANDO!B:C,2,0)</f>
        <v>VENTA DE SERVICIO</v>
      </c>
      <c r="O337" s="2" t="s">
        <v>39</v>
      </c>
    </row>
    <row r="338" customFormat="false" ht="13.8" hidden="false" customHeight="false" outlineLevel="0" collapsed="false">
      <c r="A338" s="8" t="n">
        <v>45041</v>
      </c>
      <c r="B338" s="9" t="n">
        <f aca="false">DAY(A338)</f>
        <v>25</v>
      </c>
      <c r="C338" s="9" t="n">
        <f aca="false">MONTH(A338)</f>
        <v>4</v>
      </c>
      <c r="D338" s="9" t="n">
        <f aca="false">YEAR(A338)</f>
        <v>2023</v>
      </c>
      <c r="E338" s="9" t="n">
        <f aca="false">WEEKDAY(A338,2)</f>
        <v>2</v>
      </c>
      <c r="F338" s="10" t="n">
        <f aca="false">WEEKNUM(A338,2) - WEEKNUM(DATE(YEAR(A338),MONTH(A338),1),2) + 1</f>
        <v>5</v>
      </c>
      <c r="G338" s="10"/>
      <c r="H338" s="11" t="n">
        <v>1703</v>
      </c>
      <c r="I338" s="12" t="s">
        <v>20</v>
      </c>
      <c r="J338" s="12" t="s">
        <v>45</v>
      </c>
      <c r="K338" s="12"/>
      <c r="L338" s="9" t="n">
        <f aca="false">L337+H338</f>
        <v>64517.45</v>
      </c>
      <c r="M338" s="10" t="str">
        <f aca="false">VLOOKUP(J338,RECATALOGANDO!A:C,2,0)</f>
        <v>VENTA DE MEDICAMENTO</v>
      </c>
      <c r="N338" s="12" t="str">
        <f aca="false">VLOOKUP(M338,RECATALOGANDO!B:C,2,0)</f>
        <v>VENTA DE PRODUCTO</v>
      </c>
      <c r="O338" s="2" t="s">
        <v>39</v>
      </c>
    </row>
    <row r="339" customFormat="false" ht="13.8" hidden="false" customHeight="false" outlineLevel="0" collapsed="false">
      <c r="A339" s="8" t="n">
        <v>45041</v>
      </c>
      <c r="B339" s="9" t="n">
        <f aca="false">DAY(A339)</f>
        <v>25</v>
      </c>
      <c r="C339" s="9" t="n">
        <f aca="false">MONTH(A339)</f>
        <v>4</v>
      </c>
      <c r="D339" s="9" t="n">
        <f aca="false">YEAR(A339)</f>
        <v>2023</v>
      </c>
      <c r="E339" s="9" t="n">
        <f aca="false">WEEKDAY(A339,2)</f>
        <v>2</v>
      </c>
      <c r="F339" s="10" t="n">
        <f aca="false">WEEKNUM(A339,2) - WEEKNUM(DATE(YEAR(A339),MONTH(A339),1),2) + 1</f>
        <v>5</v>
      </c>
      <c r="G339" s="10"/>
      <c r="H339" s="11" t="n">
        <v>280</v>
      </c>
      <c r="I339" s="12" t="s">
        <v>15</v>
      </c>
      <c r="J339" s="12" t="s">
        <v>49</v>
      </c>
      <c r="K339" s="12"/>
      <c r="L339" s="9" t="n">
        <f aca="false">L338+H339</f>
        <v>64797.45</v>
      </c>
      <c r="M339" s="10" t="str">
        <f aca="false">VLOOKUP(J339,RECATALOGANDO!A:C,2,0)</f>
        <v>SERVICIO DE GROOMING</v>
      </c>
      <c r="N339" s="12" t="str">
        <f aca="false">VLOOKUP(M339,RECATALOGANDO!B:C,2,0)</f>
        <v>VENTA DE SERVICIO</v>
      </c>
      <c r="O339" s="2" t="s">
        <v>39</v>
      </c>
    </row>
    <row r="340" customFormat="false" ht="13.8" hidden="false" customHeight="false" outlineLevel="0" collapsed="false">
      <c r="A340" s="8" t="n">
        <v>45041</v>
      </c>
      <c r="B340" s="9" t="n">
        <f aca="false">DAY(A340)</f>
        <v>25</v>
      </c>
      <c r="C340" s="9" t="n">
        <f aca="false">MONTH(A340)</f>
        <v>4</v>
      </c>
      <c r="D340" s="9" t="n">
        <f aca="false">YEAR(A340)</f>
        <v>2023</v>
      </c>
      <c r="E340" s="9" t="n">
        <f aca="false">WEEKDAY(A340,2)</f>
        <v>2</v>
      </c>
      <c r="F340" s="10" t="n">
        <f aca="false">WEEKNUM(A340,2) - WEEKNUM(DATE(YEAR(A340),MONTH(A340),1),2) + 1</f>
        <v>5</v>
      </c>
      <c r="G340" s="10"/>
      <c r="H340" s="11" t="n">
        <v>770</v>
      </c>
      <c r="I340" s="12" t="s">
        <v>20</v>
      </c>
      <c r="J340" s="12" t="s">
        <v>44</v>
      </c>
      <c r="K340" s="12"/>
      <c r="L340" s="9" t="n">
        <f aca="false">L339+H340</f>
        <v>65567.45</v>
      </c>
      <c r="M340" s="10" t="str">
        <f aca="false">VLOOKUP(J340,RECATALOGANDO!A:C,2,0)</f>
        <v>HONORARIOS MEDICOS</v>
      </c>
      <c r="N340" s="12" t="str">
        <f aca="false">VLOOKUP(M340,RECATALOGANDO!B:C,2,0)</f>
        <v>VENTA DE SERVICIO</v>
      </c>
      <c r="O340" s="2" t="s">
        <v>39</v>
      </c>
    </row>
    <row r="341" customFormat="false" ht="13.8" hidden="false" customHeight="false" outlineLevel="0" collapsed="false">
      <c r="A341" s="8" t="n">
        <v>45042</v>
      </c>
      <c r="B341" s="9" t="n">
        <f aca="false">DAY(A341)</f>
        <v>26</v>
      </c>
      <c r="C341" s="9" t="n">
        <f aca="false">MONTH(A341)</f>
        <v>4</v>
      </c>
      <c r="D341" s="9" t="n">
        <f aca="false">YEAR(A341)</f>
        <v>2023</v>
      </c>
      <c r="E341" s="9" t="n">
        <f aca="false">WEEKDAY(A341,2)</f>
        <v>3</v>
      </c>
      <c r="F341" s="10" t="n">
        <f aca="false">WEEKNUM(A341,2) - WEEKNUM(DATE(YEAR(A341),MONTH(A341),1),2) + 1</f>
        <v>5</v>
      </c>
      <c r="G341" s="10"/>
      <c r="H341" s="11" t="n">
        <v>200</v>
      </c>
      <c r="I341" s="12" t="s">
        <v>15</v>
      </c>
      <c r="J341" s="12" t="s">
        <v>49</v>
      </c>
      <c r="K341" s="12"/>
      <c r="L341" s="9" t="n">
        <f aca="false">L340+H341</f>
        <v>65767.45</v>
      </c>
      <c r="M341" s="10" t="str">
        <f aca="false">VLOOKUP(J341,RECATALOGANDO!A:C,2,0)</f>
        <v>SERVICIO DE GROOMING</v>
      </c>
      <c r="N341" s="12" t="str">
        <f aca="false">VLOOKUP(M341,RECATALOGANDO!B:C,2,0)</f>
        <v>VENTA DE SERVICIO</v>
      </c>
      <c r="O341" s="2" t="s">
        <v>39</v>
      </c>
    </row>
    <row r="342" customFormat="false" ht="13.8" hidden="false" customHeight="false" outlineLevel="0" collapsed="false">
      <c r="A342" s="8" t="n">
        <v>45043</v>
      </c>
      <c r="B342" s="9" t="n">
        <f aca="false">DAY(A342)</f>
        <v>27</v>
      </c>
      <c r="C342" s="9" t="n">
        <f aca="false">MONTH(A342)</f>
        <v>4</v>
      </c>
      <c r="D342" s="9" t="n">
        <f aca="false">YEAR(A342)</f>
        <v>2023</v>
      </c>
      <c r="E342" s="9" t="n">
        <f aca="false">WEEKDAY(A342,2)</f>
        <v>4</v>
      </c>
      <c r="F342" s="10" t="n">
        <f aca="false">WEEKNUM(A342,2) - WEEKNUM(DATE(YEAR(A342),MONTH(A342),1),2) + 1</f>
        <v>5</v>
      </c>
      <c r="G342" s="10"/>
      <c r="H342" s="11" t="n">
        <v>2403</v>
      </c>
      <c r="I342" s="12" t="s">
        <v>20</v>
      </c>
      <c r="J342" s="12" t="s">
        <v>51</v>
      </c>
      <c r="K342" s="12"/>
      <c r="L342" s="9" t="n">
        <f aca="false">L341+H342</f>
        <v>68170.45</v>
      </c>
      <c r="M342" s="10" t="str">
        <f aca="false">VLOOKUP(J342,RECATALOGANDO!A:C,2,0)</f>
        <v>VENTA DE ALIMENTO</v>
      </c>
      <c r="N342" s="12" t="str">
        <f aca="false">VLOOKUP(M342,RECATALOGANDO!B:C,2,0)</f>
        <v>VENTA DE PRODUCTO</v>
      </c>
      <c r="O342" s="2" t="s">
        <v>39</v>
      </c>
    </row>
    <row r="343" customFormat="false" ht="13.8" hidden="false" customHeight="false" outlineLevel="0" collapsed="false">
      <c r="A343" s="8" t="n">
        <v>45043</v>
      </c>
      <c r="B343" s="9" t="n">
        <f aca="false">DAY(A343)</f>
        <v>27</v>
      </c>
      <c r="C343" s="9" t="n">
        <f aca="false">MONTH(A343)</f>
        <v>4</v>
      </c>
      <c r="D343" s="9" t="n">
        <f aca="false">YEAR(A343)</f>
        <v>2023</v>
      </c>
      <c r="E343" s="9" t="n">
        <f aca="false">WEEKDAY(A343,2)</f>
        <v>4</v>
      </c>
      <c r="F343" s="10" t="n">
        <f aca="false">WEEKNUM(A343,2) - WEEKNUM(DATE(YEAR(A343),MONTH(A343),1),2) + 1</f>
        <v>5</v>
      </c>
      <c r="G343" s="10"/>
      <c r="H343" s="11" t="n">
        <v>160</v>
      </c>
      <c r="I343" s="12" t="s">
        <v>20</v>
      </c>
      <c r="J343" s="12" t="s">
        <v>49</v>
      </c>
      <c r="K343" s="12"/>
      <c r="L343" s="9" t="n">
        <f aca="false">L342+H343</f>
        <v>68330.45</v>
      </c>
      <c r="M343" s="10" t="str">
        <f aca="false">VLOOKUP(J343,RECATALOGANDO!A:C,2,0)</f>
        <v>SERVICIO DE GROOMING</v>
      </c>
      <c r="N343" s="12" t="str">
        <f aca="false">VLOOKUP(M343,RECATALOGANDO!B:C,2,0)</f>
        <v>VENTA DE SERVICIO</v>
      </c>
      <c r="O343" s="2" t="s">
        <v>39</v>
      </c>
    </row>
    <row r="344" customFormat="false" ht="13.8" hidden="false" customHeight="false" outlineLevel="0" collapsed="false">
      <c r="A344" s="8" t="n">
        <v>45045</v>
      </c>
      <c r="B344" s="9" t="n">
        <f aca="false">DAY(A344)</f>
        <v>29</v>
      </c>
      <c r="C344" s="9" t="n">
        <f aca="false">MONTH(A344)</f>
        <v>4</v>
      </c>
      <c r="D344" s="9" t="n">
        <f aca="false">YEAR(A344)</f>
        <v>2023</v>
      </c>
      <c r="E344" s="9" t="n">
        <f aca="false">WEEKDAY(A344,2)</f>
        <v>6</v>
      </c>
      <c r="F344" s="10" t="n">
        <f aca="false">WEEKNUM(A344,2) - WEEKNUM(DATE(YEAR(A344),MONTH(A344),1),2) + 1</f>
        <v>5</v>
      </c>
      <c r="G344" s="10"/>
      <c r="H344" s="11" t="n">
        <v>424</v>
      </c>
      <c r="I344" s="12" t="s">
        <v>20</v>
      </c>
      <c r="J344" s="12" t="s">
        <v>45</v>
      </c>
      <c r="K344" s="12"/>
      <c r="L344" s="9" t="n">
        <f aca="false">L343+H344</f>
        <v>68754.45</v>
      </c>
      <c r="M344" s="10" t="str">
        <f aca="false">VLOOKUP(J344,RECATALOGANDO!A:C,2,0)</f>
        <v>VENTA DE MEDICAMENTO</v>
      </c>
      <c r="N344" s="12" t="str">
        <f aca="false">VLOOKUP(M344,RECATALOGANDO!B:C,2,0)</f>
        <v>VENTA DE PRODUCTO</v>
      </c>
      <c r="O344" s="2" t="s">
        <v>39</v>
      </c>
    </row>
    <row r="345" customFormat="false" ht="13.8" hidden="false" customHeight="false" outlineLevel="0" collapsed="false">
      <c r="A345" s="8" t="n">
        <v>45045</v>
      </c>
      <c r="B345" s="9" t="n">
        <f aca="false">DAY(A345)</f>
        <v>29</v>
      </c>
      <c r="C345" s="9" t="n">
        <f aca="false">MONTH(A345)</f>
        <v>4</v>
      </c>
      <c r="D345" s="9" t="n">
        <f aca="false">YEAR(A345)</f>
        <v>2023</v>
      </c>
      <c r="E345" s="9" t="n">
        <f aca="false">WEEKDAY(A345,2)</f>
        <v>6</v>
      </c>
      <c r="F345" s="10" t="n">
        <f aca="false">WEEKNUM(A345,2) - WEEKNUM(DATE(YEAR(A345),MONTH(A345),1),2) + 1</f>
        <v>5</v>
      </c>
      <c r="G345" s="10"/>
      <c r="H345" s="11" t="n">
        <v>1100</v>
      </c>
      <c r="I345" s="12" t="s">
        <v>20</v>
      </c>
      <c r="J345" s="12" t="s">
        <v>44</v>
      </c>
      <c r="K345" s="12"/>
      <c r="L345" s="9" t="n">
        <f aca="false">L344+H345</f>
        <v>69854.45</v>
      </c>
      <c r="M345" s="10" t="str">
        <f aca="false">VLOOKUP(J345,RECATALOGANDO!A:C,2,0)</f>
        <v>HONORARIOS MEDICOS</v>
      </c>
      <c r="N345" s="12" t="str">
        <f aca="false">VLOOKUP(M345,RECATALOGANDO!B:C,2,0)</f>
        <v>VENTA DE SERVICIO</v>
      </c>
      <c r="O345" s="2" t="s">
        <v>39</v>
      </c>
    </row>
    <row r="346" customFormat="false" ht="13.8" hidden="false" customHeight="false" outlineLevel="0" collapsed="false">
      <c r="A346" s="8" t="n">
        <v>45045</v>
      </c>
      <c r="B346" s="9" t="n">
        <f aca="false">DAY(A346)</f>
        <v>29</v>
      </c>
      <c r="C346" s="9" t="n">
        <f aca="false">MONTH(A346)</f>
        <v>4</v>
      </c>
      <c r="D346" s="9" t="n">
        <f aca="false">YEAR(A346)</f>
        <v>2023</v>
      </c>
      <c r="E346" s="9" t="n">
        <f aca="false">WEEKDAY(A346,2)</f>
        <v>6</v>
      </c>
      <c r="F346" s="10" t="n">
        <f aca="false">WEEKNUM(A346,2) - WEEKNUM(DATE(YEAR(A346),MONTH(A346),1),2) + 1</f>
        <v>5</v>
      </c>
      <c r="G346" s="10"/>
      <c r="H346" s="11" t="n">
        <v>2000</v>
      </c>
      <c r="I346" s="12" t="s">
        <v>20</v>
      </c>
      <c r="J346" s="12" t="s">
        <v>41</v>
      </c>
      <c r="K346" s="12"/>
      <c r="L346" s="9" t="n">
        <f aca="false">L345+H346</f>
        <v>71854.45</v>
      </c>
      <c r="M346" s="10" t="str">
        <f aca="false">VLOOKUP(J346,RECATALOGANDO!A:C,2,0)</f>
        <v>HONORARIOS QUIRURGICOS</v>
      </c>
      <c r="N346" s="12" t="str">
        <f aca="false">VLOOKUP(M346,RECATALOGANDO!B:C,2,0)</f>
        <v>VENTA DE SERVICIO</v>
      </c>
      <c r="O346" s="2" t="s">
        <v>39</v>
      </c>
    </row>
    <row r="347" customFormat="false" ht="13.8" hidden="false" customHeight="false" outlineLevel="0" collapsed="false">
      <c r="A347" s="8" t="n">
        <v>45045</v>
      </c>
      <c r="B347" s="9" t="n">
        <f aca="false">DAY(A347)</f>
        <v>29</v>
      </c>
      <c r="C347" s="9" t="n">
        <f aca="false">MONTH(A347)</f>
        <v>4</v>
      </c>
      <c r="D347" s="9" t="n">
        <f aca="false">YEAR(A347)</f>
        <v>2023</v>
      </c>
      <c r="E347" s="9" t="n">
        <f aca="false">WEEKDAY(A347,2)</f>
        <v>6</v>
      </c>
      <c r="F347" s="10" t="n">
        <f aca="false">WEEKNUM(A347,2) - WEEKNUM(DATE(YEAR(A347),MONTH(A347),1),2) + 1</f>
        <v>5</v>
      </c>
      <c r="G347" s="10"/>
      <c r="H347" s="11" t="n">
        <v>3600</v>
      </c>
      <c r="I347" s="12" t="s">
        <v>15</v>
      </c>
      <c r="J347" s="12" t="s">
        <v>57</v>
      </c>
      <c r="K347" s="12"/>
      <c r="L347" s="9" t="n">
        <f aca="false">L346+H347</f>
        <v>75454.45</v>
      </c>
      <c r="M347" s="10" t="str">
        <f aca="false">VLOOKUP(J347,RECATALOGANDO!A:C,2,0)</f>
        <v>SERVICIO DE CREMACION</v>
      </c>
      <c r="N347" s="12" t="str">
        <f aca="false">VLOOKUP(M347,RECATALOGANDO!B:C,2,0)</f>
        <v>VENTA DE SERVICIO</v>
      </c>
      <c r="O347" s="2" t="s">
        <v>39</v>
      </c>
    </row>
    <row r="348" customFormat="false" ht="13.8" hidden="false" customHeight="false" outlineLevel="0" collapsed="false">
      <c r="A348" s="8" t="n">
        <v>45045</v>
      </c>
      <c r="B348" s="9" t="n">
        <f aca="false">DAY(A348)</f>
        <v>29</v>
      </c>
      <c r="C348" s="9" t="n">
        <f aca="false">MONTH(A348)</f>
        <v>4</v>
      </c>
      <c r="D348" s="9" t="n">
        <f aca="false">YEAR(A348)</f>
        <v>2023</v>
      </c>
      <c r="E348" s="9" t="n">
        <f aca="false">WEEKDAY(A348,2)</f>
        <v>6</v>
      </c>
      <c r="F348" s="10" t="n">
        <f aca="false">WEEKNUM(A348,2) - WEEKNUM(DATE(YEAR(A348),MONTH(A348),1),2) + 1</f>
        <v>5</v>
      </c>
      <c r="G348" s="10"/>
      <c r="H348" s="11" t="n">
        <v>3781.22</v>
      </c>
      <c r="I348" s="12" t="s">
        <v>15</v>
      </c>
      <c r="J348" s="12" t="s">
        <v>47</v>
      </c>
      <c r="K348" s="12"/>
      <c r="L348" s="9" t="n">
        <f aca="false">L347+H348</f>
        <v>79235.67</v>
      </c>
      <c r="M348" s="10" t="str">
        <f aca="false">VLOOKUP(J348,RECATALOGANDO!A:C,2,0)</f>
        <v>SERVICIO DE PENSION</v>
      </c>
      <c r="N348" s="12" t="str">
        <f aca="false">VLOOKUP(M348,RECATALOGANDO!B:C,2,0)</f>
        <v>VENTA DE SERVICIO</v>
      </c>
      <c r="O348" s="2" t="s">
        <v>39</v>
      </c>
    </row>
    <row r="349" customFormat="false" ht="13.8" hidden="false" customHeight="false" outlineLevel="0" collapsed="false">
      <c r="A349" s="8" t="n">
        <v>45046</v>
      </c>
      <c r="B349" s="9" t="n">
        <f aca="false">DAY(A349)</f>
        <v>30</v>
      </c>
      <c r="C349" s="9" t="n">
        <f aca="false">MONTH(A349)</f>
        <v>4</v>
      </c>
      <c r="D349" s="9" t="n">
        <f aca="false">YEAR(A349)</f>
        <v>2023</v>
      </c>
      <c r="E349" s="9" t="n">
        <f aca="false">WEEKDAY(A349,2)</f>
        <v>7</v>
      </c>
      <c r="F349" s="10" t="n">
        <f aca="false">WEEKNUM(A349,2) - WEEKNUM(DATE(YEAR(A349),MONTH(A349),1),2) + 1</f>
        <v>5</v>
      </c>
      <c r="G349" s="10"/>
      <c r="H349" s="11" t="n">
        <v>277.89</v>
      </c>
      <c r="I349" s="12" t="s">
        <v>15</v>
      </c>
      <c r="J349" s="12" t="s">
        <v>49</v>
      </c>
      <c r="K349" s="12"/>
      <c r="L349" s="9" t="n">
        <f aca="false">L348+H349</f>
        <v>79513.56</v>
      </c>
      <c r="M349" s="10" t="str">
        <f aca="false">VLOOKUP(J349,RECATALOGANDO!A:C,2,0)</f>
        <v>SERVICIO DE GROOMING</v>
      </c>
      <c r="N349" s="12" t="str">
        <f aca="false">VLOOKUP(M349,RECATALOGANDO!B:C,2,0)</f>
        <v>VENTA DE SERVICIO</v>
      </c>
      <c r="O349" s="2" t="s">
        <v>39</v>
      </c>
    </row>
    <row r="350" customFormat="false" ht="13.8" hidden="false" customHeight="false" outlineLevel="0" collapsed="false">
      <c r="A350" s="8" t="n">
        <v>45046</v>
      </c>
      <c r="B350" s="9" t="n">
        <f aca="false">DAY(A350)</f>
        <v>30</v>
      </c>
      <c r="C350" s="9" t="n">
        <f aca="false">MONTH(A350)</f>
        <v>4</v>
      </c>
      <c r="D350" s="9" t="n">
        <f aca="false">YEAR(A350)</f>
        <v>2023</v>
      </c>
      <c r="E350" s="9" t="n">
        <f aca="false">WEEKDAY(A350,2)</f>
        <v>7</v>
      </c>
      <c r="F350" s="10" t="n">
        <f aca="false">WEEKNUM(A350,2) - WEEKNUM(DATE(YEAR(A350),MONTH(A350),1),2) + 1</f>
        <v>5</v>
      </c>
      <c r="G350" s="10"/>
      <c r="H350" s="11" t="n">
        <v>465</v>
      </c>
      <c r="I350" s="12" t="s">
        <v>15</v>
      </c>
      <c r="J350" s="12" t="s">
        <v>44</v>
      </c>
      <c r="K350" s="12"/>
      <c r="L350" s="9" t="n">
        <f aca="false">L349+H350</f>
        <v>79978.56</v>
      </c>
      <c r="M350" s="10" t="str">
        <f aca="false">VLOOKUP(J350,RECATALOGANDO!A:C,2,0)</f>
        <v>HONORARIOS MEDICOS</v>
      </c>
      <c r="N350" s="12" t="str">
        <f aca="false">VLOOKUP(M350,RECATALOGANDO!B:C,2,0)</f>
        <v>VENTA DE SERVICIO</v>
      </c>
      <c r="O350" s="2" t="s">
        <v>39</v>
      </c>
    </row>
    <row r="351" customFormat="false" ht="13.8" hidden="false" customHeight="false" outlineLevel="0" collapsed="false">
      <c r="A351" s="8" t="n">
        <v>45048</v>
      </c>
      <c r="B351" s="9" t="n">
        <f aca="false">DAY(A351)</f>
        <v>2</v>
      </c>
      <c r="C351" s="9" t="n">
        <f aca="false">MONTH(A351)</f>
        <v>5</v>
      </c>
      <c r="D351" s="9" t="n">
        <f aca="false">YEAR(A351)</f>
        <v>2023</v>
      </c>
      <c r="E351" s="9" t="n">
        <f aca="false">WEEKDAY(A351,2)</f>
        <v>2</v>
      </c>
      <c r="F351" s="10" t="n">
        <f aca="false">WEEKNUM(A351,2) - WEEKNUM(DATE(YEAR(A351),MONTH(A351),1),2) + 1</f>
        <v>1</v>
      </c>
      <c r="G351" s="10"/>
      <c r="H351" s="11" t="n">
        <v>424</v>
      </c>
      <c r="I351" s="12" t="s">
        <v>20</v>
      </c>
      <c r="J351" s="12" t="s">
        <v>45</v>
      </c>
      <c r="K351" s="12"/>
      <c r="L351" s="9" t="n">
        <f aca="false">H351</f>
        <v>424</v>
      </c>
      <c r="M351" s="10" t="str">
        <f aca="false">VLOOKUP(J351,RECATALOGANDO!A:C,2,0)</f>
        <v>VENTA DE MEDICAMENTO</v>
      </c>
      <c r="N351" s="12" t="str">
        <f aca="false">VLOOKUP(M351,RECATALOGANDO!B:C,2,0)</f>
        <v>VENTA DE PRODUCTO</v>
      </c>
      <c r="O351" s="2" t="s">
        <v>39</v>
      </c>
    </row>
    <row r="352" customFormat="false" ht="13.8" hidden="false" customHeight="false" outlineLevel="0" collapsed="false">
      <c r="A352" s="8" t="n">
        <v>45048</v>
      </c>
      <c r="B352" s="9" t="n">
        <f aca="false">DAY(A352)</f>
        <v>2</v>
      </c>
      <c r="C352" s="9" t="n">
        <f aca="false">MONTH(A352)</f>
        <v>5</v>
      </c>
      <c r="D352" s="9" t="n">
        <f aca="false">YEAR(A352)</f>
        <v>2023</v>
      </c>
      <c r="E352" s="9" t="n">
        <f aca="false">WEEKDAY(A352,2)</f>
        <v>2</v>
      </c>
      <c r="F352" s="10" t="n">
        <f aca="false">WEEKNUM(A352,2) - WEEKNUM(DATE(YEAR(A352),MONTH(A352),1),2) + 1</f>
        <v>1</v>
      </c>
      <c r="G352" s="10"/>
      <c r="H352" s="11" t="n">
        <v>815</v>
      </c>
      <c r="I352" s="12" t="s">
        <v>15</v>
      </c>
      <c r="J352" s="12" t="s">
        <v>51</v>
      </c>
      <c r="K352" s="12"/>
      <c r="L352" s="9" t="n">
        <f aca="false">L351+H352</f>
        <v>1239</v>
      </c>
      <c r="M352" s="10" t="str">
        <f aca="false">VLOOKUP(J352,RECATALOGANDO!A:C,2,0)</f>
        <v>VENTA DE ALIMENTO</v>
      </c>
      <c r="N352" s="12" t="str">
        <f aca="false">VLOOKUP(M352,RECATALOGANDO!B:C,2,0)</f>
        <v>VENTA DE PRODUCTO</v>
      </c>
      <c r="O352" s="2" t="s">
        <v>39</v>
      </c>
    </row>
    <row r="353" customFormat="false" ht="13.8" hidden="false" customHeight="false" outlineLevel="0" collapsed="false">
      <c r="A353" s="8" t="n">
        <v>45048</v>
      </c>
      <c r="B353" s="9" t="n">
        <f aca="false">DAY(A353)</f>
        <v>2</v>
      </c>
      <c r="C353" s="9" t="n">
        <f aca="false">MONTH(A353)</f>
        <v>5</v>
      </c>
      <c r="D353" s="9" t="n">
        <f aca="false">YEAR(A353)</f>
        <v>2023</v>
      </c>
      <c r="E353" s="9" t="n">
        <f aca="false">WEEKDAY(A353,2)</f>
        <v>2</v>
      </c>
      <c r="F353" s="10" t="n">
        <f aca="false">WEEKNUM(A353,2) - WEEKNUM(DATE(YEAR(A353),MONTH(A353),1),2) + 1</f>
        <v>1</v>
      </c>
      <c r="G353" s="10"/>
      <c r="H353" s="11" t="n">
        <v>1100</v>
      </c>
      <c r="I353" s="12" t="s">
        <v>20</v>
      </c>
      <c r="J353" s="12" t="s">
        <v>45</v>
      </c>
      <c r="K353" s="12"/>
      <c r="L353" s="9" t="n">
        <f aca="false">L352+H353</f>
        <v>2339</v>
      </c>
      <c r="M353" s="10" t="str">
        <f aca="false">VLOOKUP(J353,RECATALOGANDO!A:C,2,0)</f>
        <v>VENTA DE MEDICAMENTO</v>
      </c>
      <c r="N353" s="12" t="str">
        <f aca="false">VLOOKUP(M353,RECATALOGANDO!B:C,2,0)</f>
        <v>VENTA DE PRODUCTO</v>
      </c>
      <c r="O353" s="2" t="s">
        <v>39</v>
      </c>
    </row>
    <row r="354" customFormat="false" ht="13.8" hidden="false" customHeight="false" outlineLevel="0" collapsed="false">
      <c r="A354" s="8" t="n">
        <v>45048</v>
      </c>
      <c r="B354" s="9" t="n">
        <f aca="false">DAY(A354)</f>
        <v>2</v>
      </c>
      <c r="C354" s="9" t="n">
        <f aca="false">MONTH(A354)</f>
        <v>5</v>
      </c>
      <c r="D354" s="9" t="n">
        <f aca="false">YEAR(A354)</f>
        <v>2023</v>
      </c>
      <c r="E354" s="9" t="n">
        <f aca="false">WEEKDAY(A354,2)</f>
        <v>2</v>
      </c>
      <c r="F354" s="10" t="n">
        <f aca="false">WEEKNUM(A354,2) - WEEKNUM(DATE(YEAR(A354),MONTH(A354),1),2) + 1</f>
        <v>1</v>
      </c>
      <c r="G354" s="10"/>
      <c r="H354" s="11" t="n">
        <v>2000</v>
      </c>
      <c r="I354" s="12" t="s">
        <v>20</v>
      </c>
      <c r="J354" s="12" t="s">
        <v>41</v>
      </c>
      <c r="K354" s="12"/>
      <c r="L354" s="9" t="n">
        <f aca="false">L353+H354</f>
        <v>4339</v>
      </c>
      <c r="M354" s="10" t="str">
        <f aca="false">VLOOKUP(J354,RECATALOGANDO!A:C,2,0)</f>
        <v>HONORARIOS QUIRURGICOS</v>
      </c>
      <c r="N354" s="12" t="str">
        <f aca="false">VLOOKUP(M354,RECATALOGANDO!B:C,2,0)</f>
        <v>VENTA DE SERVICIO</v>
      </c>
      <c r="O354" s="2" t="s">
        <v>39</v>
      </c>
    </row>
    <row r="355" customFormat="false" ht="13.8" hidden="false" customHeight="false" outlineLevel="0" collapsed="false">
      <c r="A355" s="8" t="n">
        <v>45048</v>
      </c>
      <c r="B355" s="9" t="n">
        <f aca="false">DAY(A355)</f>
        <v>2</v>
      </c>
      <c r="C355" s="9" t="n">
        <f aca="false">MONTH(A355)</f>
        <v>5</v>
      </c>
      <c r="D355" s="9" t="n">
        <f aca="false">YEAR(A355)</f>
        <v>2023</v>
      </c>
      <c r="E355" s="9" t="n">
        <f aca="false">WEEKDAY(A355,2)</f>
        <v>2</v>
      </c>
      <c r="F355" s="10" t="n">
        <f aca="false">WEEKNUM(A355,2) - WEEKNUM(DATE(YEAR(A355),MONTH(A355),1),2) + 1</f>
        <v>1</v>
      </c>
      <c r="G355" s="10"/>
      <c r="H355" s="11" t="n">
        <v>2530.71</v>
      </c>
      <c r="I355" s="12" t="s">
        <v>15</v>
      </c>
      <c r="J355" s="12" t="s">
        <v>41</v>
      </c>
      <c r="K355" s="12"/>
      <c r="L355" s="9" t="n">
        <f aca="false">L354+H355</f>
        <v>6869.71</v>
      </c>
      <c r="M355" s="10" t="str">
        <f aca="false">VLOOKUP(J355,RECATALOGANDO!A:C,2,0)</f>
        <v>HONORARIOS QUIRURGICOS</v>
      </c>
      <c r="N355" s="12" t="str">
        <f aca="false">VLOOKUP(M355,RECATALOGANDO!B:C,2,0)</f>
        <v>VENTA DE SERVICIO</v>
      </c>
      <c r="O355" s="2" t="s">
        <v>39</v>
      </c>
    </row>
    <row r="356" customFormat="false" ht="13.8" hidden="false" customHeight="false" outlineLevel="0" collapsed="false">
      <c r="A356" s="8" t="n">
        <v>45049</v>
      </c>
      <c r="B356" s="9" t="n">
        <f aca="false">DAY(A356)</f>
        <v>3</v>
      </c>
      <c r="C356" s="9" t="n">
        <f aca="false">MONTH(A356)</f>
        <v>5</v>
      </c>
      <c r="D356" s="9" t="n">
        <f aca="false">YEAR(A356)</f>
        <v>2023</v>
      </c>
      <c r="E356" s="9" t="n">
        <f aca="false">WEEKDAY(A356,2)</f>
        <v>3</v>
      </c>
      <c r="F356" s="10" t="n">
        <f aca="false">WEEKNUM(A356,2) - WEEKNUM(DATE(YEAR(A356),MONTH(A356),1),2) + 1</f>
        <v>1</v>
      </c>
      <c r="G356" s="10"/>
      <c r="H356" s="11" t="n">
        <v>587.4</v>
      </c>
      <c r="I356" s="12" t="s">
        <v>15</v>
      </c>
      <c r="J356" s="12" t="s">
        <v>51</v>
      </c>
      <c r="K356" s="12"/>
      <c r="L356" s="9" t="n">
        <f aca="false">L355+H356</f>
        <v>7457.11</v>
      </c>
      <c r="M356" s="10" t="str">
        <f aca="false">VLOOKUP(J356,RECATALOGANDO!A:C,2,0)</f>
        <v>VENTA DE ALIMENTO</v>
      </c>
      <c r="N356" s="12" t="str">
        <f aca="false">VLOOKUP(M356,RECATALOGANDO!B:C,2,0)</f>
        <v>VENTA DE PRODUCTO</v>
      </c>
      <c r="O356" s="2" t="s">
        <v>39</v>
      </c>
    </row>
    <row r="357" customFormat="false" ht="13.8" hidden="false" customHeight="false" outlineLevel="0" collapsed="false">
      <c r="A357" s="8" t="n">
        <v>45050</v>
      </c>
      <c r="B357" s="9" t="n">
        <f aca="false">DAY(A357)</f>
        <v>4</v>
      </c>
      <c r="C357" s="9" t="n">
        <f aca="false">MONTH(A357)</f>
        <v>5</v>
      </c>
      <c r="D357" s="9" t="n">
        <f aca="false">YEAR(A357)</f>
        <v>2023</v>
      </c>
      <c r="E357" s="9" t="n">
        <f aca="false">WEEKDAY(A357,2)</f>
        <v>4</v>
      </c>
      <c r="F357" s="10" t="n">
        <f aca="false">WEEKNUM(A357,2) - WEEKNUM(DATE(YEAR(A357),MONTH(A357),1),2) + 1</f>
        <v>1</v>
      </c>
      <c r="G357" s="10"/>
      <c r="H357" s="11" t="n">
        <v>820</v>
      </c>
      <c r="I357" s="12" t="s">
        <v>20</v>
      </c>
      <c r="J357" s="12" t="s">
        <v>45</v>
      </c>
      <c r="K357" s="12"/>
      <c r="L357" s="9" t="n">
        <f aca="false">L356+H357</f>
        <v>8277.11</v>
      </c>
      <c r="M357" s="10" t="str">
        <f aca="false">VLOOKUP(J357,RECATALOGANDO!A:C,2,0)</f>
        <v>VENTA DE MEDICAMENTO</v>
      </c>
      <c r="N357" s="12" t="str">
        <f aca="false">VLOOKUP(M357,RECATALOGANDO!B:C,2,0)</f>
        <v>VENTA DE PRODUCTO</v>
      </c>
      <c r="O357" s="2" t="s">
        <v>39</v>
      </c>
    </row>
    <row r="358" customFormat="false" ht="13.8" hidden="false" customHeight="false" outlineLevel="0" collapsed="false">
      <c r="A358" s="8" t="n">
        <v>45050</v>
      </c>
      <c r="B358" s="9" t="n">
        <f aca="false">DAY(A358)</f>
        <v>4</v>
      </c>
      <c r="C358" s="9" t="n">
        <f aca="false">MONTH(A358)</f>
        <v>5</v>
      </c>
      <c r="D358" s="9" t="n">
        <f aca="false">YEAR(A358)</f>
        <v>2023</v>
      </c>
      <c r="E358" s="9" t="n">
        <f aca="false">WEEKDAY(A358,2)</f>
        <v>4</v>
      </c>
      <c r="F358" s="10" t="n">
        <f aca="false">WEEKNUM(A358,2) - WEEKNUM(DATE(YEAR(A358),MONTH(A358),1),2) + 1</f>
        <v>1</v>
      </c>
      <c r="G358" s="10"/>
      <c r="H358" s="11" t="n">
        <v>300</v>
      </c>
      <c r="I358" s="12" t="s">
        <v>20</v>
      </c>
      <c r="J358" s="12" t="s">
        <v>53</v>
      </c>
      <c r="K358" s="12"/>
      <c r="L358" s="9" t="n">
        <f aca="false">L357+H358</f>
        <v>8577.11</v>
      </c>
      <c r="M358" s="10" t="str">
        <f aca="false">VLOOKUP(J358,RECATALOGANDO!A:C,2,0)</f>
        <v>SERVICIO DE GROOMING</v>
      </c>
      <c r="N358" s="12" t="str">
        <f aca="false">VLOOKUP(M358,RECATALOGANDO!B:C,2,0)</f>
        <v>VENTA DE SERVICIO</v>
      </c>
      <c r="O358" s="2" t="s">
        <v>39</v>
      </c>
    </row>
    <row r="359" customFormat="false" ht="13.8" hidden="false" customHeight="false" outlineLevel="0" collapsed="false">
      <c r="A359" s="8" t="n">
        <v>45050</v>
      </c>
      <c r="B359" s="9" t="n">
        <f aca="false">DAY(A359)</f>
        <v>4</v>
      </c>
      <c r="C359" s="9" t="n">
        <f aca="false">MONTH(A359)</f>
        <v>5</v>
      </c>
      <c r="D359" s="9" t="n">
        <f aca="false">YEAR(A359)</f>
        <v>2023</v>
      </c>
      <c r="E359" s="9" t="n">
        <f aca="false">WEEKDAY(A359,2)</f>
        <v>4</v>
      </c>
      <c r="F359" s="10" t="n">
        <f aca="false">WEEKNUM(A359,2) - WEEKNUM(DATE(YEAR(A359),MONTH(A359),1),2) + 1</f>
        <v>1</v>
      </c>
      <c r="G359" s="10"/>
      <c r="H359" s="11" t="n">
        <v>1045</v>
      </c>
      <c r="I359" s="12" t="s">
        <v>15</v>
      </c>
      <c r="J359" s="12" t="s">
        <v>58</v>
      </c>
      <c r="K359" s="12"/>
      <c r="L359" s="9" t="e">
        <f aca="false">#REF!+H359</f>
        <v>#REF!</v>
      </c>
      <c r="M359" s="10" t="str">
        <f aca="false">VLOOKUP(J359,RECATALOGANDO!A:C,2,0)</f>
        <v>SERVICIO DE LABORATORIO</v>
      </c>
      <c r="N359" s="12" t="str">
        <f aca="false">VLOOKUP(M359,RECATALOGANDO!B:C,2,0)</f>
        <v>VENTA DE SERVICIO</v>
      </c>
      <c r="O359" s="2" t="s">
        <v>39</v>
      </c>
    </row>
    <row r="360" customFormat="false" ht="13.8" hidden="false" customHeight="false" outlineLevel="0" collapsed="false">
      <c r="A360" s="8" t="n">
        <v>45051</v>
      </c>
      <c r="B360" s="9" t="n">
        <f aca="false">DAY(A360)</f>
        <v>5</v>
      </c>
      <c r="C360" s="9" t="n">
        <f aca="false">MONTH(A360)</f>
        <v>5</v>
      </c>
      <c r="D360" s="9" t="n">
        <f aca="false">YEAR(A360)</f>
        <v>2023</v>
      </c>
      <c r="E360" s="9" t="n">
        <f aca="false">WEEKDAY(A360,2)</f>
        <v>5</v>
      </c>
      <c r="F360" s="10" t="n">
        <f aca="false">WEEKNUM(A360,2) - WEEKNUM(DATE(YEAR(A360),MONTH(A360),1),2) + 1</f>
        <v>1</v>
      </c>
      <c r="G360" s="10"/>
      <c r="H360" s="11" t="n">
        <v>500</v>
      </c>
      <c r="I360" s="12" t="s">
        <v>20</v>
      </c>
      <c r="J360" s="12" t="s">
        <v>45</v>
      </c>
      <c r="K360" s="12"/>
      <c r="L360" s="9" t="e">
        <f aca="false">L359+H360</f>
        <v>#REF!</v>
      </c>
      <c r="M360" s="10" t="str">
        <f aca="false">VLOOKUP(J360,RECATALOGANDO!A:C,2,0)</f>
        <v>VENTA DE MEDICAMENTO</v>
      </c>
      <c r="N360" s="12" t="str">
        <f aca="false">VLOOKUP(M360,RECATALOGANDO!B:C,2,0)</f>
        <v>VENTA DE PRODUCTO</v>
      </c>
      <c r="O360" s="2" t="s">
        <v>39</v>
      </c>
    </row>
    <row r="361" customFormat="false" ht="13.8" hidden="false" customHeight="false" outlineLevel="0" collapsed="false">
      <c r="A361" s="8" t="n">
        <v>45051</v>
      </c>
      <c r="B361" s="9" t="n">
        <f aca="false">DAY(A361)</f>
        <v>5</v>
      </c>
      <c r="C361" s="9" t="n">
        <f aca="false">MONTH(A361)</f>
        <v>5</v>
      </c>
      <c r="D361" s="9" t="n">
        <f aca="false">YEAR(A361)</f>
        <v>2023</v>
      </c>
      <c r="E361" s="9" t="n">
        <f aca="false">WEEKDAY(A361,2)</f>
        <v>5</v>
      </c>
      <c r="F361" s="10" t="n">
        <f aca="false">WEEKNUM(A361,2) - WEEKNUM(DATE(YEAR(A361),MONTH(A361),1),2) + 1</f>
        <v>1</v>
      </c>
      <c r="G361" s="10"/>
      <c r="H361" s="11" t="n">
        <v>364</v>
      </c>
      <c r="I361" s="12" t="s">
        <v>20</v>
      </c>
      <c r="J361" s="12" t="s">
        <v>44</v>
      </c>
      <c r="K361" s="12"/>
      <c r="L361" s="9" t="e">
        <f aca="false">L360+H361</f>
        <v>#REF!</v>
      </c>
      <c r="M361" s="10" t="str">
        <f aca="false">VLOOKUP(J361,RECATALOGANDO!A:C,2,0)</f>
        <v>HONORARIOS MEDICOS</v>
      </c>
      <c r="N361" s="12" t="str">
        <f aca="false">VLOOKUP(M361,RECATALOGANDO!B:C,2,0)</f>
        <v>VENTA DE SERVICIO</v>
      </c>
      <c r="O361" s="2" t="s">
        <v>39</v>
      </c>
    </row>
    <row r="362" customFormat="false" ht="13.8" hidden="false" customHeight="false" outlineLevel="0" collapsed="false">
      <c r="A362" s="8" t="n">
        <v>45054</v>
      </c>
      <c r="B362" s="9" t="n">
        <f aca="false">DAY(A362)</f>
        <v>8</v>
      </c>
      <c r="C362" s="9" t="n">
        <f aca="false">MONTH(A362)</f>
        <v>5</v>
      </c>
      <c r="D362" s="9" t="n">
        <f aca="false">YEAR(A362)</f>
        <v>2023</v>
      </c>
      <c r="E362" s="9" t="n">
        <f aca="false">WEEKDAY(A362,2)</f>
        <v>1</v>
      </c>
      <c r="F362" s="10" t="n">
        <f aca="false">WEEKNUM(A362,2) - WEEKNUM(DATE(YEAR(A362),MONTH(A362),1),2) + 1</f>
        <v>2</v>
      </c>
      <c r="G362" s="10"/>
      <c r="H362" s="11" t="n">
        <v>230</v>
      </c>
      <c r="I362" s="12" t="s">
        <v>20</v>
      </c>
      <c r="J362" s="12" t="s">
        <v>53</v>
      </c>
      <c r="K362" s="12"/>
      <c r="L362" s="9" t="e">
        <f aca="false">L361+H362</f>
        <v>#REF!</v>
      </c>
      <c r="M362" s="10" t="str">
        <f aca="false">VLOOKUP(J362,RECATALOGANDO!A:C,2,0)</f>
        <v>SERVICIO DE GROOMING</v>
      </c>
      <c r="N362" s="12" t="str">
        <f aca="false">VLOOKUP(M362,RECATALOGANDO!B:C,2,0)</f>
        <v>VENTA DE SERVICIO</v>
      </c>
      <c r="O362" s="2" t="s">
        <v>39</v>
      </c>
    </row>
    <row r="363" customFormat="false" ht="13.8" hidden="false" customHeight="false" outlineLevel="0" collapsed="false">
      <c r="A363" s="8" t="n">
        <v>45054</v>
      </c>
      <c r="B363" s="9" t="n">
        <f aca="false">DAY(A363)</f>
        <v>8</v>
      </c>
      <c r="C363" s="9" t="n">
        <f aca="false">MONTH(A363)</f>
        <v>5</v>
      </c>
      <c r="D363" s="9" t="n">
        <f aca="false">YEAR(A363)</f>
        <v>2023</v>
      </c>
      <c r="E363" s="9" t="n">
        <f aca="false">WEEKDAY(A363,2)</f>
        <v>1</v>
      </c>
      <c r="F363" s="10" t="n">
        <f aca="false">WEEKNUM(A363,2) - WEEKNUM(DATE(YEAR(A363),MONTH(A363),1),2) + 1</f>
        <v>2</v>
      </c>
      <c r="G363" s="10"/>
      <c r="H363" s="11" t="n">
        <v>900</v>
      </c>
      <c r="I363" s="12" t="s">
        <v>20</v>
      </c>
      <c r="J363" s="12" t="s">
        <v>57</v>
      </c>
      <c r="K363" s="12"/>
      <c r="L363" s="9" t="e">
        <f aca="false">L362+H363</f>
        <v>#REF!</v>
      </c>
      <c r="M363" s="10" t="str">
        <f aca="false">VLOOKUP(J363,RECATALOGANDO!A:C,2,0)</f>
        <v>SERVICIO DE CREMACION</v>
      </c>
      <c r="N363" s="12" t="str">
        <f aca="false">VLOOKUP(M363,RECATALOGANDO!B:C,2,0)</f>
        <v>VENTA DE SERVICIO</v>
      </c>
      <c r="O363" s="2" t="s">
        <v>39</v>
      </c>
    </row>
    <row r="364" customFormat="false" ht="13.8" hidden="false" customHeight="false" outlineLevel="0" collapsed="false">
      <c r="A364" s="8" t="n">
        <v>45054</v>
      </c>
      <c r="B364" s="9" t="n">
        <f aca="false">DAY(A364)</f>
        <v>8</v>
      </c>
      <c r="C364" s="9" t="n">
        <f aca="false">MONTH(A364)</f>
        <v>5</v>
      </c>
      <c r="D364" s="9" t="n">
        <f aca="false">YEAR(A364)</f>
        <v>2023</v>
      </c>
      <c r="E364" s="9" t="n">
        <f aca="false">WEEKDAY(A364,2)</f>
        <v>1</v>
      </c>
      <c r="F364" s="10" t="n">
        <f aca="false">WEEKNUM(A364,2) - WEEKNUM(DATE(YEAR(A364),MONTH(A364),1),2) + 1</f>
        <v>2</v>
      </c>
      <c r="G364" s="10"/>
      <c r="H364" s="11" t="n">
        <v>3414</v>
      </c>
      <c r="I364" s="12" t="s">
        <v>20</v>
      </c>
      <c r="J364" s="12" t="s">
        <v>57</v>
      </c>
      <c r="K364" s="12"/>
      <c r="L364" s="9" t="e">
        <f aca="false">L363+H364</f>
        <v>#REF!</v>
      </c>
      <c r="M364" s="10" t="str">
        <f aca="false">VLOOKUP(J364,RECATALOGANDO!A:C,2,0)</f>
        <v>SERVICIO DE CREMACION</v>
      </c>
      <c r="N364" s="12" t="str">
        <f aca="false">VLOOKUP(M364,RECATALOGANDO!B:C,2,0)</f>
        <v>VENTA DE SERVICIO</v>
      </c>
      <c r="O364" s="2" t="s">
        <v>39</v>
      </c>
    </row>
    <row r="365" customFormat="false" ht="13.8" hidden="false" customHeight="false" outlineLevel="0" collapsed="false">
      <c r="A365" s="8" t="n">
        <v>45055</v>
      </c>
      <c r="B365" s="9" t="n">
        <f aca="false">DAY(A365)</f>
        <v>9</v>
      </c>
      <c r="C365" s="9" t="n">
        <f aca="false">MONTH(A365)</f>
        <v>5</v>
      </c>
      <c r="D365" s="9" t="n">
        <f aca="false">YEAR(A365)</f>
        <v>2023</v>
      </c>
      <c r="E365" s="9" t="n">
        <f aca="false">WEEKDAY(A365,2)</f>
        <v>2</v>
      </c>
      <c r="F365" s="10" t="n">
        <f aca="false">WEEKNUM(A365,2) - WEEKNUM(DATE(YEAR(A365),MONTH(A365),1),2) + 1</f>
        <v>2</v>
      </c>
      <c r="G365" s="10"/>
      <c r="H365" s="11" t="n">
        <v>2136.88</v>
      </c>
      <c r="I365" s="12" t="s">
        <v>15</v>
      </c>
      <c r="J365" s="12" t="s">
        <v>51</v>
      </c>
      <c r="K365" s="12"/>
      <c r="L365" s="9" t="e">
        <f aca="false">L364+H365</f>
        <v>#REF!</v>
      </c>
      <c r="M365" s="10" t="str">
        <f aca="false">VLOOKUP(J365,RECATALOGANDO!A:C,2,0)</f>
        <v>VENTA DE ALIMENTO</v>
      </c>
      <c r="N365" s="12" t="str">
        <f aca="false">VLOOKUP(M365,RECATALOGANDO!B:C,2,0)</f>
        <v>VENTA DE PRODUCTO</v>
      </c>
      <c r="O365" s="2" t="s">
        <v>39</v>
      </c>
    </row>
    <row r="366" customFormat="false" ht="13.8" hidden="false" customHeight="false" outlineLevel="0" collapsed="false">
      <c r="A366" s="8" t="n">
        <v>45057</v>
      </c>
      <c r="B366" s="9" t="n">
        <f aca="false">DAY(A366)</f>
        <v>11</v>
      </c>
      <c r="C366" s="9" t="n">
        <f aca="false">MONTH(A366)</f>
        <v>5</v>
      </c>
      <c r="D366" s="9" t="n">
        <f aca="false">YEAR(A366)</f>
        <v>2023</v>
      </c>
      <c r="E366" s="9" t="n">
        <f aca="false">WEEKDAY(A366,2)</f>
        <v>4</v>
      </c>
      <c r="F366" s="10" t="n">
        <f aca="false">WEEKNUM(A366,2) - WEEKNUM(DATE(YEAR(A366),MONTH(A366),1),2) + 1</f>
        <v>2</v>
      </c>
      <c r="G366" s="10"/>
      <c r="H366" s="11" t="n">
        <v>250</v>
      </c>
      <c r="I366" s="12" t="s">
        <v>15</v>
      </c>
      <c r="J366" s="12" t="s">
        <v>44</v>
      </c>
      <c r="K366" s="12"/>
      <c r="L366" s="9" t="e">
        <f aca="false">L365+H366</f>
        <v>#REF!</v>
      </c>
      <c r="M366" s="10" t="str">
        <f aca="false">VLOOKUP(J366,RECATALOGANDO!A:C,2,0)</f>
        <v>HONORARIOS MEDICOS</v>
      </c>
      <c r="N366" s="12" t="str">
        <f aca="false">VLOOKUP(M366,RECATALOGANDO!B:C,2,0)</f>
        <v>VENTA DE SERVICIO</v>
      </c>
      <c r="O366" s="2" t="s">
        <v>39</v>
      </c>
    </row>
    <row r="367" customFormat="false" ht="13.8" hidden="false" customHeight="false" outlineLevel="0" collapsed="false">
      <c r="A367" s="8" t="n">
        <v>45058</v>
      </c>
      <c r="B367" s="9" t="n">
        <f aca="false">DAY(A367)</f>
        <v>12</v>
      </c>
      <c r="C367" s="9" t="n">
        <f aca="false">MONTH(A367)</f>
        <v>5</v>
      </c>
      <c r="D367" s="9" t="n">
        <f aca="false">YEAR(A367)</f>
        <v>2023</v>
      </c>
      <c r="E367" s="9" t="n">
        <f aca="false">WEEKDAY(A367,2)</f>
        <v>5</v>
      </c>
      <c r="F367" s="10" t="n">
        <f aca="false">WEEKNUM(A367,2) - WEEKNUM(DATE(YEAR(A367),MONTH(A367),1),2) + 1</f>
        <v>2</v>
      </c>
      <c r="G367" s="10"/>
      <c r="H367" s="11" t="n">
        <v>188.95</v>
      </c>
      <c r="I367" s="12" t="s">
        <v>15</v>
      </c>
      <c r="J367" s="12" t="s">
        <v>53</v>
      </c>
      <c r="K367" s="12"/>
      <c r="L367" s="9" t="e">
        <f aca="false">L366+H367</f>
        <v>#REF!</v>
      </c>
      <c r="M367" s="10" t="str">
        <f aca="false">VLOOKUP(J367,RECATALOGANDO!A:C,2,0)</f>
        <v>SERVICIO DE GROOMING</v>
      </c>
      <c r="N367" s="12" t="str">
        <f aca="false">VLOOKUP(M367,RECATALOGANDO!B:C,2,0)</f>
        <v>VENTA DE SERVICIO</v>
      </c>
      <c r="O367" s="2" t="s">
        <v>39</v>
      </c>
    </row>
    <row r="368" customFormat="false" ht="13.8" hidden="false" customHeight="false" outlineLevel="0" collapsed="false">
      <c r="A368" s="8" t="n">
        <v>45058</v>
      </c>
      <c r="B368" s="9" t="n">
        <f aca="false">DAY(A368)</f>
        <v>12</v>
      </c>
      <c r="C368" s="9" t="n">
        <f aca="false">MONTH(A368)</f>
        <v>5</v>
      </c>
      <c r="D368" s="9" t="n">
        <f aca="false">YEAR(A368)</f>
        <v>2023</v>
      </c>
      <c r="E368" s="9" t="n">
        <f aca="false">WEEKDAY(A368,2)</f>
        <v>5</v>
      </c>
      <c r="F368" s="10" t="n">
        <f aca="false">WEEKNUM(A368,2) - WEEKNUM(DATE(YEAR(A368),MONTH(A368),1),2) + 1</f>
        <v>2</v>
      </c>
      <c r="G368" s="10"/>
      <c r="H368" s="11" t="n">
        <v>1500</v>
      </c>
      <c r="I368" s="12" t="s">
        <v>15</v>
      </c>
      <c r="J368" s="12" t="s">
        <v>56</v>
      </c>
      <c r="K368" s="12"/>
      <c r="L368" s="9" t="e">
        <f aca="false">L367+H368</f>
        <v>#REF!</v>
      </c>
      <c r="M368" s="10" t="str">
        <f aca="false">VLOOKUP(J368,RECATALOGANDO!A:C,2,0)</f>
        <v>SERVICIO DE IMAGEN</v>
      </c>
      <c r="N368" s="12" t="str">
        <f aca="false">VLOOKUP(M368,RECATALOGANDO!B:C,2,0)</f>
        <v>VENTA DE SERVICIO</v>
      </c>
      <c r="O368" s="2" t="s">
        <v>39</v>
      </c>
    </row>
    <row r="369" customFormat="false" ht="13.8" hidden="false" customHeight="false" outlineLevel="0" collapsed="false">
      <c r="A369" s="8" t="n">
        <v>45060</v>
      </c>
      <c r="B369" s="9" t="n">
        <f aca="false">DAY(A369)</f>
        <v>14</v>
      </c>
      <c r="C369" s="9" t="n">
        <f aca="false">MONTH(A369)</f>
        <v>5</v>
      </c>
      <c r="D369" s="9" t="n">
        <f aca="false">YEAR(A369)</f>
        <v>2023</v>
      </c>
      <c r="E369" s="9" t="n">
        <f aca="false">WEEKDAY(A369,2)</f>
        <v>7</v>
      </c>
      <c r="F369" s="10" t="n">
        <f aca="false">WEEKNUM(A369,2) - WEEKNUM(DATE(YEAR(A369),MONTH(A369),1),2) + 1</f>
        <v>2</v>
      </c>
      <c r="G369" s="10"/>
      <c r="H369" s="11" t="n">
        <v>2000</v>
      </c>
      <c r="I369" s="12" t="s">
        <v>15</v>
      </c>
      <c r="J369" s="12" t="s">
        <v>44</v>
      </c>
      <c r="K369" s="12"/>
      <c r="L369" s="9" t="e">
        <f aca="false">L368+H369</f>
        <v>#REF!</v>
      </c>
      <c r="M369" s="10" t="str">
        <f aca="false">VLOOKUP(J369,RECATALOGANDO!A:C,2,0)</f>
        <v>HONORARIOS MEDICOS</v>
      </c>
      <c r="N369" s="12" t="str">
        <f aca="false">VLOOKUP(M369,RECATALOGANDO!B:C,2,0)</f>
        <v>VENTA DE SERVICIO</v>
      </c>
      <c r="O369" s="2" t="s">
        <v>39</v>
      </c>
    </row>
    <row r="370" customFormat="false" ht="13.8" hidden="false" customHeight="false" outlineLevel="0" collapsed="false">
      <c r="A370" s="8" t="n">
        <v>45062</v>
      </c>
      <c r="B370" s="9" t="n">
        <f aca="false">DAY(A370)</f>
        <v>16</v>
      </c>
      <c r="C370" s="9" t="n">
        <f aca="false">MONTH(A370)</f>
        <v>5</v>
      </c>
      <c r="D370" s="9" t="n">
        <f aca="false">YEAR(A370)</f>
        <v>2023</v>
      </c>
      <c r="E370" s="9" t="n">
        <f aca="false">WEEKDAY(A370,2)</f>
        <v>2</v>
      </c>
      <c r="F370" s="10" t="n">
        <f aca="false">WEEKNUM(A370,2) - WEEKNUM(DATE(YEAR(A370),MONTH(A370),1),2) + 1</f>
        <v>3</v>
      </c>
      <c r="G370" s="10"/>
      <c r="H370" s="11" t="n">
        <v>763.72</v>
      </c>
      <c r="I370" s="12" t="s">
        <v>15</v>
      </c>
      <c r="J370" s="12" t="s">
        <v>54</v>
      </c>
      <c r="K370" s="12"/>
      <c r="L370" s="9" t="e">
        <f aca="false">L369+H370</f>
        <v>#REF!</v>
      </c>
      <c r="M370" s="10" t="str">
        <f aca="false">VLOOKUP(J370,RECATALOGANDO!A:C,2,0)</f>
        <v>SERVICIO DE LABORATORIO</v>
      </c>
      <c r="N370" s="12" t="str">
        <f aca="false">VLOOKUP(M370,RECATALOGANDO!B:C,2,0)</f>
        <v>VENTA DE SERVICIO</v>
      </c>
      <c r="O370" s="2" t="s">
        <v>39</v>
      </c>
    </row>
    <row r="371" customFormat="false" ht="13.8" hidden="false" customHeight="false" outlineLevel="0" collapsed="false">
      <c r="A371" s="8" t="n">
        <v>45062</v>
      </c>
      <c r="B371" s="9" t="n">
        <f aca="false">DAY(A371)</f>
        <v>16</v>
      </c>
      <c r="C371" s="9" t="n">
        <f aca="false">MONTH(A371)</f>
        <v>5</v>
      </c>
      <c r="D371" s="9" t="n">
        <f aca="false">YEAR(A371)</f>
        <v>2023</v>
      </c>
      <c r="E371" s="9" t="n">
        <f aca="false">WEEKDAY(A371,2)</f>
        <v>2</v>
      </c>
      <c r="F371" s="10" t="n">
        <f aca="false">WEEKNUM(A371,2) - WEEKNUM(DATE(YEAR(A371),MONTH(A371),1),2) + 1</f>
        <v>3</v>
      </c>
      <c r="G371" s="10"/>
      <c r="H371" s="11" t="n">
        <v>814</v>
      </c>
      <c r="I371" s="12" t="s">
        <v>20</v>
      </c>
      <c r="J371" s="12" t="s">
        <v>44</v>
      </c>
      <c r="K371" s="12"/>
      <c r="L371" s="9" t="e">
        <f aca="false">L370+H371</f>
        <v>#REF!</v>
      </c>
      <c r="M371" s="10" t="str">
        <f aca="false">VLOOKUP(J371,RECATALOGANDO!A:C,2,0)</f>
        <v>HONORARIOS MEDICOS</v>
      </c>
      <c r="N371" s="12" t="str">
        <f aca="false">VLOOKUP(M371,RECATALOGANDO!B:C,2,0)</f>
        <v>VENTA DE SERVICIO</v>
      </c>
      <c r="O371" s="2" t="s">
        <v>39</v>
      </c>
    </row>
    <row r="372" customFormat="false" ht="13.8" hidden="false" customHeight="false" outlineLevel="0" collapsed="false">
      <c r="A372" s="8" t="n">
        <v>45063</v>
      </c>
      <c r="B372" s="9" t="n">
        <f aca="false">DAY(A372)</f>
        <v>17</v>
      </c>
      <c r="C372" s="9" t="n">
        <f aca="false">MONTH(A372)</f>
        <v>5</v>
      </c>
      <c r="D372" s="9" t="n">
        <f aca="false">YEAR(A372)</f>
        <v>2023</v>
      </c>
      <c r="E372" s="9" t="n">
        <f aca="false">WEEKDAY(A372,2)</f>
        <v>3</v>
      </c>
      <c r="F372" s="10" t="n">
        <f aca="false">WEEKNUM(A372,2) - WEEKNUM(DATE(YEAR(A372),MONTH(A372),1),2) + 1</f>
        <v>3</v>
      </c>
      <c r="G372" s="10"/>
      <c r="H372" s="11" t="n">
        <v>320</v>
      </c>
      <c r="I372" s="12" t="s">
        <v>15</v>
      </c>
      <c r="J372" s="12" t="s">
        <v>49</v>
      </c>
      <c r="K372" s="12"/>
      <c r="L372" s="9" t="e">
        <f aca="false">L371+H372</f>
        <v>#REF!</v>
      </c>
      <c r="M372" s="10" t="str">
        <f aca="false">VLOOKUP(J372,RECATALOGANDO!A:C,2,0)</f>
        <v>SERVICIO DE GROOMING</v>
      </c>
      <c r="N372" s="12" t="str">
        <f aca="false">VLOOKUP(M372,RECATALOGANDO!B:C,2,0)</f>
        <v>VENTA DE SERVICIO</v>
      </c>
      <c r="O372" s="2" t="s">
        <v>39</v>
      </c>
    </row>
    <row r="373" customFormat="false" ht="13.8" hidden="false" customHeight="false" outlineLevel="0" collapsed="false">
      <c r="A373" s="8" t="n">
        <v>45063</v>
      </c>
      <c r="B373" s="9" t="n">
        <f aca="false">DAY(A373)</f>
        <v>17</v>
      </c>
      <c r="C373" s="9" t="n">
        <f aca="false">MONTH(A373)</f>
        <v>5</v>
      </c>
      <c r="D373" s="9" t="n">
        <f aca="false">YEAR(A373)</f>
        <v>2023</v>
      </c>
      <c r="E373" s="9" t="n">
        <f aca="false">WEEKDAY(A373,2)</f>
        <v>3</v>
      </c>
      <c r="F373" s="10" t="n">
        <f aca="false">WEEKNUM(A373,2) - WEEKNUM(DATE(YEAR(A373),MONTH(A373),1),2) + 1</f>
        <v>3</v>
      </c>
      <c r="G373" s="10"/>
      <c r="H373" s="11" t="n">
        <v>2827.76</v>
      </c>
      <c r="I373" s="12" t="s">
        <v>15</v>
      </c>
      <c r="J373" s="12" t="s">
        <v>41</v>
      </c>
      <c r="K373" s="12"/>
      <c r="L373" s="9" t="e">
        <f aca="false">L372+H373</f>
        <v>#REF!</v>
      </c>
      <c r="M373" s="10" t="str">
        <f aca="false">VLOOKUP(J373,RECATALOGANDO!A:C,2,0)</f>
        <v>HONORARIOS QUIRURGICOS</v>
      </c>
      <c r="N373" s="12" t="str">
        <f aca="false">VLOOKUP(M373,RECATALOGANDO!B:C,2,0)</f>
        <v>VENTA DE SERVICIO</v>
      </c>
      <c r="O373" s="2" t="s">
        <v>39</v>
      </c>
    </row>
    <row r="374" customFormat="false" ht="13.8" hidden="false" customHeight="false" outlineLevel="0" collapsed="false">
      <c r="A374" s="8" t="n">
        <v>45064</v>
      </c>
      <c r="B374" s="9" t="n">
        <f aca="false">DAY(A374)</f>
        <v>18</v>
      </c>
      <c r="C374" s="9" t="n">
        <f aca="false">MONTH(A374)</f>
        <v>5</v>
      </c>
      <c r="D374" s="9" t="n">
        <f aca="false">YEAR(A374)</f>
        <v>2023</v>
      </c>
      <c r="E374" s="9" t="n">
        <f aca="false">WEEKDAY(A374,2)</f>
        <v>4</v>
      </c>
      <c r="F374" s="10" t="n">
        <f aca="false">WEEKNUM(A374,2) - WEEKNUM(DATE(YEAR(A374),MONTH(A374),1),2) + 1</f>
        <v>3</v>
      </c>
      <c r="G374" s="10"/>
      <c r="H374" s="11" t="n">
        <v>50</v>
      </c>
      <c r="I374" s="12" t="s">
        <v>20</v>
      </c>
      <c r="J374" s="12" t="s">
        <v>45</v>
      </c>
      <c r="K374" s="12"/>
      <c r="L374" s="9" t="e">
        <f aca="false">L373+H374</f>
        <v>#REF!</v>
      </c>
      <c r="M374" s="10" t="str">
        <f aca="false">VLOOKUP(J374,RECATALOGANDO!A:C,2,0)</f>
        <v>VENTA DE MEDICAMENTO</v>
      </c>
      <c r="N374" s="12" t="str">
        <f aca="false">VLOOKUP(M374,RECATALOGANDO!B:C,2,0)</f>
        <v>VENTA DE PRODUCTO</v>
      </c>
      <c r="O374" s="2" t="s">
        <v>39</v>
      </c>
    </row>
    <row r="375" customFormat="false" ht="13.8" hidden="false" customHeight="false" outlineLevel="0" collapsed="false">
      <c r="A375" s="8" t="n">
        <v>45064</v>
      </c>
      <c r="B375" s="9" t="n">
        <f aca="false">DAY(A375)</f>
        <v>18</v>
      </c>
      <c r="C375" s="9" t="n">
        <f aca="false">MONTH(A375)</f>
        <v>5</v>
      </c>
      <c r="D375" s="9" t="n">
        <f aca="false">YEAR(A375)</f>
        <v>2023</v>
      </c>
      <c r="E375" s="9" t="n">
        <f aca="false">WEEKDAY(A375,2)</f>
        <v>4</v>
      </c>
      <c r="F375" s="10" t="n">
        <f aca="false">WEEKNUM(A375,2) - WEEKNUM(DATE(YEAR(A375),MONTH(A375),1),2) + 1</f>
        <v>3</v>
      </c>
      <c r="G375" s="10"/>
      <c r="H375" s="11" t="n">
        <v>200</v>
      </c>
      <c r="I375" s="12" t="s">
        <v>20</v>
      </c>
      <c r="J375" s="12" t="s">
        <v>53</v>
      </c>
      <c r="K375" s="12"/>
      <c r="L375" s="9" t="e">
        <f aca="false">L374+H375</f>
        <v>#REF!</v>
      </c>
      <c r="M375" s="10" t="str">
        <f aca="false">VLOOKUP(J375,RECATALOGANDO!A:C,2,0)</f>
        <v>SERVICIO DE GROOMING</v>
      </c>
      <c r="N375" s="12" t="str">
        <f aca="false">VLOOKUP(M375,RECATALOGANDO!B:C,2,0)</f>
        <v>VENTA DE SERVICIO</v>
      </c>
      <c r="O375" s="2" t="s">
        <v>39</v>
      </c>
    </row>
    <row r="376" customFormat="false" ht="13.8" hidden="false" customHeight="false" outlineLevel="0" collapsed="false">
      <c r="A376" s="8" t="n">
        <v>45064</v>
      </c>
      <c r="B376" s="9" t="n">
        <f aca="false">DAY(A376)</f>
        <v>18</v>
      </c>
      <c r="C376" s="9" t="n">
        <f aca="false">MONTH(A376)</f>
        <v>5</v>
      </c>
      <c r="D376" s="9" t="n">
        <f aca="false">YEAR(A376)</f>
        <v>2023</v>
      </c>
      <c r="E376" s="9" t="n">
        <f aca="false">WEEKDAY(A376,2)</f>
        <v>4</v>
      </c>
      <c r="F376" s="10" t="n">
        <f aca="false">WEEKNUM(A376,2) - WEEKNUM(DATE(YEAR(A376),MONTH(A376),1),2) + 1</f>
        <v>3</v>
      </c>
      <c r="G376" s="10"/>
      <c r="H376" s="11" t="n">
        <v>498.28</v>
      </c>
      <c r="I376" s="12" t="s">
        <v>15</v>
      </c>
      <c r="J376" s="12" t="s">
        <v>44</v>
      </c>
      <c r="K376" s="12"/>
      <c r="L376" s="9" t="e">
        <f aca="false">L375+H376</f>
        <v>#REF!</v>
      </c>
      <c r="M376" s="10" t="str">
        <f aca="false">VLOOKUP(J376,RECATALOGANDO!A:C,2,0)</f>
        <v>HONORARIOS MEDICOS</v>
      </c>
      <c r="N376" s="12" t="str">
        <f aca="false">VLOOKUP(M376,RECATALOGANDO!B:C,2,0)</f>
        <v>VENTA DE SERVICIO</v>
      </c>
      <c r="O376" s="2" t="s">
        <v>39</v>
      </c>
    </row>
    <row r="377" customFormat="false" ht="13.8" hidden="false" customHeight="false" outlineLevel="0" collapsed="false">
      <c r="A377" s="8" t="n">
        <v>45065</v>
      </c>
      <c r="B377" s="9" t="n">
        <f aca="false">DAY(A377)</f>
        <v>19</v>
      </c>
      <c r="C377" s="9" t="n">
        <f aca="false">MONTH(A377)</f>
        <v>5</v>
      </c>
      <c r="D377" s="9" t="n">
        <f aca="false">YEAR(A377)</f>
        <v>2023</v>
      </c>
      <c r="E377" s="9" t="n">
        <f aca="false">WEEKDAY(A377,2)</f>
        <v>5</v>
      </c>
      <c r="F377" s="10" t="n">
        <f aca="false">WEEKNUM(A377,2) - WEEKNUM(DATE(YEAR(A377),MONTH(A377),1),2) + 1</f>
        <v>3</v>
      </c>
      <c r="G377" s="10"/>
      <c r="H377" s="11" t="n">
        <v>500</v>
      </c>
      <c r="I377" s="12" t="s">
        <v>20</v>
      </c>
      <c r="J377" s="12" t="s">
        <v>59</v>
      </c>
      <c r="K377" s="12"/>
      <c r="L377" s="9" t="e">
        <f aca="false">L376+H377</f>
        <v>#REF!</v>
      </c>
      <c r="M377" s="10" t="str">
        <f aca="false">VLOOKUP(J377,RECATALOGANDO!A:C,2,0)</f>
        <v>SERVICIO DE PENSION</v>
      </c>
      <c r="N377" s="12" t="str">
        <f aca="false">VLOOKUP(M377,RECATALOGANDO!B:C,2,0)</f>
        <v>VENTA DE SERVICIO</v>
      </c>
      <c r="O377" s="2" t="s">
        <v>39</v>
      </c>
    </row>
    <row r="378" customFormat="false" ht="13.8" hidden="false" customHeight="false" outlineLevel="0" collapsed="false">
      <c r="A378" s="8" t="n">
        <v>45065</v>
      </c>
      <c r="B378" s="9" t="n">
        <f aca="false">DAY(A378)</f>
        <v>19</v>
      </c>
      <c r="C378" s="9" t="n">
        <f aca="false">MONTH(A378)</f>
        <v>5</v>
      </c>
      <c r="D378" s="9" t="n">
        <f aca="false">YEAR(A378)</f>
        <v>2023</v>
      </c>
      <c r="E378" s="9" t="n">
        <f aca="false">WEEKDAY(A378,2)</f>
        <v>5</v>
      </c>
      <c r="F378" s="10" t="n">
        <f aca="false">WEEKNUM(A378,2) - WEEKNUM(DATE(YEAR(A378),MONTH(A378),1),2) + 1</f>
        <v>3</v>
      </c>
      <c r="G378" s="10"/>
      <c r="H378" s="11" t="n">
        <v>720</v>
      </c>
      <c r="I378" s="12" t="s">
        <v>20</v>
      </c>
      <c r="J378" s="12" t="s">
        <v>44</v>
      </c>
      <c r="K378" s="12"/>
      <c r="L378" s="9" t="e">
        <f aca="false">L377+H378</f>
        <v>#REF!</v>
      </c>
      <c r="M378" s="10" t="str">
        <f aca="false">VLOOKUP(J378,RECATALOGANDO!A:C,2,0)</f>
        <v>HONORARIOS MEDICOS</v>
      </c>
      <c r="N378" s="12" t="str">
        <f aca="false">VLOOKUP(M378,RECATALOGANDO!B:C,2,0)</f>
        <v>VENTA DE SERVICIO</v>
      </c>
      <c r="O378" s="2" t="s">
        <v>39</v>
      </c>
    </row>
    <row r="379" customFormat="false" ht="13.8" hidden="false" customHeight="false" outlineLevel="0" collapsed="false">
      <c r="A379" s="8" t="n">
        <v>45065</v>
      </c>
      <c r="B379" s="9" t="n">
        <f aca="false">DAY(A379)</f>
        <v>19</v>
      </c>
      <c r="C379" s="9" t="n">
        <f aca="false">MONTH(A379)</f>
        <v>5</v>
      </c>
      <c r="D379" s="9" t="n">
        <f aca="false">YEAR(A379)</f>
        <v>2023</v>
      </c>
      <c r="E379" s="9" t="n">
        <f aca="false">WEEKDAY(A379,2)</f>
        <v>5</v>
      </c>
      <c r="F379" s="10" t="n">
        <f aca="false">WEEKNUM(A379,2) - WEEKNUM(DATE(YEAR(A379),MONTH(A379),1),2) + 1</f>
        <v>3</v>
      </c>
      <c r="G379" s="10"/>
      <c r="H379" s="11" t="n">
        <v>1920</v>
      </c>
      <c r="I379" s="12" t="s">
        <v>20</v>
      </c>
      <c r="J379" s="12" t="s">
        <v>54</v>
      </c>
      <c r="K379" s="12"/>
      <c r="L379" s="9" t="e">
        <f aca="false">L378+H379</f>
        <v>#REF!</v>
      </c>
      <c r="M379" s="10" t="str">
        <f aca="false">VLOOKUP(J379,RECATALOGANDO!A:C,2,0)</f>
        <v>SERVICIO DE LABORATORIO</v>
      </c>
      <c r="N379" s="12" t="str">
        <f aca="false">VLOOKUP(M379,RECATALOGANDO!B:C,2,0)</f>
        <v>VENTA DE SERVICIO</v>
      </c>
      <c r="O379" s="2" t="s">
        <v>39</v>
      </c>
    </row>
    <row r="380" customFormat="false" ht="13.8" hidden="false" customHeight="false" outlineLevel="0" collapsed="false">
      <c r="A380" s="8" t="n">
        <v>45065</v>
      </c>
      <c r="B380" s="9" t="n">
        <f aca="false">DAY(A380)</f>
        <v>19</v>
      </c>
      <c r="C380" s="9" t="n">
        <f aca="false">MONTH(A380)</f>
        <v>5</v>
      </c>
      <c r="D380" s="9" t="n">
        <f aca="false">YEAR(A380)</f>
        <v>2023</v>
      </c>
      <c r="E380" s="9" t="n">
        <f aca="false">WEEKDAY(A380,2)</f>
        <v>5</v>
      </c>
      <c r="F380" s="10" t="n">
        <f aca="false">WEEKNUM(A380,2) - WEEKNUM(DATE(YEAR(A380),MONTH(A380),1),2) + 1</f>
        <v>3</v>
      </c>
      <c r="G380" s="10"/>
      <c r="H380" s="11" t="n">
        <v>3000</v>
      </c>
      <c r="I380" s="12" t="s">
        <v>15</v>
      </c>
      <c r="J380" s="12" t="s">
        <v>57</v>
      </c>
      <c r="K380" s="12"/>
      <c r="L380" s="9" t="e">
        <f aca="false">L379+H380</f>
        <v>#REF!</v>
      </c>
      <c r="M380" s="10" t="str">
        <f aca="false">VLOOKUP(J380,RECATALOGANDO!A:C,2,0)</f>
        <v>SERVICIO DE CREMACION</v>
      </c>
      <c r="N380" s="12" t="str">
        <f aca="false">VLOOKUP(M380,RECATALOGANDO!B:C,2,0)</f>
        <v>VENTA DE SERVICIO</v>
      </c>
      <c r="O380" s="2" t="s">
        <v>39</v>
      </c>
    </row>
    <row r="381" customFormat="false" ht="13.8" hidden="false" customHeight="false" outlineLevel="0" collapsed="false">
      <c r="A381" s="8" t="n">
        <v>45066</v>
      </c>
      <c r="B381" s="9" t="n">
        <f aca="false">DAY(A381)</f>
        <v>20</v>
      </c>
      <c r="C381" s="9" t="n">
        <f aca="false">MONTH(A381)</f>
        <v>5</v>
      </c>
      <c r="D381" s="9" t="n">
        <f aca="false">YEAR(A381)</f>
        <v>2023</v>
      </c>
      <c r="E381" s="9" t="n">
        <f aca="false">WEEKDAY(A381,2)</f>
        <v>6</v>
      </c>
      <c r="F381" s="10" t="n">
        <f aca="false">WEEKNUM(A381,2) - WEEKNUM(DATE(YEAR(A381),MONTH(A381),1),2) + 1</f>
        <v>3</v>
      </c>
      <c r="G381" s="10"/>
      <c r="H381" s="11" t="n">
        <v>2000</v>
      </c>
      <c r="I381" s="12" t="s">
        <v>15</v>
      </c>
      <c r="J381" s="12" t="s">
        <v>51</v>
      </c>
      <c r="K381" s="12"/>
      <c r="L381" s="9" t="e">
        <f aca="false">L380+H381</f>
        <v>#REF!</v>
      </c>
      <c r="M381" s="10" t="str">
        <f aca="false">VLOOKUP(J381,RECATALOGANDO!A:C,2,0)</f>
        <v>VENTA DE ALIMENTO</v>
      </c>
      <c r="N381" s="12" t="str">
        <f aca="false">VLOOKUP(M381,RECATALOGANDO!B:C,2,0)</f>
        <v>VENTA DE PRODUCTO</v>
      </c>
      <c r="O381" s="2" t="s">
        <v>39</v>
      </c>
    </row>
    <row r="382" customFormat="false" ht="13.8" hidden="false" customHeight="false" outlineLevel="0" collapsed="false">
      <c r="A382" s="8" t="n">
        <v>45066</v>
      </c>
      <c r="B382" s="9" t="n">
        <f aca="false">DAY(A382)</f>
        <v>20</v>
      </c>
      <c r="C382" s="9" t="n">
        <f aca="false">MONTH(A382)</f>
        <v>5</v>
      </c>
      <c r="D382" s="9" t="n">
        <f aca="false">YEAR(A382)</f>
        <v>2023</v>
      </c>
      <c r="E382" s="9" t="n">
        <f aca="false">WEEKDAY(A382,2)</f>
        <v>6</v>
      </c>
      <c r="F382" s="10" t="n">
        <f aca="false">WEEKNUM(A382,2) - WEEKNUM(DATE(YEAR(A382),MONTH(A382),1),2) + 1</f>
        <v>3</v>
      </c>
      <c r="G382" s="10"/>
      <c r="H382" s="11" t="n">
        <v>1265</v>
      </c>
      <c r="I382" s="12" t="s">
        <v>15</v>
      </c>
      <c r="J382" s="12" t="s">
        <v>59</v>
      </c>
      <c r="K382" s="12"/>
      <c r="L382" s="9" t="e">
        <f aca="false">L381+H382</f>
        <v>#REF!</v>
      </c>
      <c r="M382" s="10" t="str">
        <f aca="false">VLOOKUP(J382,RECATALOGANDO!A:C,2,0)</f>
        <v>SERVICIO DE PENSION</v>
      </c>
      <c r="N382" s="12" t="str">
        <f aca="false">VLOOKUP(M382,RECATALOGANDO!B:C,2,0)</f>
        <v>VENTA DE SERVICIO</v>
      </c>
      <c r="O382" s="2" t="s">
        <v>39</v>
      </c>
    </row>
    <row r="383" customFormat="false" ht="13.8" hidden="false" customHeight="false" outlineLevel="0" collapsed="false">
      <c r="A383" s="8" t="n">
        <v>45067</v>
      </c>
      <c r="B383" s="9" t="n">
        <f aca="false">DAY(A383)</f>
        <v>21</v>
      </c>
      <c r="C383" s="9" t="n">
        <f aca="false">MONTH(A383)</f>
        <v>5</v>
      </c>
      <c r="D383" s="9" t="n">
        <f aca="false">YEAR(A383)</f>
        <v>2023</v>
      </c>
      <c r="E383" s="9" t="n">
        <f aca="false">WEEKDAY(A383,2)</f>
        <v>7</v>
      </c>
      <c r="F383" s="10" t="n">
        <f aca="false">WEEKNUM(A383,2) - WEEKNUM(DATE(YEAR(A383),MONTH(A383),1),2) + 1</f>
        <v>3</v>
      </c>
      <c r="G383" s="10"/>
      <c r="H383" s="11" t="n">
        <v>436</v>
      </c>
      <c r="I383" s="12" t="s">
        <v>15</v>
      </c>
      <c r="J383" s="12" t="s">
        <v>51</v>
      </c>
      <c r="K383" s="12"/>
      <c r="L383" s="9" t="e">
        <f aca="false">L382+H383</f>
        <v>#REF!</v>
      </c>
      <c r="M383" s="10" t="str">
        <f aca="false">VLOOKUP(J383,RECATALOGANDO!A:C,2,0)</f>
        <v>VENTA DE ALIMENTO</v>
      </c>
      <c r="N383" s="12" t="str">
        <f aca="false">VLOOKUP(M383,RECATALOGANDO!B:C,2,0)</f>
        <v>VENTA DE PRODUCTO</v>
      </c>
      <c r="O383" s="2" t="s">
        <v>39</v>
      </c>
    </row>
    <row r="384" customFormat="false" ht="13.8" hidden="false" customHeight="false" outlineLevel="0" collapsed="false">
      <c r="A384" s="8" t="n">
        <v>45068</v>
      </c>
      <c r="B384" s="9" t="n">
        <f aca="false">DAY(A384)</f>
        <v>22</v>
      </c>
      <c r="C384" s="9" t="n">
        <f aca="false">MONTH(A384)</f>
        <v>5</v>
      </c>
      <c r="D384" s="9" t="n">
        <f aca="false">YEAR(A384)</f>
        <v>2023</v>
      </c>
      <c r="E384" s="9" t="n">
        <f aca="false">WEEKDAY(A384,2)</f>
        <v>1</v>
      </c>
      <c r="F384" s="10" t="n">
        <f aca="false">WEEKNUM(A384,2) - WEEKNUM(DATE(YEAR(A384),MONTH(A384),1),2) + 1</f>
        <v>4</v>
      </c>
      <c r="G384" s="10"/>
      <c r="H384" s="11" t="n">
        <v>916</v>
      </c>
      <c r="I384" s="12" t="s">
        <v>20</v>
      </c>
      <c r="J384" s="12" t="s">
        <v>59</v>
      </c>
      <c r="K384" s="12"/>
      <c r="L384" s="9" t="e">
        <f aca="false">L383+H384</f>
        <v>#REF!</v>
      </c>
      <c r="M384" s="10" t="str">
        <f aca="false">VLOOKUP(J384,RECATALOGANDO!A:C,2,0)</f>
        <v>SERVICIO DE PENSION</v>
      </c>
      <c r="N384" s="12" t="str">
        <f aca="false">VLOOKUP(M384,RECATALOGANDO!B:C,2,0)</f>
        <v>VENTA DE SERVICIO</v>
      </c>
      <c r="O384" s="2" t="s">
        <v>39</v>
      </c>
    </row>
    <row r="385" customFormat="false" ht="13.8" hidden="false" customHeight="false" outlineLevel="0" collapsed="false">
      <c r="A385" s="8" t="n">
        <v>45069</v>
      </c>
      <c r="B385" s="9" t="n">
        <f aca="false">DAY(A385)</f>
        <v>23</v>
      </c>
      <c r="C385" s="9" t="n">
        <f aca="false">MONTH(A385)</f>
        <v>5</v>
      </c>
      <c r="D385" s="9" t="n">
        <f aca="false">YEAR(A385)</f>
        <v>2023</v>
      </c>
      <c r="E385" s="9" t="n">
        <f aca="false">WEEKDAY(A385,2)</f>
        <v>2</v>
      </c>
      <c r="F385" s="10" t="n">
        <f aca="false">WEEKNUM(A385,2) - WEEKNUM(DATE(YEAR(A385),MONTH(A385),1),2) + 1</f>
        <v>4</v>
      </c>
      <c r="G385" s="10"/>
      <c r="H385" s="11" t="n">
        <v>842</v>
      </c>
      <c r="I385" s="12" t="s">
        <v>15</v>
      </c>
      <c r="J385" s="12" t="s">
        <v>45</v>
      </c>
      <c r="K385" s="12"/>
      <c r="L385" s="9" t="e">
        <f aca="false">L384+H385</f>
        <v>#REF!</v>
      </c>
      <c r="M385" s="10" t="str">
        <f aca="false">VLOOKUP(J385,RECATALOGANDO!A:C,2,0)</f>
        <v>VENTA DE MEDICAMENTO</v>
      </c>
      <c r="N385" s="12" t="str">
        <f aca="false">VLOOKUP(M385,RECATALOGANDO!B:C,2,0)</f>
        <v>VENTA DE PRODUCTO</v>
      </c>
      <c r="O385" s="2" t="s">
        <v>39</v>
      </c>
    </row>
    <row r="386" customFormat="false" ht="13.8" hidden="false" customHeight="false" outlineLevel="0" collapsed="false">
      <c r="A386" s="8" t="n">
        <v>45069</v>
      </c>
      <c r="B386" s="9" t="n">
        <f aca="false">DAY(A386)</f>
        <v>23</v>
      </c>
      <c r="C386" s="9" t="n">
        <f aca="false">MONTH(A386)</f>
        <v>5</v>
      </c>
      <c r="D386" s="9" t="n">
        <f aca="false">YEAR(A386)</f>
        <v>2023</v>
      </c>
      <c r="E386" s="9" t="n">
        <f aca="false">WEEKDAY(A386,2)</f>
        <v>2</v>
      </c>
      <c r="F386" s="10" t="n">
        <f aca="false">WEEKNUM(A386,2) - WEEKNUM(DATE(YEAR(A386),MONTH(A386),1),2) + 1</f>
        <v>4</v>
      </c>
      <c r="G386" s="10"/>
      <c r="H386" s="11" t="n">
        <v>823.13</v>
      </c>
      <c r="I386" s="12" t="s">
        <v>15</v>
      </c>
      <c r="J386" s="12" t="s">
        <v>54</v>
      </c>
      <c r="K386" s="12"/>
      <c r="L386" s="9" t="e">
        <f aca="false">L385+H386</f>
        <v>#REF!</v>
      </c>
      <c r="M386" s="10" t="str">
        <f aca="false">VLOOKUP(J386,RECATALOGANDO!A:C,2,0)</f>
        <v>SERVICIO DE LABORATORIO</v>
      </c>
      <c r="N386" s="12" t="str">
        <f aca="false">VLOOKUP(M386,RECATALOGANDO!B:C,2,0)</f>
        <v>VENTA DE SERVICIO</v>
      </c>
      <c r="O386" s="2" t="s">
        <v>39</v>
      </c>
    </row>
    <row r="387" customFormat="false" ht="13.8" hidden="false" customHeight="false" outlineLevel="0" collapsed="false">
      <c r="A387" s="8" t="n">
        <v>45070</v>
      </c>
      <c r="B387" s="9" t="n">
        <f aca="false">DAY(A387)</f>
        <v>24</v>
      </c>
      <c r="C387" s="9" t="n">
        <f aca="false">MONTH(A387)</f>
        <v>5</v>
      </c>
      <c r="D387" s="9" t="n">
        <f aca="false">YEAR(A387)</f>
        <v>2023</v>
      </c>
      <c r="E387" s="9" t="n">
        <f aca="false">WEEKDAY(A387,2)</f>
        <v>3</v>
      </c>
      <c r="F387" s="10" t="n">
        <f aca="false">WEEKNUM(A387,2) - WEEKNUM(DATE(YEAR(A387),MONTH(A387),1),2) + 1</f>
        <v>4</v>
      </c>
      <c r="G387" s="10"/>
      <c r="H387" s="11" t="n">
        <v>710</v>
      </c>
      <c r="I387" s="12" t="s">
        <v>20</v>
      </c>
      <c r="J387" s="12" t="s">
        <v>44</v>
      </c>
      <c r="K387" s="12"/>
      <c r="L387" s="9" t="e">
        <f aca="false">L386+H387</f>
        <v>#REF!</v>
      </c>
      <c r="M387" s="10" t="str">
        <f aca="false">VLOOKUP(J387,RECATALOGANDO!A:C,2,0)</f>
        <v>HONORARIOS MEDICOS</v>
      </c>
      <c r="N387" s="12" t="str">
        <f aca="false">VLOOKUP(M387,RECATALOGANDO!B:C,2,0)</f>
        <v>VENTA DE SERVICIO</v>
      </c>
      <c r="O387" s="2" t="s">
        <v>39</v>
      </c>
    </row>
    <row r="388" customFormat="false" ht="13.8" hidden="false" customHeight="false" outlineLevel="0" collapsed="false">
      <c r="A388" s="8" t="n">
        <v>45071</v>
      </c>
      <c r="B388" s="9" t="n">
        <f aca="false">DAY(A388)</f>
        <v>25</v>
      </c>
      <c r="C388" s="9" t="n">
        <f aca="false">MONTH(A388)</f>
        <v>5</v>
      </c>
      <c r="D388" s="9" t="n">
        <f aca="false">YEAR(A388)</f>
        <v>2023</v>
      </c>
      <c r="E388" s="9" t="n">
        <f aca="false">WEEKDAY(A388,2)</f>
        <v>4</v>
      </c>
      <c r="F388" s="10" t="n">
        <f aca="false">WEEKNUM(A388,2) - WEEKNUM(DATE(YEAR(A388),MONTH(A388),1),2) + 1</f>
        <v>4</v>
      </c>
      <c r="G388" s="10"/>
      <c r="H388" s="11" t="n">
        <v>280</v>
      </c>
      <c r="I388" s="12" t="s">
        <v>20</v>
      </c>
      <c r="J388" s="12" t="s">
        <v>53</v>
      </c>
      <c r="K388" s="12"/>
      <c r="L388" s="9" t="e">
        <f aca="false">L387+H388</f>
        <v>#REF!</v>
      </c>
      <c r="M388" s="10" t="str">
        <f aca="false">VLOOKUP(J388,RECATALOGANDO!A:C,2,0)</f>
        <v>SERVICIO DE GROOMING</v>
      </c>
      <c r="N388" s="12" t="str">
        <f aca="false">VLOOKUP(M388,RECATALOGANDO!B:C,2,0)</f>
        <v>VENTA DE SERVICIO</v>
      </c>
      <c r="O388" s="2" t="s">
        <v>39</v>
      </c>
    </row>
    <row r="389" customFormat="false" ht="13.8" hidden="false" customHeight="false" outlineLevel="0" collapsed="false">
      <c r="A389" s="8" t="n">
        <v>45072</v>
      </c>
      <c r="B389" s="9" t="n">
        <f aca="false">DAY(A389)</f>
        <v>26</v>
      </c>
      <c r="C389" s="9" t="n">
        <f aca="false">MONTH(A389)</f>
        <v>5</v>
      </c>
      <c r="D389" s="9" t="n">
        <f aca="false">YEAR(A389)</f>
        <v>2023</v>
      </c>
      <c r="E389" s="9" t="n">
        <f aca="false">WEEKDAY(A389,2)</f>
        <v>5</v>
      </c>
      <c r="F389" s="10" t="n">
        <f aca="false">WEEKNUM(A389,2) - WEEKNUM(DATE(YEAR(A389),MONTH(A389),1),2) + 1</f>
        <v>4</v>
      </c>
      <c r="G389" s="10"/>
      <c r="H389" s="11" t="n">
        <v>300</v>
      </c>
      <c r="I389" s="12" t="s">
        <v>20</v>
      </c>
      <c r="J389" s="12" t="s">
        <v>44</v>
      </c>
      <c r="K389" s="12"/>
      <c r="L389" s="9" t="e">
        <f aca="false">L388+H389</f>
        <v>#REF!</v>
      </c>
      <c r="M389" s="10" t="str">
        <f aca="false">VLOOKUP(J389,RECATALOGANDO!A:C,2,0)</f>
        <v>HONORARIOS MEDICOS</v>
      </c>
      <c r="N389" s="12" t="str">
        <f aca="false">VLOOKUP(M389,RECATALOGANDO!B:C,2,0)</f>
        <v>VENTA DE SERVICIO</v>
      </c>
      <c r="O389" s="2" t="s">
        <v>39</v>
      </c>
    </row>
    <row r="390" customFormat="false" ht="13.8" hidden="false" customHeight="false" outlineLevel="0" collapsed="false">
      <c r="A390" s="8" t="n">
        <v>45075</v>
      </c>
      <c r="B390" s="9" t="n">
        <f aca="false">DAY(A390)</f>
        <v>29</v>
      </c>
      <c r="C390" s="9" t="n">
        <f aca="false">MONTH(A390)</f>
        <v>5</v>
      </c>
      <c r="D390" s="9" t="n">
        <f aca="false">YEAR(A390)</f>
        <v>2023</v>
      </c>
      <c r="E390" s="9" t="n">
        <f aca="false">WEEKDAY(A390,2)</f>
        <v>1</v>
      </c>
      <c r="F390" s="10" t="n">
        <f aca="false">WEEKNUM(A390,2) - WEEKNUM(DATE(YEAR(A390),MONTH(A390),1),2) + 1</f>
        <v>5</v>
      </c>
      <c r="G390" s="10"/>
      <c r="H390" s="11" t="n">
        <v>370</v>
      </c>
      <c r="I390" s="12" t="s">
        <v>20</v>
      </c>
      <c r="J390" s="12" t="s">
        <v>53</v>
      </c>
      <c r="K390" s="12"/>
      <c r="L390" s="9" t="e">
        <f aca="false">L389+H390</f>
        <v>#REF!</v>
      </c>
      <c r="M390" s="10" t="str">
        <f aca="false">VLOOKUP(J390,RECATALOGANDO!A:C,2,0)</f>
        <v>SERVICIO DE GROOMING</v>
      </c>
      <c r="N390" s="12" t="str">
        <f aca="false">VLOOKUP(M390,RECATALOGANDO!B:C,2,0)</f>
        <v>VENTA DE SERVICIO</v>
      </c>
      <c r="O390" s="2" t="s">
        <v>39</v>
      </c>
    </row>
    <row r="391" customFormat="false" ht="13.8" hidden="false" customHeight="false" outlineLevel="0" collapsed="false">
      <c r="A391" s="8" t="n">
        <v>45075</v>
      </c>
      <c r="B391" s="9" t="n">
        <f aca="false">DAY(A391)</f>
        <v>29</v>
      </c>
      <c r="C391" s="9" t="n">
        <f aca="false">MONTH(A391)</f>
        <v>5</v>
      </c>
      <c r="D391" s="9" t="n">
        <f aca="false">YEAR(A391)</f>
        <v>2023</v>
      </c>
      <c r="E391" s="9" t="n">
        <f aca="false">WEEKDAY(A391,2)</f>
        <v>1</v>
      </c>
      <c r="F391" s="10" t="n">
        <f aca="false">WEEKNUM(A391,2) - WEEKNUM(DATE(YEAR(A391),MONTH(A391),1),2) + 1</f>
        <v>5</v>
      </c>
      <c r="G391" s="10"/>
      <c r="H391" s="11" t="n">
        <v>600</v>
      </c>
      <c r="I391" s="12" t="s">
        <v>15</v>
      </c>
      <c r="J391" s="12" t="s">
        <v>44</v>
      </c>
      <c r="K391" s="12"/>
      <c r="L391" s="9" t="e">
        <f aca="false">L390+H391</f>
        <v>#REF!</v>
      </c>
      <c r="M391" s="10" t="str">
        <f aca="false">VLOOKUP(J391,RECATALOGANDO!A:C,2,0)</f>
        <v>HONORARIOS MEDICOS</v>
      </c>
      <c r="N391" s="12" t="str">
        <f aca="false">VLOOKUP(M391,RECATALOGANDO!B:C,2,0)</f>
        <v>VENTA DE SERVICIO</v>
      </c>
      <c r="O391" s="2" t="s">
        <v>39</v>
      </c>
    </row>
    <row r="392" customFormat="false" ht="13.8" hidden="false" customHeight="false" outlineLevel="0" collapsed="false">
      <c r="A392" s="8" t="n">
        <v>45075</v>
      </c>
      <c r="B392" s="9" t="n">
        <f aca="false">DAY(A392)</f>
        <v>29</v>
      </c>
      <c r="C392" s="9" t="n">
        <f aca="false">MONTH(A392)</f>
        <v>5</v>
      </c>
      <c r="D392" s="9" t="n">
        <f aca="false">YEAR(A392)</f>
        <v>2023</v>
      </c>
      <c r="E392" s="9" t="n">
        <f aca="false">WEEKDAY(A392,2)</f>
        <v>1</v>
      </c>
      <c r="F392" s="10" t="n">
        <f aca="false">WEEKNUM(A392,2) - WEEKNUM(DATE(YEAR(A392),MONTH(A392),1),2) + 1</f>
        <v>5</v>
      </c>
      <c r="G392" s="10"/>
      <c r="H392" s="11" t="n">
        <v>1390</v>
      </c>
      <c r="I392" s="12" t="s">
        <v>20</v>
      </c>
      <c r="J392" s="12" t="s">
        <v>56</v>
      </c>
      <c r="K392" s="12"/>
      <c r="L392" s="9" t="e">
        <f aca="false">L391+H392</f>
        <v>#REF!</v>
      </c>
      <c r="M392" s="10" t="str">
        <f aca="false">VLOOKUP(J392,RECATALOGANDO!A:C,2,0)</f>
        <v>SERVICIO DE IMAGEN</v>
      </c>
      <c r="N392" s="12" t="str">
        <f aca="false">VLOOKUP(M392,RECATALOGANDO!B:C,2,0)</f>
        <v>VENTA DE SERVICIO</v>
      </c>
      <c r="O392" s="2" t="s">
        <v>39</v>
      </c>
    </row>
    <row r="393" customFormat="false" ht="13.8" hidden="false" customHeight="false" outlineLevel="0" collapsed="false">
      <c r="A393" s="8" t="n">
        <v>45076</v>
      </c>
      <c r="B393" s="9" t="n">
        <f aca="false">DAY(A393)</f>
        <v>30</v>
      </c>
      <c r="C393" s="9" t="n">
        <f aca="false">MONTH(A393)</f>
        <v>5</v>
      </c>
      <c r="D393" s="9" t="n">
        <f aca="false">YEAR(A393)</f>
        <v>2023</v>
      </c>
      <c r="E393" s="9" t="n">
        <f aca="false">WEEKDAY(A393,2)</f>
        <v>2</v>
      </c>
      <c r="F393" s="10" t="n">
        <f aca="false">WEEKNUM(A393,2) - WEEKNUM(DATE(YEAR(A393),MONTH(A393),1),2) + 1</f>
        <v>5</v>
      </c>
      <c r="G393" s="10" t="n">
        <v>2</v>
      </c>
      <c r="H393" s="11" t="n">
        <v>400</v>
      </c>
      <c r="I393" s="12" t="s">
        <v>20</v>
      </c>
      <c r="J393" s="12" t="s">
        <v>53</v>
      </c>
      <c r="K393" s="12"/>
      <c r="L393" s="9" t="e">
        <f aca="false">L392+H393</f>
        <v>#REF!</v>
      </c>
      <c r="M393" s="10" t="str">
        <f aca="false">VLOOKUP(J393,RECATALOGANDO!A:C,2,0)</f>
        <v>SERVICIO DE GROOMING</v>
      </c>
      <c r="N393" s="12" t="str">
        <f aca="false">VLOOKUP(M393,RECATALOGANDO!B:C,2,0)</f>
        <v>VENTA DE SERVICIO</v>
      </c>
      <c r="O393" s="2" t="s">
        <v>39</v>
      </c>
    </row>
    <row r="394" customFormat="false" ht="13.8" hidden="false" customHeight="false" outlineLevel="0" collapsed="false">
      <c r="A394" s="8" t="n">
        <v>45076</v>
      </c>
      <c r="B394" s="9" t="n">
        <f aca="false">DAY(A394)</f>
        <v>30</v>
      </c>
      <c r="C394" s="9" t="n">
        <f aca="false">MONTH(A394)</f>
        <v>5</v>
      </c>
      <c r="D394" s="9" t="n">
        <f aca="false">YEAR(A394)</f>
        <v>2023</v>
      </c>
      <c r="E394" s="9" t="n">
        <f aca="false">WEEKDAY(A394,2)</f>
        <v>2</v>
      </c>
      <c r="F394" s="10" t="n">
        <f aca="false">WEEKNUM(A394,2) - WEEKNUM(DATE(YEAR(A394),MONTH(A394),1),2) + 1</f>
        <v>5</v>
      </c>
      <c r="G394" s="10" t="n">
        <v>2</v>
      </c>
      <c r="H394" s="11" t="n">
        <v>4500</v>
      </c>
      <c r="I394" s="12" t="s">
        <v>20</v>
      </c>
      <c r="J394" s="12" t="s">
        <v>44</v>
      </c>
      <c r="K394" s="12"/>
      <c r="L394" s="9" t="e">
        <f aca="false">L393+H394</f>
        <v>#REF!</v>
      </c>
      <c r="M394" s="10" t="str">
        <f aca="false">VLOOKUP(J394,RECATALOGANDO!A:C,2,0)</f>
        <v>HONORARIOS MEDICOS</v>
      </c>
      <c r="N394" s="12" t="str">
        <f aca="false">VLOOKUP(M394,RECATALOGANDO!B:C,2,0)</f>
        <v>VENTA DE SERVICIO</v>
      </c>
      <c r="O394" s="2" t="s">
        <v>39</v>
      </c>
    </row>
    <row r="395" customFormat="false" ht="13.8" hidden="false" customHeight="false" outlineLevel="0" collapsed="false">
      <c r="A395" s="8" t="n">
        <v>45077</v>
      </c>
      <c r="B395" s="9" t="n">
        <f aca="false">DAY(A395)</f>
        <v>31</v>
      </c>
      <c r="C395" s="9" t="n">
        <f aca="false">MONTH(A395)</f>
        <v>5</v>
      </c>
      <c r="D395" s="9" t="n">
        <f aca="false">YEAR(A395)</f>
        <v>2023</v>
      </c>
      <c r="E395" s="9" t="n">
        <f aca="false">WEEKDAY(A395,2)</f>
        <v>3</v>
      </c>
      <c r="F395" s="10" t="n">
        <f aca="false">WEEKNUM(A395,2) - WEEKNUM(DATE(YEAR(A395),MONTH(A395),1),2) + 1</f>
        <v>5</v>
      </c>
      <c r="G395" s="10"/>
      <c r="H395" s="11" t="n">
        <v>650</v>
      </c>
      <c r="I395" s="12" t="s">
        <v>15</v>
      </c>
      <c r="J395" s="12" t="s">
        <v>54</v>
      </c>
      <c r="K395" s="12"/>
      <c r="L395" s="9" t="e">
        <f aca="false">L394+H395</f>
        <v>#REF!</v>
      </c>
      <c r="M395" s="10" t="str">
        <f aca="false">VLOOKUP(J395,RECATALOGANDO!A:C,2,0)</f>
        <v>SERVICIO DE LABORATORIO</v>
      </c>
      <c r="N395" s="12" t="str">
        <f aca="false">VLOOKUP(M395,RECATALOGANDO!B:C,2,0)</f>
        <v>VENTA DE SERVICIO</v>
      </c>
      <c r="O395" s="2" t="s">
        <v>39</v>
      </c>
    </row>
    <row r="396" customFormat="false" ht="13.8" hidden="false" customHeight="false" outlineLevel="0" collapsed="false">
      <c r="A396" s="8" t="n">
        <v>45077</v>
      </c>
      <c r="B396" s="9" t="n">
        <f aca="false">DAY(A396)</f>
        <v>31</v>
      </c>
      <c r="C396" s="9" t="n">
        <f aca="false">MONTH(A396)</f>
        <v>5</v>
      </c>
      <c r="D396" s="9" t="n">
        <f aca="false">YEAR(A396)</f>
        <v>2023</v>
      </c>
      <c r="E396" s="9" t="n">
        <f aca="false">WEEKDAY(A396,2)</f>
        <v>3</v>
      </c>
      <c r="F396" s="10" t="n">
        <f aca="false">WEEKNUM(A396,2) - WEEKNUM(DATE(YEAR(A396),MONTH(A396),1),2) + 1</f>
        <v>5</v>
      </c>
      <c r="G396" s="10"/>
      <c r="H396" s="11" t="n">
        <v>7174</v>
      </c>
      <c r="I396" s="12" t="s">
        <v>15</v>
      </c>
      <c r="J396" s="12" t="s">
        <v>41</v>
      </c>
      <c r="K396" s="12"/>
      <c r="L396" s="9" t="e">
        <f aca="false">L395+H396</f>
        <v>#REF!</v>
      </c>
      <c r="M396" s="10" t="str">
        <f aca="false">VLOOKUP(J396,RECATALOGANDO!A:C,2,0)</f>
        <v>HONORARIOS QUIRURGICOS</v>
      </c>
      <c r="N396" s="12" t="str">
        <f aca="false">VLOOKUP(M396,RECATALOGANDO!B:C,2,0)</f>
        <v>VENTA DE SERVICIO</v>
      </c>
      <c r="O396" s="2" t="s">
        <v>39</v>
      </c>
    </row>
    <row r="397" customFormat="false" ht="13.8" hidden="false" customHeight="false" outlineLevel="0" collapsed="false">
      <c r="A397" s="8" t="n">
        <v>45078</v>
      </c>
      <c r="B397" s="9" t="n">
        <f aca="false">DAY(A397)</f>
        <v>1</v>
      </c>
      <c r="C397" s="9" t="n">
        <f aca="false">MONTH(A397)</f>
        <v>6</v>
      </c>
      <c r="D397" s="9" t="n">
        <f aca="false">YEAR(A397)</f>
        <v>2023</v>
      </c>
      <c r="E397" s="9" t="n">
        <f aca="false">WEEKDAY(A397,2)</f>
        <v>4</v>
      </c>
      <c r="F397" s="10" t="n">
        <f aca="false">WEEKNUM(A397,2) - WEEKNUM(DATE(YEAR(A397),MONTH(A397),1),2) + 1</f>
        <v>1</v>
      </c>
      <c r="G397" s="10"/>
      <c r="H397" s="11" t="n">
        <v>689</v>
      </c>
      <c r="I397" s="12" t="s">
        <v>20</v>
      </c>
      <c r="J397" s="22" t="s">
        <v>51</v>
      </c>
      <c r="K397" s="12"/>
      <c r="L397" s="9" t="n">
        <f aca="false">H397</f>
        <v>689</v>
      </c>
      <c r="M397" s="10" t="str">
        <f aca="false">VLOOKUP(J397,RECATALOGANDO!A:C,2,0)</f>
        <v>VENTA DE ALIMENTO</v>
      </c>
      <c r="N397" s="12" t="str">
        <f aca="false">VLOOKUP(M397,RECATALOGANDO!B:C,2,0)</f>
        <v>VENTA DE PRODUCTO</v>
      </c>
      <c r="O397" s="2" t="s">
        <v>39</v>
      </c>
    </row>
    <row r="398" customFormat="false" ht="13.8" hidden="false" customHeight="false" outlineLevel="0" collapsed="false">
      <c r="A398" s="8" t="n">
        <v>45079</v>
      </c>
      <c r="B398" s="9" t="n">
        <f aca="false">DAY(A398)</f>
        <v>2</v>
      </c>
      <c r="C398" s="9" t="n">
        <f aca="false">MONTH(A398)</f>
        <v>6</v>
      </c>
      <c r="D398" s="9" t="n">
        <f aca="false">YEAR(A398)</f>
        <v>2023</v>
      </c>
      <c r="E398" s="9" t="n">
        <f aca="false">WEEKDAY(A398,2)</f>
        <v>5</v>
      </c>
      <c r="F398" s="10" t="n">
        <f aca="false">WEEKNUM(A398,2) - WEEKNUM(DATE(YEAR(A398),MONTH(A398),1),2) + 1</f>
        <v>1</v>
      </c>
      <c r="G398" s="10"/>
      <c r="H398" s="11" t="n">
        <v>509</v>
      </c>
      <c r="I398" s="12" t="s">
        <v>20</v>
      </c>
      <c r="J398" s="22" t="s">
        <v>45</v>
      </c>
      <c r="K398" s="12"/>
      <c r="L398" s="9" t="n">
        <f aca="false">L397+H398</f>
        <v>1198</v>
      </c>
      <c r="M398" s="10" t="str">
        <f aca="false">VLOOKUP(J398,RECATALOGANDO!A:C,2,0)</f>
        <v>VENTA DE MEDICAMENTO</v>
      </c>
      <c r="N398" s="12" t="str">
        <f aca="false">VLOOKUP(M398,RECATALOGANDO!B:C,2,0)</f>
        <v>VENTA DE PRODUCTO</v>
      </c>
      <c r="O398" s="2" t="s">
        <v>39</v>
      </c>
    </row>
    <row r="399" customFormat="false" ht="13.8" hidden="false" customHeight="false" outlineLevel="0" collapsed="false">
      <c r="A399" s="8" t="n">
        <v>45079</v>
      </c>
      <c r="B399" s="9" t="n">
        <f aca="false">DAY(A399)</f>
        <v>2</v>
      </c>
      <c r="C399" s="9" t="n">
        <f aca="false">MONTH(A399)</f>
        <v>6</v>
      </c>
      <c r="D399" s="9" t="n">
        <f aca="false">YEAR(A399)</f>
        <v>2023</v>
      </c>
      <c r="E399" s="9" t="n">
        <f aca="false">WEEKDAY(A399,2)</f>
        <v>5</v>
      </c>
      <c r="F399" s="10" t="n">
        <f aca="false">WEEKNUM(A399,2) - WEEKNUM(DATE(YEAR(A399),MONTH(A399),1),2) + 1</f>
        <v>1</v>
      </c>
      <c r="G399" s="10"/>
      <c r="H399" s="11" t="n">
        <v>3300</v>
      </c>
      <c r="I399" s="12" t="s">
        <v>15</v>
      </c>
      <c r="J399" s="22" t="s">
        <v>45</v>
      </c>
      <c r="K399" s="12"/>
      <c r="L399" s="9" t="n">
        <f aca="false">L398+H399</f>
        <v>4498</v>
      </c>
      <c r="M399" s="10" t="str">
        <f aca="false">VLOOKUP(J399,RECATALOGANDO!A:C,2,0)</f>
        <v>VENTA DE MEDICAMENTO</v>
      </c>
      <c r="N399" s="12" t="str">
        <f aca="false">VLOOKUP(M399,RECATALOGANDO!B:C,2,0)</f>
        <v>VENTA DE PRODUCTO</v>
      </c>
      <c r="O399" s="2" t="s">
        <v>39</v>
      </c>
    </row>
    <row r="400" customFormat="false" ht="13.8" hidden="false" customHeight="false" outlineLevel="0" collapsed="false">
      <c r="A400" s="8" t="n">
        <v>45079</v>
      </c>
      <c r="B400" s="9" t="n">
        <f aca="false">DAY(A400)</f>
        <v>2</v>
      </c>
      <c r="C400" s="9" t="n">
        <f aca="false">MONTH(A400)</f>
        <v>6</v>
      </c>
      <c r="D400" s="9" t="n">
        <f aca="false">YEAR(A400)</f>
        <v>2023</v>
      </c>
      <c r="E400" s="9" t="n">
        <f aca="false">WEEKDAY(A400,2)</f>
        <v>5</v>
      </c>
      <c r="F400" s="10" t="n">
        <f aca="false">WEEKNUM(A400,2) - WEEKNUM(DATE(YEAR(A400),MONTH(A400),1),2) + 1</f>
        <v>1</v>
      </c>
      <c r="G400" s="10"/>
      <c r="H400" s="11" t="n">
        <v>813</v>
      </c>
      <c r="I400" s="12" t="s">
        <v>15</v>
      </c>
      <c r="J400" s="22" t="s">
        <v>44</v>
      </c>
      <c r="K400" s="12"/>
      <c r="L400" s="9" t="n">
        <f aca="false">L399+H400</f>
        <v>5311</v>
      </c>
      <c r="M400" s="10" t="str">
        <f aca="false">VLOOKUP(J400,RECATALOGANDO!A:C,2,0)</f>
        <v>HONORARIOS MEDICOS</v>
      </c>
      <c r="N400" s="12" t="str">
        <f aca="false">VLOOKUP(M400,RECATALOGANDO!B:C,2,0)</f>
        <v>VENTA DE SERVICIO</v>
      </c>
      <c r="O400" s="2" t="s">
        <v>39</v>
      </c>
    </row>
    <row r="401" customFormat="false" ht="13.8" hidden="false" customHeight="false" outlineLevel="0" collapsed="false">
      <c r="A401" s="8" t="n">
        <v>45080</v>
      </c>
      <c r="B401" s="9" t="n">
        <f aca="false">DAY(A401)</f>
        <v>3</v>
      </c>
      <c r="C401" s="9" t="n">
        <f aca="false">MONTH(A401)</f>
        <v>6</v>
      </c>
      <c r="D401" s="9" t="n">
        <f aca="false">YEAR(A401)</f>
        <v>2023</v>
      </c>
      <c r="E401" s="9" t="n">
        <f aca="false">WEEKDAY(A401,2)</f>
        <v>6</v>
      </c>
      <c r="F401" s="10" t="n">
        <f aca="false">WEEKNUM(A401,2) - WEEKNUM(DATE(YEAR(A401),MONTH(A401),1),2) + 1</f>
        <v>1</v>
      </c>
      <c r="G401" s="10"/>
      <c r="H401" s="11" t="n">
        <v>585</v>
      </c>
      <c r="I401" s="12" t="s">
        <v>15</v>
      </c>
      <c r="J401" s="22" t="s">
        <v>57</v>
      </c>
      <c r="K401" s="12"/>
      <c r="L401" s="9" t="n">
        <f aca="false">L400+H401</f>
        <v>5896</v>
      </c>
      <c r="M401" s="10" t="str">
        <f aca="false">VLOOKUP(J401,RECATALOGANDO!A:C,2,0)</f>
        <v>SERVICIO DE CREMACION</v>
      </c>
      <c r="N401" s="12" t="str">
        <f aca="false">VLOOKUP(M401,RECATALOGANDO!B:C,2,0)</f>
        <v>VENTA DE SERVICIO</v>
      </c>
      <c r="O401" s="2" t="s">
        <v>39</v>
      </c>
    </row>
    <row r="402" customFormat="false" ht="13.8" hidden="false" customHeight="false" outlineLevel="0" collapsed="false">
      <c r="A402" s="8" t="n">
        <v>45081</v>
      </c>
      <c r="B402" s="9" t="n">
        <f aca="false">DAY(A402)</f>
        <v>4</v>
      </c>
      <c r="C402" s="9" t="n">
        <f aca="false">MONTH(A402)</f>
        <v>6</v>
      </c>
      <c r="D402" s="9" t="n">
        <f aca="false">YEAR(A402)</f>
        <v>2023</v>
      </c>
      <c r="E402" s="9" t="n">
        <f aca="false">WEEKDAY(A402,2)</f>
        <v>7</v>
      </c>
      <c r="F402" s="10" t="n">
        <f aca="false">WEEKNUM(A402,2) - WEEKNUM(DATE(YEAR(A402),MONTH(A402),1),2) + 1</f>
        <v>1</v>
      </c>
      <c r="G402" s="10"/>
      <c r="H402" s="11" t="n">
        <v>1105</v>
      </c>
      <c r="I402" s="12" t="s">
        <v>15</v>
      </c>
      <c r="J402" s="22" t="s">
        <v>44</v>
      </c>
      <c r="K402" s="12"/>
      <c r="L402" s="9" t="n">
        <f aca="false">L401+H402</f>
        <v>7001</v>
      </c>
      <c r="M402" s="10" t="str">
        <f aca="false">VLOOKUP(J402,RECATALOGANDO!A:C,2,0)</f>
        <v>HONORARIOS MEDICOS</v>
      </c>
      <c r="N402" s="12" t="str">
        <f aca="false">VLOOKUP(M402,RECATALOGANDO!B:C,2,0)</f>
        <v>VENTA DE SERVICIO</v>
      </c>
      <c r="O402" s="2" t="s">
        <v>39</v>
      </c>
    </row>
    <row r="403" customFormat="false" ht="13.8" hidden="false" customHeight="false" outlineLevel="0" collapsed="false">
      <c r="A403" s="8" t="n">
        <v>45082</v>
      </c>
      <c r="B403" s="9" t="n">
        <f aca="false">DAY(A403)</f>
        <v>5</v>
      </c>
      <c r="C403" s="9" t="n">
        <f aca="false">MONTH(A403)</f>
        <v>6</v>
      </c>
      <c r="D403" s="9" t="n">
        <f aca="false">YEAR(A403)</f>
        <v>2023</v>
      </c>
      <c r="E403" s="9" t="n">
        <f aca="false">WEEKDAY(A403,2)</f>
        <v>1</v>
      </c>
      <c r="F403" s="10" t="n">
        <f aca="false">WEEKNUM(A403,2) - WEEKNUM(DATE(YEAR(A403),MONTH(A403),1),2) + 1</f>
        <v>2</v>
      </c>
      <c r="G403" s="10"/>
      <c r="H403" s="11" t="n">
        <v>160</v>
      </c>
      <c r="I403" s="12" t="s">
        <v>20</v>
      </c>
      <c r="J403" s="22" t="s">
        <v>53</v>
      </c>
      <c r="K403" s="12"/>
      <c r="L403" s="9" t="n">
        <f aca="false">L402+H403</f>
        <v>7161</v>
      </c>
      <c r="M403" s="10" t="str">
        <f aca="false">VLOOKUP(J403,RECATALOGANDO!A:C,2,0)</f>
        <v>SERVICIO DE GROOMING</v>
      </c>
      <c r="N403" s="12" t="str">
        <f aca="false">VLOOKUP(M403,RECATALOGANDO!B:C,2,0)</f>
        <v>VENTA DE SERVICIO</v>
      </c>
      <c r="O403" s="2" t="s">
        <v>39</v>
      </c>
    </row>
    <row r="404" customFormat="false" ht="13.8" hidden="false" customHeight="false" outlineLevel="0" collapsed="false">
      <c r="A404" s="8" t="n">
        <v>45082</v>
      </c>
      <c r="B404" s="9" t="n">
        <f aca="false">DAY(A404)</f>
        <v>5</v>
      </c>
      <c r="C404" s="9" t="n">
        <f aca="false">MONTH(A404)</f>
        <v>6</v>
      </c>
      <c r="D404" s="9" t="n">
        <f aca="false">YEAR(A404)</f>
        <v>2023</v>
      </c>
      <c r="E404" s="9" t="n">
        <f aca="false">WEEKDAY(A404,2)</f>
        <v>1</v>
      </c>
      <c r="F404" s="10" t="n">
        <f aca="false">WEEKNUM(A404,2) - WEEKNUM(DATE(YEAR(A404),MONTH(A404),1),2) + 1</f>
        <v>2</v>
      </c>
      <c r="G404" s="10"/>
      <c r="H404" s="11" t="n">
        <v>2880</v>
      </c>
      <c r="I404" s="12" t="s">
        <v>20</v>
      </c>
      <c r="J404" s="22" t="s">
        <v>41</v>
      </c>
      <c r="K404" s="12"/>
      <c r="L404" s="9" t="n">
        <f aca="false">L403+H404</f>
        <v>10041</v>
      </c>
      <c r="M404" s="10" t="str">
        <f aca="false">VLOOKUP(J404,RECATALOGANDO!A:C,2,0)</f>
        <v>HONORARIOS QUIRURGICOS</v>
      </c>
      <c r="N404" s="12" t="str">
        <f aca="false">VLOOKUP(M404,RECATALOGANDO!B:C,2,0)</f>
        <v>VENTA DE SERVICIO</v>
      </c>
      <c r="O404" s="2" t="s">
        <v>39</v>
      </c>
    </row>
    <row r="405" customFormat="false" ht="13.8" hidden="false" customHeight="false" outlineLevel="0" collapsed="false">
      <c r="A405" s="8" t="n">
        <v>45082</v>
      </c>
      <c r="B405" s="9" t="n">
        <f aca="false">DAY(A405)</f>
        <v>5</v>
      </c>
      <c r="C405" s="9" t="n">
        <f aca="false">MONTH(A405)</f>
        <v>6</v>
      </c>
      <c r="D405" s="9" t="n">
        <f aca="false">YEAR(A405)</f>
        <v>2023</v>
      </c>
      <c r="E405" s="9" t="n">
        <f aca="false">WEEKDAY(A405,2)</f>
        <v>1</v>
      </c>
      <c r="F405" s="10" t="n">
        <f aca="false">WEEKNUM(A405,2) - WEEKNUM(DATE(YEAR(A405),MONTH(A405),1),2) + 1</f>
        <v>2</v>
      </c>
      <c r="G405" s="10"/>
      <c r="H405" s="11" t="n">
        <v>2940</v>
      </c>
      <c r="I405" s="12" t="s">
        <v>20</v>
      </c>
      <c r="J405" s="22" t="s">
        <v>41</v>
      </c>
      <c r="K405" s="12"/>
      <c r="L405" s="9" t="n">
        <f aca="false">L404+H405</f>
        <v>12981</v>
      </c>
      <c r="M405" s="10" t="str">
        <f aca="false">VLOOKUP(J405,RECATALOGANDO!A:C,2,0)</f>
        <v>HONORARIOS QUIRURGICOS</v>
      </c>
      <c r="N405" s="12" t="str">
        <f aca="false">VLOOKUP(M405,RECATALOGANDO!B:C,2,0)</f>
        <v>VENTA DE SERVICIO</v>
      </c>
      <c r="O405" s="2" t="s">
        <v>39</v>
      </c>
    </row>
    <row r="406" customFormat="false" ht="13.8" hidden="false" customHeight="false" outlineLevel="0" collapsed="false">
      <c r="A406" s="8" t="n">
        <v>45083</v>
      </c>
      <c r="B406" s="9" t="n">
        <f aca="false">DAY(A406)</f>
        <v>6</v>
      </c>
      <c r="C406" s="9" t="n">
        <f aca="false">MONTH(A406)</f>
        <v>6</v>
      </c>
      <c r="D406" s="9" t="n">
        <f aca="false">YEAR(A406)</f>
        <v>2023</v>
      </c>
      <c r="E406" s="9" t="n">
        <f aca="false">WEEKDAY(A406,2)</f>
        <v>2</v>
      </c>
      <c r="F406" s="10" t="n">
        <f aca="false">WEEKNUM(A406,2) - WEEKNUM(DATE(YEAR(A406),MONTH(A406),1),2) + 1</f>
        <v>2</v>
      </c>
      <c r="G406" s="10"/>
      <c r="H406" s="11" t="n">
        <v>838</v>
      </c>
      <c r="I406" s="12" t="s">
        <v>20</v>
      </c>
      <c r="J406" s="22" t="s">
        <v>51</v>
      </c>
      <c r="K406" s="12"/>
      <c r="L406" s="9" t="n">
        <f aca="false">L405+H406</f>
        <v>13819</v>
      </c>
      <c r="M406" s="10" t="str">
        <f aca="false">VLOOKUP(J406,RECATALOGANDO!A:C,2,0)</f>
        <v>VENTA DE ALIMENTO</v>
      </c>
      <c r="N406" s="12" t="str">
        <f aca="false">VLOOKUP(M406,RECATALOGANDO!B:C,2,0)</f>
        <v>VENTA DE PRODUCTO</v>
      </c>
      <c r="O406" s="2" t="s">
        <v>39</v>
      </c>
    </row>
    <row r="407" customFormat="false" ht="13.8" hidden="false" customHeight="false" outlineLevel="0" collapsed="false">
      <c r="A407" s="8" t="n">
        <v>45084</v>
      </c>
      <c r="B407" s="9" t="n">
        <f aca="false">DAY(A407)</f>
        <v>7</v>
      </c>
      <c r="C407" s="9" t="n">
        <f aca="false">MONTH(A407)</f>
        <v>6</v>
      </c>
      <c r="D407" s="9" t="n">
        <f aca="false">YEAR(A407)</f>
        <v>2023</v>
      </c>
      <c r="E407" s="9" t="n">
        <f aca="false">WEEKDAY(A407,2)</f>
        <v>3</v>
      </c>
      <c r="F407" s="10" t="n">
        <f aca="false">WEEKNUM(A407,2) - WEEKNUM(DATE(YEAR(A407),MONTH(A407),1),2) + 1</f>
        <v>2</v>
      </c>
      <c r="G407" s="10"/>
      <c r="H407" s="11" t="n">
        <v>1272</v>
      </c>
      <c r="I407" s="12" t="s">
        <v>15</v>
      </c>
      <c r="J407" s="22" t="s">
        <v>45</v>
      </c>
      <c r="K407" s="12"/>
      <c r="L407" s="9" t="n">
        <f aca="false">L406+H407</f>
        <v>15091</v>
      </c>
      <c r="M407" s="10" t="str">
        <f aca="false">VLOOKUP(J407,RECATALOGANDO!A:C,2,0)</f>
        <v>VENTA DE MEDICAMENTO</v>
      </c>
      <c r="N407" s="12" t="str">
        <f aca="false">VLOOKUP(M407,RECATALOGANDO!B:C,2,0)</f>
        <v>VENTA DE PRODUCTO</v>
      </c>
      <c r="O407" s="2" t="s">
        <v>39</v>
      </c>
    </row>
    <row r="408" customFormat="false" ht="13.8" hidden="false" customHeight="false" outlineLevel="0" collapsed="false">
      <c r="A408" s="8" t="n">
        <v>45088</v>
      </c>
      <c r="B408" s="9" t="n">
        <f aca="false">DAY(A408)</f>
        <v>11</v>
      </c>
      <c r="C408" s="9" t="n">
        <f aca="false">MONTH(A408)</f>
        <v>6</v>
      </c>
      <c r="D408" s="9" t="n">
        <f aca="false">YEAR(A408)</f>
        <v>2023</v>
      </c>
      <c r="E408" s="9" t="n">
        <f aca="false">WEEKDAY(A408,2)</f>
        <v>7</v>
      </c>
      <c r="F408" s="10" t="n">
        <f aca="false">WEEKNUM(A408,2) - WEEKNUM(DATE(YEAR(A408),MONTH(A408),1),2) + 1</f>
        <v>2</v>
      </c>
      <c r="G408" s="10"/>
      <c r="H408" s="11" t="n">
        <v>1637.64</v>
      </c>
      <c r="I408" s="12" t="s">
        <v>15</v>
      </c>
      <c r="J408" s="22" t="s">
        <v>51</v>
      </c>
      <c r="K408" s="12"/>
      <c r="L408" s="9" t="n">
        <f aca="false">L407+H408</f>
        <v>16728.64</v>
      </c>
      <c r="M408" s="10" t="str">
        <f aca="false">VLOOKUP(J408,RECATALOGANDO!A:C,2,0)</f>
        <v>VENTA DE ALIMENTO</v>
      </c>
      <c r="N408" s="12" t="str">
        <f aca="false">VLOOKUP(M408,RECATALOGANDO!B:C,2,0)</f>
        <v>VENTA DE PRODUCTO</v>
      </c>
      <c r="O408" s="2" t="s">
        <v>39</v>
      </c>
    </row>
    <row r="409" customFormat="false" ht="13.8" hidden="false" customHeight="false" outlineLevel="0" collapsed="false">
      <c r="A409" s="8" t="n">
        <v>45089</v>
      </c>
      <c r="B409" s="9" t="n">
        <f aca="false">DAY(A409)</f>
        <v>12</v>
      </c>
      <c r="C409" s="9" t="n">
        <f aca="false">MONTH(A409)</f>
        <v>6</v>
      </c>
      <c r="D409" s="9" t="n">
        <f aca="false">YEAR(A409)</f>
        <v>2023</v>
      </c>
      <c r="E409" s="9" t="n">
        <f aca="false">WEEKDAY(A409,2)</f>
        <v>1</v>
      </c>
      <c r="F409" s="10" t="n">
        <f aca="false">WEEKNUM(A409,2) - WEEKNUM(DATE(YEAR(A409),MONTH(A409),1),2) + 1</f>
        <v>3</v>
      </c>
      <c r="G409" s="10"/>
      <c r="H409" s="11" t="n">
        <v>900</v>
      </c>
      <c r="I409" s="12" t="s">
        <v>20</v>
      </c>
      <c r="J409" s="22" t="s">
        <v>45</v>
      </c>
      <c r="K409" s="12"/>
      <c r="L409" s="9" t="n">
        <f aca="false">L408+H409</f>
        <v>17628.64</v>
      </c>
      <c r="M409" s="10" t="str">
        <f aca="false">VLOOKUP(J409,RECATALOGANDO!A:C,2,0)</f>
        <v>VENTA DE MEDICAMENTO</v>
      </c>
      <c r="N409" s="12" t="str">
        <f aca="false">VLOOKUP(M409,RECATALOGANDO!B:C,2,0)</f>
        <v>VENTA DE PRODUCTO</v>
      </c>
      <c r="O409" s="2" t="s">
        <v>39</v>
      </c>
    </row>
    <row r="410" customFormat="false" ht="13.8" hidden="false" customHeight="false" outlineLevel="0" collapsed="false">
      <c r="A410" s="8" t="n">
        <v>45089</v>
      </c>
      <c r="B410" s="9" t="n">
        <f aca="false">DAY(A410)</f>
        <v>12</v>
      </c>
      <c r="C410" s="9" t="n">
        <f aca="false">MONTH(A410)</f>
        <v>6</v>
      </c>
      <c r="D410" s="9" t="n">
        <f aca="false">YEAR(A410)</f>
        <v>2023</v>
      </c>
      <c r="E410" s="9" t="n">
        <f aca="false">WEEKDAY(A410,2)</f>
        <v>1</v>
      </c>
      <c r="F410" s="10" t="n">
        <f aca="false">WEEKNUM(A410,2) - WEEKNUM(DATE(YEAR(A410),MONTH(A410),1),2) + 1</f>
        <v>3</v>
      </c>
      <c r="G410" s="10"/>
      <c r="H410" s="11" t="n">
        <v>1000</v>
      </c>
      <c r="I410" s="12" t="s">
        <v>20</v>
      </c>
      <c r="J410" s="22" t="s">
        <v>45</v>
      </c>
      <c r="K410" s="12"/>
      <c r="L410" s="9" t="n">
        <f aca="false">L409+H410</f>
        <v>18628.64</v>
      </c>
      <c r="M410" s="10" t="str">
        <f aca="false">VLOOKUP(J410,RECATALOGANDO!A:C,2,0)</f>
        <v>VENTA DE MEDICAMENTO</v>
      </c>
      <c r="N410" s="12" t="str">
        <f aca="false">VLOOKUP(M410,RECATALOGANDO!B:C,2,0)</f>
        <v>VENTA DE PRODUCTO</v>
      </c>
      <c r="O410" s="2" t="s">
        <v>39</v>
      </c>
    </row>
    <row r="411" customFormat="false" ht="13.8" hidden="false" customHeight="false" outlineLevel="0" collapsed="false">
      <c r="A411" s="8" t="n">
        <v>45089</v>
      </c>
      <c r="B411" s="9" t="n">
        <f aca="false">DAY(A411)</f>
        <v>12</v>
      </c>
      <c r="C411" s="9" t="n">
        <f aca="false">MONTH(A411)</f>
        <v>6</v>
      </c>
      <c r="D411" s="9" t="n">
        <f aca="false">YEAR(A411)</f>
        <v>2023</v>
      </c>
      <c r="E411" s="9" t="n">
        <f aca="false">WEEKDAY(A411,2)</f>
        <v>1</v>
      </c>
      <c r="F411" s="10" t="n">
        <f aca="false">WEEKNUM(A411,2) - WEEKNUM(DATE(YEAR(A411),MONTH(A411),1),2) + 1</f>
        <v>3</v>
      </c>
      <c r="G411" s="10"/>
      <c r="H411" s="11" t="n">
        <v>1050</v>
      </c>
      <c r="I411" s="12" t="s">
        <v>20</v>
      </c>
      <c r="J411" s="22" t="s">
        <v>58</v>
      </c>
      <c r="K411" s="12"/>
      <c r="L411" s="9" t="n">
        <f aca="false">L410+H411</f>
        <v>19678.64</v>
      </c>
      <c r="M411" s="10" t="str">
        <f aca="false">VLOOKUP(J411,RECATALOGANDO!A:C,2,0)</f>
        <v>SERVICIO DE LABORATORIO</v>
      </c>
      <c r="N411" s="12" t="str">
        <f aca="false">VLOOKUP(M411,RECATALOGANDO!B:C,2,0)</f>
        <v>VENTA DE SERVICIO</v>
      </c>
      <c r="O411" s="2" t="s">
        <v>39</v>
      </c>
    </row>
    <row r="412" customFormat="false" ht="13.8" hidden="false" customHeight="false" outlineLevel="0" collapsed="false">
      <c r="A412" s="8" t="n">
        <v>45090</v>
      </c>
      <c r="B412" s="9" t="n">
        <f aca="false">DAY(A412)</f>
        <v>13</v>
      </c>
      <c r="C412" s="9" t="n">
        <f aca="false">MONTH(A412)</f>
        <v>6</v>
      </c>
      <c r="D412" s="9" t="n">
        <f aca="false">YEAR(A412)</f>
        <v>2023</v>
      </c>
      <c r="E412" s="9" t="n">
        <f aca="false">WEEKDAY(A412,2)</f>
        <v>2</v>
      </c>
      <c r="F412" s="10" t="n">
        <f aca="false">WEEKNUM(A412,2) - WEEKNUM(DATE(YEAR(A412),MONTH(A412),1),2) + 1</f>
        <v>3</v>
      </c>
      <c r="G412" s="10"/>
      <c r="H412" s="11" t="n">
        <v>3288</v>
      </c>
      <c r="I412" s="12" t="s">
        <v>15</v>
      </c>
      <c r="J412" s="22" t="s">
        <v>45</v>
      </c>
      <c r="K412" s="12"/>
      <c r="L412" s="9" t="n">
        <f aca="false">L411+H412</f>
        <v>22966.64</v>
      </c>
      <c r="M412" s="10" t="str">
        <f aca="false">VLOOKUP(J412,RECATALOGANDO!A:C,2,0)</f>
        <v>VENTA DE MEDICAMENTO</v>
      </c>
      <c r="N412" s="12" t="str">
        <f aca="false">VLOOKUP(M412,RECATALOGANDO!B:C,2,0)</f>
        <v>VENTA DE PRODUCTO</v>
      </c>
      <c r="O412" s="2" t="s">
        <v>39</v>
      </c>
    </row>
    <row r="413" customFormat="false" ht="13.8" hidden="false" customHeight="false" outlineLevel="0" collapsed="false">
      <c r="A413" s="8" t="n">
        <v>45090</v>
      </c>
      <c r="B413" s="9" t="n">
        <f aca="false">DAY(A413)</f>
        <v>13</v>
      </c>
      <c r="C413" s="9" t="n">
        <f aca="false">MONTH(A413)</f>
        <v>6</v>
      </c>
      <c r="D413" s="9" t="n">
        <f aca="false">YEAR(A413)</f>
        <v>2023</v>
      </c>
      <c r="E413" s="9" t="n">
        <f aca="false">WEEKDAY(A413,2)</f>
        <v>2</v>
      </c>
      <c r="F413" s="10" t="n">
        <f aca="false">WEEKNUM(A413,2) - WEEKNUM(DATE(YEAR(A413),MONTH(A413),1),2) + 1</f>
        <v>3</v>
      </c>
      <c r="G413" s="10"/>
      <c r="H413" s="11" t="n">
        <v>488.7</v>
      </c>
      <c r="I413" s="12" t="s">
        <v>15</v>
      </c>
      <c r="J413" s="22" t="s">
        <v>44</v>
      </c>
      <c r="K413" s="12"/>
      <c r="L413" s="9" t="n">
        <f aca="false">L412+H413</f>
        <v>23455.34</v>
      </c>
      <c r="M413" s="10" t="str">
        <f aca="false">VLOOKUP(J413,RECATALOGANDO!A:C,2,0)</f>
        <v>HONORARIOS MEDICOS</v>
      </c>
      <c r="N413" s="12" t="str">
        <f aca="false">VLOOKUP(M413,RECATALOGANDO!B:C,2,0)</f>
        <v>VENTA DE SERVICIO</v>
      </c>
      <c r="O413" s="2" t="s">
        <v>39</v>
      </c>
    </row>
    <row r="414" customFormat="false" ht="13.8" hidden="false" customHeight="false" outlineLevel="0" collapsed="false">
      <c r="A414" s="8" t="n">
        <v>45090</v>
      </c>
      <c r="B414" s="9" t="n">
        <f aca="false">DAY(A414)</f>
        <v>13</v>
      </c>
      <c r="C414" s="9" t="n">
        <f aca="false">MONTH(A414)</f>
        <v>6</v>
      </c>
      <c r="D414" s="9" t="n">
        <f aca="false">YEAR(A414)</f>
        <v>2023</v>
      </c>
      <c r="E414" s="9" t="n">
        <f aca="false">WEEKDAY(A414,2)</f>
        <v>2</v>
      </c>
      <c r="F414" s="10" t="n">
        <f aca="false">WEEKNUM(A414,2) - WEEKNUM(DATE(YEAR(A414),MONTH(A414),1),2) + 1</f>
        <v>3</v>
      </c>
      <c r="G414" s="10"/>
      <c r="H414" s="11" t="n">
        <v>650</v>
      </c>
      <c r="I414" s="12" t="s">
        <v>15</v>
      </c>
      <c r="J414" s="22" t="s">
        <v>44</v>
      </c>
      <c r="K414" s="12"/>
      <c r="L414" s="9" t="n">
        <f aca="false">L413+H414</f>
        <v>24105.34</v>
      </c>
      <c r="M414" s="10" t="str">
        <f aca="false">VLOOKUP(J414,RECATALOGANDO!A:C,2,0)</f>
        <v>HONORARIOS MEDICOS</v>
      </c>
      <c r="N414" s="12" t="str">
        <f aca="false">VLOOKUP(M414,RECATALOGANDO!B:C,2,0)</f>
        <v>VENTA DE SERVICIO</v>
      </c>
      <c r="O414" s="2" t="s">
        <v>39</v>
      </c>
    </row>
    <row r="415" customFormat="false" ht="13.8" hidden="false" customHeight="false" outlineLevel="0" collapsed="false">
      <c r="A415" s="8" t="n">
        <v>45091</v>
      </c>
      <c r="B415" s="9" t="n">
        <f aca="false">DAY(A415)</f>
        <v>14</v>
      </c>
      <c r="C415" s="9" t="n">
        <f aca="false">MONTH(A415)</f>
        <v>6</v>
      </c>
      <c r="D415" s="9" t="n">
        <f aca="false">YEAR(A415)</f>
        <v>2023</v>
      </c>
      <c r="E415" s="9" t="n">
        <f aca="false">WEEKDAY(A415,2)</f>
        <v>3</v>
      </c>
      <c r="F415" s="10" t="n">
        <f aca="false">WEEKNUM(A415,2) - WEEKNUM(DATE(YEAR(A415),MONTH(A415),1),2) + 1</f>
        <v>3</v>
      </c>
      <c r="G415" s="10"/>
      <c r="H415" s="11" t="n">
        <v>1185</v>
      </c>
      <c r="I415" s="12" t="s">
        <v>20</v>
      </c>
      <c r="J415" s="22" t="s">
        <v>51</v>
      </c>
      <c r="K415" s="12"/>
      <c r="L415" s="9" t="n">
        <f aca="false">L414+H415</f>
        <v>25290.34</v>
      </c>
      <c r="M415" s="10" t="str">
        <f aca="false">VLOOKUP(J415,RECATALOGANDO!A:C,2,0)</f>
        <v>VENTA DE ALIMENTO</v>
      </c>
      <c r="N415" s="12" t="str">
        <f aca="false">VLOOKUP(M415,RECATALOGANDO!B:C,2,0)</f>
        <v>VENTA DE PRODUCTO</v>
      </c>
      <c r="O415" s="2" t="s">
        <v>39</v>
      </c>
    </row>
    <row r="416" customFormat="false" ht="13.8" hidden="false" customHeight="false" outlineLevel="0" collapsed="false">
      <c r="A416" s="8" t="n">
        <v>45091</v>
      </c>
      <c r="B416" s="9" t="n">
        <f aca="false">DAY(A416)</f>
        <v>14</v>
      </c>
      <c r="C416" s="9" t="n">
        <f aca="false">MONTH(A416)</f>
        <v>6</v>
      </c>
      <c r="D416" s="9" t="n">
        <f aca="false">YEAR(A416)</f>
        <v>2023</v>
      </c>
      <c r="E416" s="9" t="n">
        <f aca="false">WEEKDAY(A416,2)</f>
        <v>3</v>
      </c>
      <c r="F416" s="10" t="n">
        <f aca="false">WEEKNUM(A416,2) - WEEKNUM(DATE(YEAR(A416),MONTH(A416),1),2) + 1</f>
        <v>3</v>
      </c>
      <c r="G416" s="10"/>
      <c r="H416" s="11" t="n">
        <v>1588</v>
      </c>
      <c r="I416" s="12" t="s">
        <v>15</v>
      </c>
      <c r="J416" s="22" t="s">
        <v>45</v>
      </c>
      <c r="K416" s="12"/>
      <c r="L416" s="9" t="n">
        <f aca="false">L415+H416</f>
        <v>26878.34</v>
      </c>
      <c r="M416" s="10" t="str">
        <f aca="false">VLOOKUP(J416,RECATALOGANDO!A:C,2,0)</f>
        <v>VENTA DE MEDICAMENTO</v>
      </c>
      <c r="N416" s="12" t="str">
        <f aca="false">VLOOKUP(M416,RECATALOGANDO!B:C,2,0)</f>
        <v>VENTA DE PRODUCTO</v>
      </c>
      <c r="O416" s="2" t="s">
        <v>39</v>
      </c>
    </row>
    <row r="417" customFormat="false" ht="13.8" hidden="false" customHeight="false" outlineLevel="0" collapsed="false">
      <c r="A417" s="8" t="n">
        <v>45091</v>
      </c>
      <c r="B417" s="9" t="n">
        <f aca="false">DAY(A417)</f>
        <v>14</v>
      </c>
      <c r="C417" s="9" t="n">
        <f aca="false">MONTH(A417)</f>
        <v>6</v>
      </c>
      <c r="D417" s="9" t="n">
        <f aca="false">YEAR(A417)</f>
        <v>2023</v>
      </c>
      <c r="E417" s="9" t="n">
        <f aca="false">WEEKDAY(A417,2)</f>
        <v>3</v>
      </c>
      <c r="F417" s="10" t="n">
        <f aca="false">WEEKNUM(A417,2) - WEEKNUM(DATE(YEAR(A417),MONTH(A417),1),2) + 1</f>
        <v>3</v>
      </c>
      <c r="G417" s="10"/>
      <c r="H417" s="11" t="n">
        <v>260</v>
      </c>
      <c r="I417" s="12" t="s">
        <v>20</v>
      </c>
      <c r="J417" s="22" t="s">
        <v>44</v>
      </c>
      <c r="K417" s="12"/>
      <c r="L417" s="9" t="n">
        <f aca="false">L416+H417</f>
        <v>27138.34</v>
      </c>
      <c r="M417" s="10" t="str">
        <f aca="false">VLOOKUP(J417,RECATALOGANDO!A:C,2,0)</f>
        <v>HONORARIOS MEDICOS</v>
      </c>
      <c r="N417" s="12" t="str">
        <f aca="false">VLOOKUP(M417,RECATALOGANDO!B:C,2,0)</f>
        <v>VENTA DE SERVICIO</v>
      </c>
      <c r="O417" s="2" t="s">
        <v>39</v>
      </c>
    </row>
    <row r="418" customFormat="false" ht="13.8" hidden="false" customHeight="false" outlineLevel="0" collapsed="false">
      <c r="A418" s="8" t="n">
        <v>45091</v>
      </c>
      <c r="B418" s="9" t="n">
        <f aca="false">DAY(A418)</f>
        <v>14</v>
      </c>
      <c r="C418" s="9" t="n">
        <f aca="false">MONTH(A418)</f>
        <v>6</v>
      </c>
      <c r="D418" s="9" t="n">
        <f aca="false">YEAR(A418)</f>
        <v>2023</v>
      </c>
      <c r="E418" s="9" t="n">
        <f aca="false">WEEKDAY(A418,2)</f>
        <v>3</v>
      </c>
      <c r="F418" s="10" t="n">
        <f aca="false">WEEKNUM(A418,2) - WEEKNUM(DATE(YEAR(A418),MONTH(A418),1),2) + 1</f>
        <v>3</v>
      </c>
      <c r="G418" s="10"/>
      <c r="H418" s="11" t="n">
        <v>297.05</v>
      </c>
      <c r="I418" s="12" t="s">
        <v>15</v>
      </c>
      <c r="J418" s="22" t="s">
        <v>44</v>
      </c>
      <c r="K418" s="12"/>
      <c r="L418" s="9" t="n">
        <f aca="false">L417+H418</f>
        <v>27435.39</v>
      </c>
      <c r="M418" s="10" t="str">
        <f aca="false">VLOOKUP(J418,RECATALOGANDO!A:C,2,0)</f>
        <v>HONORARIOS MEDICOS</v>
      </c>
      <c r="N418" s="12" t="str">
        <f aca="false">VLOOKUP(M418,RECATALOGANDO!B:C,2,0)</f>
        <v>VENTA DE SERVICIO</v>
      </c>
      <c r="O418" s="2" t="s">
        <v>39</v>
      </c>
    </row>
    <row r="419" customFormat="false" ht="13.8" hidden="false" customHeight="false" outlineLevel="0" collapsed="false">
      <c r="A419" s="8" t="n">
        <v>45091</v>
      </c>
      <c r="B419" s="9" t="n">
        <f aca="false">DAY(A419)</f>
        <v>14</v>
      </c>
      <c r="C419" s="9" t="n">
        <f aca="false">MONTH(A419)</f>
        <v>6</v>
      </c>
      <c r="D419" s="9" t="n">
        <f aca="false">YEAR(A419)</f>
        <v>2023</v>
      </c>
      <c r="E419" s="9" t="n">
        <f aca="false">WEEKDAY(A419,2)</f>
        <v>3</v>
      </c>
      <c r="F419" s="10" t="n">
        <f aca="false">WEEKNUM(A419,2) - WEEKNUM(DATE(YEAR(A419),MONTH(A419),1),2) + 1</f>
        <v>3</v>
      </c>
      <c r="G419" s="10"/>
      <c r="H419" s="11" t="n">
        <v>400</v>
      </c>
      <c r="I419" s="12" t="s">
        <v>20</v>
      </c>
      <c r="J419" s="22" t="s">
        <v>44</v>
      </c>
      <c r="K419" s="12"/>
      <c r="L419" s="9" t="n">
        <f aca="false">L418+H419</f>
        <v>27835.39</v>
      </c>
      <c r="M419" s="10" t="str">
        <f aca="false">VLOOKUP(J419,RECATALOGANDO!A:C,2,0)</f>
        <v>HONORARIOS MEDICOS</v>
      </c>
      <c r="N419" s="12" t="str">
        <f aca="false">VLOOKUP(M419,RECATALOGANDO!B:C,2,0)</f>
        <v>VENTA DE SERVICIO</v>
      </c>
      <c r="O419" s="2" t="s">
        <v>39</v>
      </c>
    </row>
    <row r="420" customFormat="false" ht="13.8" hidden="false" customHeight="false" outlineLevel="0" collapsed="false">
      <c r="A420" s="8" t="n">
        <v>45091</v>
      </c>
      <c r="B420" s="9" t="n">
        <f aca="false">DAY(A420)</f>
        <v>14</v>
      </c>
      <c r="C420" s="9" t="n">
        <f aca="false">MONTH(A420)</f>
        <v>6</v>
      </c>
      <c r="D420" s="9" t="n">
        <f aca="false">YEAR(A420)</f>
        <v>2023</v>
      </c>
      <c r="E420" s="9" t="n">
        <f aca="false">WEEKDAY(A420,2)</f>
        <v>3</v>
      </c>
      <c r="F420" s="10" t="n">
        <f aca="false">WEEKNUM(A420,2) - WEEKNUM(DATE(YEAR(A420),MONTH(A420),1),2) + 1</f>
        <v>3</v>
      </c>
      <c r="G420" s="10"/>
      <c r="H420" s="11" t="n">
        <v>749</v>
      </c>
      <c r="I420" s="12" t="s">
        <v>15</v>
      </c>
      <c r="J420" s="22" t="s">
        <v>54</v>
      </c>
      <c r="K420" s="12"/>
      <c r="L420" s="9" t="n">
        <f aca="false">L419+H420</f>
        <v>28584.39</v>
      </c>
      <c r="M420" s="10" t="str">
        <f aca="false">VLOOKUP(J420,RECATALOGANDO!A:C,2,0)</f>
        <v>SERVICIO DE LABORATORIO</v>
      </c>
      <c r="N420" s="12" t="str">
        <f aca="false">VLOOKUP(M420,RECATALOGANDO!B:C,2,0)</f>
        <v>VENTA DE SERVICIO</v>
      </c>
      <c r="O420" s="2" t="s">
        <v>39</v>
      </c>
    </row>
    <row r="421" customFormat="false" ht="13.8" hidden="false" customHeight="false" outlineLevel="0" collapsed="false">
      <c r="A421" s="8" t="n">
        <v>45091</v>
      </c>
      <c r="B421" s="9" t="n">
        <f aca="false">DAY(A421)</f>
        <v>14</v>
      </c>
      <c r="C421" s="9" t="n">
        <f aca="false">MONTH(A421)</f>
        <v>6</v>
      </c>
      <c r="D421" s="9" t="n">
        <f aca="false">YEAR(A421)</f>
        <v>2023</v>
      </c>
      <c r="E421" s="9" t="n">
        <f aca="false">WEEKDAY(A421,2)</f>
        <v>3</v>
      </c>
      <c r="F421" s="10" t="n">
        <f aca="false">WEEKNUM(A421,2) - WEEKNUM(DATE(YEAR(A421),MONTH(A421),1),2) + 1</f>
        <v>3</v>
      </c>
      <c r="G421" s="10"/>
      <c r="H421" s="11" t="n">
        <v>1400</v>
      </c>
      <c r="I421" s="12" t="s">
        <v>20</v>
      </c>
      <c r="J421" s="22" t="s">
        <v>41</v>
      </c>
      <c r="K421" s="12"/>
      <c r="L421" s="9" t="n">
        <f aca="false">L420+H421</f>
        <v>29984.39</v>
      </c>
      <c r="M421" s="10" t="str">
        <f aca="false">VLOOKUP(J421,RECATALOGANDO!A:C,2,0)</f>
        <v>HONORARIOS QUIRURGICOS</v>
      </c>
      <c r="N421" s="12" t="str">
        <f aca="false">VLOOKUP(M421,RECATALOGANDO!B:C,2,0)</f>
        <v>VENTA DE SERVICIO</v>
      </c>
      <c r="O421" s="2" t="s">
        <v>39</v>
      </c>
    </row>
    <row r="422" customFormat="false" ht="13.8" hidden="false" customHeight="false" outlineLevel="0" collapsed="false">
      <c r="A422" s="8" t="n">
        <v>45092</v>
      </c>
      <c r="B422" s="9" t="n">
        <f aca="false">DAY(A422)</f>
        <v>15</v>
      </c>
      <c r="C422" s="9" t="n">
        <f aca="false">MONTH(A422)</f>
        <v>6</v>
      </c>
      <c r="D422" s="9" t="n">
        <f aca="false">YEAR(A422)</f>
        <v>2023</v>
      </c>
      <c r="E422" s="9" t="n">
        <f aca="false">WEEKDAY(A422,2)</f>
        <v>4</v>
      </c>
      <c r="F422" s="10" t="n">
        <f aca="false">WEEKNUM(A422,2) - WEEKNUM(DATE(YEAR(A422),MONTH(A422),1),2) + 1</f>
        <v>3</v>
      </c>
      <c r="G422" s="10" t="n">
        <v>1</v>
      </c>
      <c r="H422" s="11" t="n">
        <v>1068</v>
      </c>
      <c r="I422" s="12" t="s">
        <v>15</v>
      </c>
      <c r="J422" s="22" t="s">
        <v>45</v>
      </c>
      <c r="K422" s="12"/>
      <c r="L422" s="9" t="n">
        <f aca="false">L421+H422</f>
        <v>31052.39</v>
      </c>
      <c r="M422" s="10" t="str">
        <f aca="false">VLOOKUP(J422,RECATALOGANDO!A:C,2,0)</f>
        <v>VENTA DE MEDICAMENTO</v>
      </c>
      <c r="N422" s="12" t="str">
        <f aca="false">VLOOKUP(M422,RECATALOGANDO!B:C,2,0)</f>
        <v>VENTA DE PRODUCTO</v>
      </c>
      <c r="O422" s="2" t="s">
        <v>39</v>
      </c>
    </row>
    <row r="423" customFormat="false" ht="13.8" hidden="false" customHeight="false" outlineLevel="0" collapsed="false">
      <c r="A423" s="8" t="n">
        <v>45092</v>
      </c>
      <c r="B423" s="9" t="n">
        <f aca="false">DAY(A423)</f>
        <v>15</v>
      </c>
      <c r="C423" s="9" t="n">
        <f aca="false">MONTH(A423)</f>
        <v>6</v>
      </c>
      <c r="D423" s="9" t="n">
        <f aca="false">YEAR(A423)</f>
        <v>2023</v>
      </c>
      <c r="E423" s="9" t="n">
        <f aca="false">WEEKDAY(A423,2)</f>
        <v>4</v>
      </c>
      <c r="F423" s="10" t="n">
        <f aca="false">WEEKNUM(A423,2) - WEEKNUM(DATE(YEAR(A423),MONTH(A423),1),2) + 1</f>
        <v>3</v>
      </c>
      <c r="G423" s="10" t="n">
        <v>1</v>
      </c>
      <c r="H423" s="11" t="n">
        <v>300</v>
      </c>
      <c r="I423" s="12" t="s">
        <v>20</v>
      </c>
      <c r="J423" s="22" t="s">
        <v>57</v>
      </c>
      <c r="K423" s="12"/>
      <c r="L423" s="9" t="n">
        <f aca="false">L422+H423</f>
        <v>31352.39</v>
      </c>
      <c r="M423" s="10" t="str">
        <f aca="false">VLOOKUP(J423,RECATALOGANDO!A:C,2,0)</f>
        <v>SERVICIO DE CREMACION</v>
      </c>
      <c r="N423" s="12" t="str">
        <f aca="false">VLOOKUP(M423,RECATALOGANDO!B:C,2,0)</f>
        <v>VENTA DE SERVICIO</v>
      </c>
      <c r="O423" s="2" t="s">
        <v>39</v>
      </c>
    </row>
    <row r="424" customFormat="false" ht="13.8" hidden="false" customHeight="false" outlineLevel="0" collapsed="false">
      <c r="A424" s="8" t="n">
        <v>45092</v>
      </c>
      <c r="B424" s="9" t="n">
        <f aca="false">DAY(A424)</f>
        <v>15</v>
      </c>
      <c r="C424" s="9" t="n">
        <f aca="false">MONTH(A424)</f>
        <v>6</v>
      </c>
      <c r="D424" s="9" t="n">
        <f aca="false">YEAR(A424)</f>
        <v>2023</v>
      </c>
      <c r="E424" s="9" t="n">
        <f aca="false">WEEKDAY(A424,2)</f>
        <v>4</v>
      </c>
      <c r="F424" s="10" t="n">
        <f aca="false">WEEKNUM(A424,2) - WEEKNUM(DATE(YEAR(A424),MONTH(A424),1),2) + 1</f>
        <v>3</v>
      </c>
      <c r="G424" s="10" t="n">
        <v>1</v>
      </c>
      <c r="H424" s="11" t="n">
        <v>390</v>
      </c>
      <c r="I424" s="12" t="s">
        <v>20</v>
      </c>
      <c r="J424" s="22" t="s">
        <v>44</v>
      </c>
      <c r="K424" s="12"/>
      <c r="L424" s="9" t="n">
        <f aca="false">L423+H424</f>
        <v>31742.39</v>
      </c>
      <c r="M424" s="10" t="str">
        <f aca="false">VLOOKUP(J424,RECATALOGANDO!A:C,2,0)</f>
        <v>HONORARIOS MEDICOS</v>
      </c>
      <c r="N424" s="12" t="str">
        <f aca="false">VLOOKUP(M424,RECATALOGANDO!B:C,2,0)</f>
        <v>VENTA DE SERVICIO</v>
      </c>
      <c r="O424" s="2" t="s">
        <v>39</v>
      </c>
    </row>
    <row r="425" customFormat="false" ht="13.8" hidden="false" customHeight="false" outlineLevel="0" collapsed="false">
      <c r="A425" s="8" t="n">
        <v>45092</v>
      </c>
      <c r="B425" s="9" t="n">
        <f aca="false">DAY(A425)</f>
        <v>15</v>
      </c>
      <c r="C425" s="9" t="n">
        <f aca="false">MONTH(A425)</f>
        <v>6</v>
      </c>
      <c r="D425" s="9" t="n">
        <f aca="false">YEAR(A425)</f>
        <v>2023</v>
      </c>
      <c r="E425" s="9" t="n">
        <f aca="false">WEEKDAY(A425,2)</f>
        <v>4</v>
      </c>
      <c r="F425" s="10" t="n">
        <f aca="false">WEEKNUM(A425,2) - WEEKNUM(DATE(YEAR(A425),MONTH(A425),1),2) + 1</f>
        <v>3</v>
      </c>
      <c r="G425" s="10" t="n">
        <v>1</v>
      </c>
      <c r="H425" s="11" t="n">
        <v>650</v>
      </c>
      <c r="I425" s="12" t="s">
        <v>15</v>
      </c>
      <c r="J425" s="22" t="s">
        <v>44</v>
      </c>
      <c r="K425" s="12"/>
      <c r="L425" s="9" t="n">
        <f aca="false">L424+H425</f>
        <v>32392.39</v>
      </c>
      <c r="M425" s="10" t="str">
        <f aca="false">VLOOKUP(J425,RECATALOGANDO!A:C,2,0)</f>
        <v>HONORARIOS MEDICOS</v>
      </c>
      <c r="N425" s="12" t="str">
        <f aca="false">VLOOKUP(M425,RECATALOGANDO!B:C,2,0)</f>
        <v>VENTA DE SERVICIO</v>
      </c>
      <c r="O425" s="2" t="s">
        <v>39</v>
      </c>
    </row>
    <row r="426" customFormat="false" ht="13.8" hidden="false" customHeight="false" outlineLevel="0" collapsed="false">
      <c r="A426" s="8" t="n">
        <v>45092</v>
      </c>
      <c r="B426" s="9" t="n">
        <f aca="false">DAY(A426)</f>
        <v>15</v>
      </c>
      <c r="C426" s="9" t="n">
        <f aca="false">MONTH(A426)</f>
        <v>6</v>
      </c>
      <c r="D426" s="9" t="n">
        <f aca="false">YEAR(A426)</f>
        <v>2023</v>
      </c>
      <c r="E426" s="9" t="n">
        <f aca="false">WEEKDAY(A426,2)</f>
        <v>4</v>
      </c>
      <c r="F426" s="10" t="n">
        <f aca="false">WEEKNUM(A426,2) - WEEKNUM(DATE(YEAR(A426),MONTH(A426),1),2) + 1</f>
        <v>3</v>
      </c>
      <c r="G426" s="10" t="n">
        <v>1</v>
      </c>
      <c r="H426" s="11" t="n">
        <v>706</v>
      </c>
      <c r="I426" s="12" t="s">
        <v>15</v>
      </c>
      <c r="J426" s="22" t="s">
        <v>44</v>
      </c>
      <c r="K426" s="12"/>
      <c r="L426" s="9" t="n">
        <f aca="false">L425+H426</f>
        <v>33098.39</v>
      </c>
      <c r="M426" s="10" t="str">
        <f aca="false">VLOOKUP(J426,RECATALOGANDO!A:C,2,0)</f>
        <v>HONORARIOS MEDICOS</v>
      </c>
      <c r="N426" s="12" t="str">
        <f aca="false">VLOOKUP(M426,RECATALOGANDO!B:C,2,0)</f>
        <v>VENTA DE SERVICIO</v>
      </c>
      <c r="O426" s="2" t="s">
        <v>39</v>
      </c>
    </row>
    <row r="427" customFormat="false" ht="13.8" hidden="false" customHeight="false" outlineLevel="0" collapsed="false">
      <c r="A427" s="8" t="n">
        <v>45093</v>
      </c>
      <c r="B427" s="9" t="n">
        <f aca="false">DAY(A427)</f>
        <v>16</v>
      </c>
      <c r="C427" s="9" t="n">
        <f aca="false">MONTH(A427)</f>
        <v>6</v>
      </c>
      <c r="D427" s="9" t="n">
        <f aca="false">YEAR(A427)</f>
        <v>2023</v>
      </c>
      <c r="E427" s="9" t="n">
        <f aca="false">WEEKDAY(A427,2)</f>
        <v>5</v>
      </c>
      <c r="F427" s="10" t="n">
        <f aca="false">WEEKNUM(A427,2) - WEEKNUM(DATE(YEAR(A427),MONTH(A427),1),2) + 1</f>
        <v>3</v>
      </c>
      <c r="G427" s="10"/>
      <c r="H427" s="11" t="n">
        <v>887</v>
      </c>
      <c r="I427" s="12" t="s">
        <v>15</v>
      </c>
      <c r="J427" s="22" t="s">
        <v>45</v>
      </c>
      <c r="K427" s="12"/>
      <c r="L427" s="9" t="n">
        <f aca="false">L426+H427</f>
        <v>33985.39</v>
      </c>
      <c r="M427" s="10" t="str">
        <f aca="false">VLOOKUP(J427,RECATALOGANDO!A:C,2,0)</f>
        <v>VENTA DE MEDICAMENTO</v>
      </c>
      <c r="N427" s="12" t="str">
        <f aca="false">VLOOKUP(M427,RECATALOGANDO!B:C,2,0)</f>
        <v>VENTA DE PRODUCTO</v>
      </c>
      <c r="O427" s="2" t="s">
        <v>39</v>
      </c>
    </row>
    <row r="428" customFormat="false" ht="13.8" hidden="false" customHeight="false" outlineLevel="0" collapsed="false">
      <c r="A428" s="8" t="n">
        <v>45093</v>
      </c>
      <c r="B428" s="9" t="n">
        <f aca="false">DAY(A428)</f>
        <v>16</v>
      </c>
      <c r="C428" s="9" t="n">
        <f aca="false">MONTH(A428)</f>
        <v>6</v>
      </c>
      <c r="D428" s="9" t="n">
        <f aca="false">YEAR(A428)</f>
        <v>2023</v>
      </c>
      <c r="E428" s="9" t="n">
        <f aca="false">WEEKDAY(A428,2)</f>
        <v>5</v>
      </c>
      <c r="F428" s="10" t="n">
        <f aca="false">WEEKNUM(A428,2) - WEEKNUM(DATE(YEAR(A428),MONTH(A428),1),2) + 1</f>
        <v>3</v>
      </c>
      <c r="G428" s="10"/>
      <c r="H428" s="11" t="n">
        <v>2350</v>
      </c>
      <c r="I428" s="12" t="s">
        <v>15</v>
      </c>
      <c r="J428" s="22" t="s">
        <v>41</v>
      </c>
      <c r="K428" s="12"/>
      <c r="L428" s="9" t="n">
        <f aca="false">L427+H428</f>
        <v>36335.39</v>
      </c>
      <c r="M428" s="10" t="str">
        <f aca="false">VLOOKUP(J428,RECATALOGANDO!A:C,2,0)</f>
        <v>HONORARIOS QUIRURGICOS</v>
      </c>
      <c r="N428" s="12" t="str">
        <f aca="false">VLOOKUP(M428,RECATALOGANDO!B:C,2,0)</f>
        <v>VENTA DE SERVICIO</v>
      </c>
      <c r="O428" s="2" t="s">
        <v>39</v>
      </c>
    </row>
    <row r="429" customFormat="false" ht="13.8" hidden="false" customHeight="false" outlineLevel="0" collapsed="false">
      <c r="A429" s="8" t="n">
        <v>45094</v>
      </c>
      <c r="B429" s="9" t="n">
        <f aca="false">DAY(A429)</f>
        <v>17</v>
      </c>
      <c r="C429" s="9" t="n">
        <f aca="false">MONTH(A429)</f>
        <v>6</v>
      </c>
      <c r="D429" s="9" t="n">
        <f aca="false">YEAR(A429)</f>
        <v>2023</v>
      </c>
      <c r="E429" s="9" t="n">
        <f aca="false">WEEKDAY(A429,2)</f>
        <v>6</v>
      </c>
      <c r="F429" s="10" t="n">
        <f aca="false">WEEKNUM(A429,2) - WEEKNUM(DATE(YEAR(A429),MONTH(A429),1),2) + 1</f>
        <v>3</v>
      </c>
      <c r="G429" s="10"/>
      <c r="H429" s="11" t="n">
        <v>148.53</v>
      </c>
      <c r="I429" s="12" t="s">
        <v>15</v>
      </c>
      <c r="J429" s="22" t="s">
        <v>53</v>
      </c>
      <c r="K429" s="12"/>
      <c r="L429" s="9" t="n">
        <f aca="false">L428+H429</f>
        <v>36483.92</v>
      </c>
      <c r="M429" s="10" t="str">
        <f aca="false">VLOOKUP(J429,RECATALOGANDO!A:C,2,0)</f>
        <v>SERVICIO DE GROOMING</v>
      </c>
      <c r="N429" s="12" t="str">
        <f aca="false">VLOOKUP(M429,RECATALOGANDO!B:C,2,0)</f>
        <v>VENTA DE SERVICIO</v>
      </c>
      <c r="O429" s="2" t="s">
        <v>39</v>
      </c>
    </row>
    <row r="430" customFormat="false" ht="13.8" hidden="false" customHeight="false" outlineLevel="0" collapsed="false">
      <c r="A430" s="8" t="n">
        <v>45095</v>
      </c>
      <c r="B430" s="9" t="n">
        <f aca="false">DAY(A430)</f>
        <v>18</v>
      </c>
      <c r="C430" s="9" t="n">
        <f aca="false">MONTH(A430)</f>
        <v>6</v>
      </c>
      <c r="D430" s="9" t="n">
        <f aca="false">YEAR(A430)</f>
        <v>2023</v>
      </c>
      <c r="E430" s="9" t="n">
        <f aca="false">WEEKDAY(A430,2)</f>
        <v>7</v>
      </c>
      <c r="F430" s="10" t="n">
        <f aca="false">WEEKNUM(A430,2) - WEEKNUM(DATE(YEAR(A430),MONTH(A430),1),2) + 1</f>
        <v>3</v>
      </c>
      <c r="G430" s="10"/>
      <c r="H430" s="11" t="n">
        <v>248.19</v>
      </c>
      <c r="I430" s="12" t="s">
        <v>15</v>
      </c>
      <c r="J430" s="22" t="s">
        <v>53</v>
      </c>
      <c r="K430" s="12"/>
      <c r="L430" s="9" t="n">
        <f aca="false">L429+H430</f>
        <v>36732.11</v>
      </c>
      <c r="M430" s="10" t="str">
        <f aca="false">VLOOKUP(J430,RECATALOGANDO!A:C,2,0)</f>
        <v>SERVICIO DE GROOMING</v>
      </c>
      <c r="N430" s="12" t="str">
        <f aca="false">VLOOKUP(M430,RECATALOGANDO!B:C,2,0)</f>
        <v>VENTA DE SERVICIO</v>
      </c>
      <c r="O430" s="2" t="s">
        <v>39</v>
      </c>
    </row>
    <row r="431" customFormat="false" ht="13.8" hidden="false" customHeight="false" outlineLevel="0" collapsed="false">
      <c r="A431" s="8" t="n">
        <v>45096</v>
      </c>
      <c r="B431" s="9" t="n">
        <f aca="false">DAY(A431)</f>
        <v>19</v>
      </c>
      <c r="C431" s="9" t="n">
        <f aca="false">MONTH(A431)</f>
        <v>6</v>
      </c>
      <c r="D431" s="9" t="n">
        <f aca="false">YEAR(A431)</f>
        <v>2023</v>
      </c>
      <c r="E431" s="9" t="n">
        <f aca="false">WEEKDAY(A431,2)</f>
        <v>1</v>
      </c>
      <c r="F431" s="10" t="n">
        <f aca="false">WEEKNUM(A431,2) - WEEKNUM(DATE(YEAR(A431),MONTH(A431),1),2) + 1</f>
        <v>4</v>
      </c>
      <c r="G431" s="10"/>
      <c r="H431" s="11" t="n">
        <v>248</v>
      </c>
      <c r="I431" s="12" t="s">
        <v>15</v>
      </c>
      <c r="J431" s="22" t="s">
        <v>45</v>
      </c>
      <c r="K431" s="12"/>
      <c r="L431" s="9" t="n">
        <f aca="false">L430+H431</f>
        <v>36980.11</v>
      </c>
      <c r="M431" s="10" t="str">
        <f aca="false">VLOOKUP(J431,RECATALOGANDO!A:C,2,0)</f>
        <v>VENTA DE MEDICAMENTO</v>
      </c>
      <c r="N431" s="12" t="str">
        <f aca="false">VLOOKUP(M431,RECATALOGANDO!B:C,2,0)</f>
        <v>VENTA DE PRODUCTO</v>
      </c>
      <c r="O431" s="2" t="s">
        <v>39</v>
      </c>
    </row>
    <row r="432" customFormat="false" ht="13.8" hidden="false" customHeight="false" outlineLevel="0" collapsed="false">
      <c r="A432" s="8" t="n">
        <v>45096</v>
      </c>
      <c r="B432" s="9" t="n">
        <f aca="false">DAY(A432)</f>
        <v>19</v>
      </c>
      <c r="C432" s="9" t="n">
        <f aca="false">MONTH(A432)</f>
        <v>6</v>
      </c>
      <c r="D432" s="9" t="n">
        <f aca="false">YEAR(A432)</f>
        <v>2023</v>
      </c>
      <c r="E432" s="9" t="n">
        <f aca="false">WEEKDAY(A432,2)</f>
        <v>1</v>
      </c>
      <c r="F432" s="10" t="n">
        <f aca="false">WEEKNUM(A432,2) - WEEKNUM(DATE(YEAR(A432),MONTH(A432),1),2) + 1</f>
        <v>4</v>
      </c>
      <c r="G432" s="10"/>
      <c r="H432" s="11" t="n">
        <v>1314</v>
      </c>
      <c r="I432" s="12" t="s">
        <v>20</v>
      </c>
      <c r="J432" s="22" t="s">
        <v>51</v>
      </c>
      <c r="K432" s="12"/>
      <c r="L432" s="9" t="n">
        <f aca="false">L431+H432</f>
        <v>38294.11</v>
      </c>
      <c r="M432" s="10" t="str">
        <f aca="false">VLOOKUP(J432,RECATALOGANDO!A:C,2,0)</f>
        <v>VENTA DE ALIMENTO</v>
      </c>
      <c r="N432" s="12" t="str">
        <f aca="false">VLOOKUP(M432,RECATALOGANDO!B:C,2,0)</f>
        <v>VENTA DE PRODUCTO</v>
      </c>
      <c r="O432" s="2" t="s">
        <v>39</v>
      </c>
    </row>
    <row r="433" customFormat="false" ht="13.8" hidden="false" customHeight="false" outlineLevel="0" collapsed="false">
      <c r="A433" s="8" t="n">
        <v>45096</v>
      </c>
      <c r="B433" s="9" t="n">
        <f aca="false">DAY(A433)</f>
        <v>19</v>
      </c>
      <c r="C433" s="9" t="n">
        <f aca="false">MONTH(A433)</f>
        <v>6</v>
      </c>
      <c r="D433" s="9" t="n">
        <f aca="false">YEAR(A433)</f>
        <v>2023</v>
      </c>
      <c r="E433" s="9" t="n">
        <f aca="false">WEEKDAY(A433,2)</f>
        <v>1</v>
      </c>
      <c r="F433" s="10" t="n">
        <f aca="false">WEEKNUM(A433,2) - WEEKNUM(DATE(YEAR(A433),MONTH(A433),1),2) + 1</f>
        <v>4</v>
      </c>
      <c r="G433" s="10"/>
      <c r="H433" s="11" t="n">
        <v>705</v>
      </c>
      <c r="I433" s="12" t="s">
        <v>15</v>
      </c>
      <c r="J433" s="22" t="s">
        <v>57</v>
      </c>
      <c r="K433" s="12"/>
      <c r="L433" s="9" t="n">
        <f aca="false">L432+H433</f>
        <v>38999.11</v>
      </c>
      <c r="M433" s="10" t="str">
        <f aca="false">VLOOKUP(J433,RECATALOGANDO!A:C,2,0)</f>
        <v>SERVICIO DE CREMACION</v>
      </c>
      <c r="N433" s="12" t="str">
        <f aca="false">VLOOKUP(M433,RECATALOGANDO!B:C,2,0)</f>
        <v>VENTA DE SERVICIO</v>
      </c>
      <c r="O433" s="2" t="s">
        <v>39</v>
      </c>
    </row>
    <row r="434" customFormat="false" ht="13.8" hidden="false" customHeight="false" outlineLevel="0" collapsed="false">
      <c r="A434" s="8" t="n">
        <v>45096</v>
      </c>
      <c r="B434" s="9" t="n">
        <f aca="false">DAY(A434)</f>
        <v>19</v>
      </c>
      <c r="C434" s="9" t="n">
        <f aca="false">MONTH(A434)</f>
        <v>6</v>
      </c>
      <c r="D434" s="9" t="n">
        <f aca="false">YEAR(A434)</f>
        <v>2023</v>
      </c>
      <c r="E434" s="9" t="n">
        <f aca="false">WEEKDAY(A434,2)</f>
        <v>1</v>
      </c>
      <c r="F434" s="10" t="n">
        <f aca="false">WEEKNUM(A434,2) - WEEKNUM(DATE(YEAR(A434),MONTH(A434),1),2) + 1</f>
        <v>4</v>
      </c>
      <c r="G434" s="10"/>
      <c r="H434" s="11" t="n">
        <v>1441</v>
      </c>
      <c r="I434" s="12" t="s">
        <v>20</v>
      </c>
      <c r="J434" s="22" t="s">
        <v>44</v>
      </c>
      <c r="K434" s="12"/>
      <c r="L434" s="9" t="n">
        <f aca="false">L433+H434</f>
        <v>40440.11</v>
      </c>
      <c r="M434" s="10" t="str">
        <f aca="false">VLOOKUP(J434,RECATALOGANDO!A:C,2,0)</f>
        <v>HONORARIOS MEDICOS</v>
      </c>
      <c r="N434" s="12" t="str">
        <f aca="false">VLOOKUP(M434,RECATALOGANDO!B:C,2,0)</f>
        <v>VENTA DE SERVICIO</v>
      </c>
      <c r="O434" s="2" t="s">
        <v>39</v>
      </c>
    </row>
    <row r="435" customFormat="false" ht="13.8" hidden="false" customHeight="false" outlineLevel="0" collapsed="false">
      <c r="A435" s="8" t="n">
        <v>45096</v>
      </c>
      <c r="B435" s="9" t="n">
        <f aca="false">DAY(A435)</f>
        <v>19</v>
      </c>
      <c r="C435" s="9" t="n">
        <f aca="false">MONTH(A435)</f>
        <v>6</v>
      </c>
      <c r="D435" s="9" t="n">
        <f aca="false">YEAR(A435)</f>
        <v>2023</v>
      </c>
      <c r="E435" s="9" t="n">
        <f aca="false">WEEKDAY(A435,2)</f>
        <v>1</v>
      </c>
      <c r="F435" s="10" t="n">
        <f aca="false">WEEKNUM(A435,2) - WEEKNUM(DATE(YEAR(A435),MONTH(A435),1),2) + 1</f>
        <v>4</v>
      </c>
      <c r="G435" s="10"/>
      <c r="H435" s="11" t="n">
        <v>1920</v>
      </c>
      <c r="I435" s="12" t="s">
        <v>20</v>
      </c>
      <c r="J435" s="22" t="s">
        <v>58</v>
      </c>
      <c r="K435" s="12"/>
      <c r="L435" s="9" t="n">
        <f aca="false">L434+H435</f>
        <v>42360.11</v>
      </c>
      <c r="M435" s="10" t="str">
        <f aca="false">VLOOKUP(J435,RECATALOGANDO!A:C,2,0)</f>
        <v>SERVICIO DE LABORATORIO</v>
      </c>
      <c r="N435" s="12" t="str">
        <f aca="false">VLOOKUP(M435,RECATALOGANDO!B:C,2,0)</f>
        <v>VENTA DE SERVICIO</v>
      </c>
      <c r="O435" s="2" t="s">
        <v>39</v>
      </c>
    </row>
    <row r="436" customFormat="false" ht="13.8" hidden="false" customHeight="false" outlineLevel="0" collapsed="false">
      <c r="A436" s="8" t="n">
        <v>45097</v>
      </c>
      <c r="B436" s="9" t="n">
        <f aca="false">DAY(A436)</f>
        <v>20</v>
      </c>
      <c r="C436" s="9" t="n">
        <f aca="false">MONTH(A436)</f>
        <v>6</v>
      </c>
      <c r="D436" s="9" t="n">
        <f aca="false">YEAR(A436)</f>
        <v>2023</v>
      </c>
      <c r="E436" s="9" t="n">
        <f aca="false">WEEKDAY(A436,2)</f>
        <v>2</v>
      </c>
      <c r="F436" s="10" t="n">
        <f aca="false">WEEKNUM(A436,2) - WEEKNUM(DATE(YEAR(A436),MONTH(A436),1),2) + 1</f>
        <v>4</v>
      </c>
      <c r="G436" s="10"/>
      <c r="H436" s="11" t="n">
        <v>1183</v>
      </c>
      <c r="I436" s="12" t="s">
        <v>15</v>
      </c>
      <c r="J436" s="22" t="s">
        <v>45</v>
      </c>
      <c r="K436" s="12"/>
      <c r="L436" s="9" t="n">
        <f aca="false">L435+H436</f>
        <v>43543.11</v>
      </c>
      <c r="M436" s="10" t="str">
        <f aca="false">VLOOKUP(J436,RECATALOGANDO!A:C,2,0)</f>
        <v>VENTA DE MEDICAMENTO</v>
      </c>
      <c r="N436" s="12" t="str">
        <f aca="false">VLOOKUP(M436,RECATALOGANDO!B:C,2,0)</f>
        <v>VENTA DE PRODUCTO</v>
      </c>
      <c r="O436" s="2" t="s">
        <v>39</v>
      </c>
    </row>
    <row r="437" customFormat="false" ht="13.8" hidden="false" customHeight="false" outlineLevel="0" collapsed="false">
      <c r="A437" s="8" t="n">
        <v>45097</v>
      </c>
      <c r="B437" s="9" t="n">
        <f aca="false">DAY(A437)</f>
        <v>20</v>
      </c>
      <c r="C437" s="9" t="n">
        <f aca="false">MONTH(A437)</f>
        <v>6</v>
      </c>
      <c r="D437" s="9" t="n">
        <f aca="false">YEAR(A437)</f>
        <v>2023</v>
      </c>
      <c r="E437" s="9" t="n">
        <f aca="false">WEEKDAY(A437,2)</f>
        <v>2</v>
      </c>
      <c r="F437" s="10" t="n">
        <f aca="false">WEEKNUM(A437,2) - WEEKNUM(DATE(YEAR(A437),MONTH(A437),1),2) + 1</f>
        <v>4</v>
      </c>
      <c r="G437" s="10"/>
      <c r="H437" s="11" t="n">
        <v>180</v>
      </c>
      <c r="I437" s="12" t="s">
        <v>20</v>
      </c>
      <c r="J437" s="22" t="s">
        <v>53</v>
      </c>
      <c r="K437" s="12"/>
      <c r="L437" s="9" t="n">
        <f aca="false">L436+H437</f>
        <v>43723.11</v>
      </c>
      <c r="M437" s="10" t="str">
        <f aca="false">VLOOKUP(J437,RECATALOGANDO!A:C,2,0)</f>
        <v>SERVICIO DE GROOMING</v>
      </c>
      <c r="N437" s="12" t="str">
        <f aca="false">VLOOKUP(M437,RECATALOGANDO!B:C,2,0)</f>
        <v>VENTA DE SERVICIO</v>
      </c>
      <c r="O437" s="2" t="s">
        <v>39</v>
      </c>
    </row>
    <row r="438" customFormat="false" ht="13.8" hidden="false" customHeight="false" outlineLevel="0" collapsed="false">
      <c r="A438" s="8" t="n">
        <v>45097</v>
      </c>
      <c r="B438" s="9" t="n">
        <f aca="false">DAY(A438)</f>
        <v>20</v>
      </c>
      <c r="C438" s="9" t="n">
        <f aca="false">MONTH(A438)</f>
        <v>6</v>
      </c>
      <c r="D438" s="9" t="n">
        <f aca="false">YEAR(A438)</f>
        <v>2023</v>
      </c>
      <c r="E438" s="9" t="n">
        <f aca="false">WEEKDAY(A438,2)</f>
        <v>2</v>
      </c>
      <c r="F438" s="10" t="n">
        <f aca="false">WEEKNUM(A438,2) - WEEKNUM(DATE(YEAR(A438),MONTH(A438),1),2) + 1</f>
        <v>4</v>
      </c>
      <c r="G438" s="10"/>
      <c r="H438" s="11" t="n">
        <v>240</v>
      </c>
      <c r="I438" s="12" t="s">
        <v>15</v>
      </c>
      <c r="J438" s="22" t="s">
        <v>53</v>
      </c>
      <c r="K438" s="12"/>
      <c r="L438" s="9" t="n">
        <f aca="false">L437+H438</f>
        <v>43963.11</v>
      </c>
      <c r="M438" s="10" t="str">
        <f aca="false">VLOOKUP(J438,RECATALOGANDO!A:C,2,0)</f>
        <v>SERVICIO DE GROOMING</v>
      </c>
      <c r="N438" s="12" t="str">
        <f aca="false">VLOOKUP(M438,RECATALOGANDO!B:C,2,0)</f>
        <v>VENTA DE SERVICIO</v>
      </c>
      <c r="O438" s="2" t="s">
        <v>39</v>
      </c>
    </row>
    <row r="439" customFormat="false" ht="13.8" hidden="false" customHeight="false" outlineLevel="0" collapsed="false">
      <c r="A439" s="8" t="n">
        <v>45097</v>
      </c>
      <c r="B439" s="9" t="n">
        <f aca="false">DAY(A439)</f>
        <v>20</v>
      </c>
      <c r="C439" s="9" t="n">
        <f aca="false">MONTH(A439)</f>
        <v>6</v>
      </c>
      <c r="D439" s="9" t="n">
        <f aca="false">YEAR(A439)</f>
        <v>2023</v>
      </c>
      <c r="E439" s="9" t="n">
        <f aca="false">WEEKDAY(A439,2)</f>
        <v>2</v>
      </c>
      <c r="F439" s="10" t="n">
        <f aca="false">WEEKNUM(A439,2) - WEEKNUM(DATE(YEAR(A439),MONTH(A439),1),2) + 1</f>
        <v>4</v>
      </c>
      <c r="G439" s="10"/>
      <c r="H439" s="11" t="n">
        <v>1160</v>
      </c>
      <c r="I439" s="12" t="s">
        <v>15</v>
      </c>
      <c r="J439" s="22" t="s">
        <v>54</v>
      </c>
      <c r="K439" s="12"/>
      <c r="L439" s="9" t="n">
        <f aca="false">L438+H439</f>
        <v>45123.11</v>
      </c>
      <c r="M439" s="10" t="str">
        <f aca="false">VLOOKUP(J439,RECATALOGANDO!A:C,2,0)</f>
        <v>SERVICIO DE LABORATORIO</v>
      </c>
      <c r="N439" s="12" t="str">
        <f aca="false">VLOOKUP(M439,RECATALOGANDO!B:C,2,0)</f>
        <v>VENTA DE SERVICIO</v>
      </c>
      <c r="O439" s="2" t="s">
        <v>39</v>
      </c>
    </row>
    <row r="440" customFormat="false" ht="13.8" hidden="false" customHeight="false" outlineLevel="0" collapsed="false">
      <c r="A440" s="8" t="n">
        <v>45098</v>
      </c>
      <c r="B440" s="9" t="n">
        <f aca="false">DAY(A440)</f>
        <v>21</v>
      </c>
      <c r="C440" s="9" t="n">
        <f aca="false">MONTH(A440)</f>
        <v>6</v>
      </c>
      <c r="D440" s="9" t="n">
        <f aca="false">YEAR(A440)</f>
        <v>2023</v>
      </c>
      <c r="E440" s="9" t="n">
        <f aca="false">WEEKDAY(A440,2)</f>
        <v>3</v>
      </c>
      <c r="F440" s="10" t="n">
        <f aca="false">WEEKNUM(A440,2) - WEEKNUM(DATE(YEAR(A440),MONTH(A440),1),2) + 1</f>
        <v>4</v>
      </c>
      <c r="G440" s="10"/>
      <c r="H440" s="11" t="n">
        <v>1559</v>
      </c>
      <c r="I440" s="12" t="s">
        <v>15</v>
      </c>
      <c r="J440" s="22" t="s">
        <v>51</v>
      </c>
      <c r="K440" s="12"/>
      <c r="L440" s="9" t="n">
        <f aca="false">L439+H440</f>
        <v>46682.11</v>
      </c>
      <c r="M440" s="10" t="str">
        <f aca="false">VLOOKUP(J440,RECATALOGANDO!A:C,2,0)</f>
        <v>VENTA DE ALIMENTO</v>
      </c>
      <c r="N440" s="12" t="str">
        <f aca="false">VLOOKUP(M440,RECATALOGANDO!B:C,2,0)</f>
        <v>VENTA DE PRODUCTO</v>
      </c>
      <c r="O440" s="2" t="s">
        <v>39</v>
      </c>
    </row>
    <row r="441" customFormat="false" ht="13.8" hidden="false" customHeight="false" outlineLevel="0" collapsed="false">
      <c r="A441" s="8" t="n">
        <v>45098</v>
      </c>
      <c r="B441" s="9" t="n">
        <f aca="false">DAY(A441)</f>
        <v>21</v>
      </c>
      <c r="C441" s="9" t="n">
        <f aca="false">MONTH(A441)</f>
        <v>6</v>
      </c>
      <c r="D441" s="9" t="n">
        <f aca="false">YEAR(A441)</f>
        <v>2023</v>
      </c>
      <c r="E441" s="9" t="n">
        <f aca="false">WEEKDAY(A441,2)</f>
        <v>3</v>
      </c>
      <c r="F441" s="10" t="n">
        <f aca="false">WEEKNUM(A441,2) - WEEKNUM(DATE(YEAR(A441),MONTH(A441),1),2) + 1</f>
        <v>4</v>
      </c>
      <c r="G441" s="10"/>
      <c r="H441" s="11" t="n">
        <v>100</v>
      </c>
      <c r="I441" s="12" t="s">
        <v>20</v>
      </c>
      <c r="J441" s="22" t="s">
        <v>44</v>
      </c>
      <c r="K441" s="12"/>
      <c r="L441" s="9" t="n">
        <f aca="false">L440+H441</f>
        <v>46782.11</v>
      </c>
      <c r="M441" s="10" t="str">
        <f aca="false">VLOOKUP(J441,RECATALOGANDO!A:C,2,0)</f>
        <v>HONORARIOS MEDICOS</v>
      </c>
      <c r="N441" s="12" t="str">
        <f aca="false">VLOOKUP(M441,RECATALOGANDO!B:C,2,0)</f>
        <v>VENTA DE SERVICIO</v>
      </c>
      <c r="O441" s="2" t="s">
        <v>39</v>
      </c>
    </row>
    <row r="442" customFormat="false" ht="13.8" hidden="false" customHeight="false" outlineLevel="0" collapsed="false">
      <c r="A442" s="8" t="n">
        <v>45098</v>
      </c>
      <c r="B442" s="9" t="n">
        <f aca="false">DAY(A442)</f>
        <v>21</v>
      </c>
      <c r="C442" s="9" t="n">
        <f aca="false">MONTH(A442)</f>
        <v>6</v>
      </c>
      <c r="D442" s="9" t="n">
        <f aca="false">YEAR(A442)</f>
        <v>2023</v>
      </c>
      <c r="E442" s="9" t="n">
        <f aca="false">WEEKDAY(A442,2)</f>
        <v>3</v>
      </c>
      <c r="F442" s="10" t="n">
        <f aca="false">WEEKNUM(A442,2) - WEEKNUM(DATE(YEAR(A442),MONTH(A442),1),2) + 1</f>
        <v>4</v>
      </c>
      <c r="G442" s="10"/>
      <c r="H442" s="11" t="n">
        <v>240</v>
      </c>
      <c r="I442" s="12" t="s">
        <v>15</v>
      </c>
      <c r="J442" s="22" t="s">
        <v>53</v>
      </c>
      <c r="K442" s="12"/>
      <c r="L442" s="9" t="n">
        <f aca="false">L441+H442</f>
        <v>47022.11</v>
      </c>
      <c r="M442" s="10" t="str">
        <f aca="false">VLOOKUP(J442,RECATALOGANDO!A:C,2,0)</f>
        <v>SERVICIO DE GROOMING</v>
      </c>
      <c r="N442" s="12" t="str">
        <f aca="false">VLOOKUP(M442,RECATALOGANDO!B:C,2,0)</f>
        <v>VENTA DE SERVICIO</v>
      </c>
      <c r="O442" s="2" t="s">
        <v>39</v>
      </c>
    </row>
    <row r="443" customFormat="false" ht="13.8" hidden="false" customHeight="false" outlineLevel="0" collapsed="false">
      <c r="A443" s="8" t="n">
        <v>45098</v>
      </c>
      <c r="B443" s="9" t="n">
        <f aca="false">DAY(A443)</f>
        <v>21</v>
      </c>
      <c r="C443" s="9" t="n">
        <f aca="false">MONTH(A443)</f>
        <v>6</v>
      </c>
      <c r="D443" s="9" t="n">
        <f aca="false">YEAR(A443)</f>
        <v>2023</v>
      </c>
      <c r="E443" s="9" t="n">
        <f aca="false">WEEKDAY(A443,2)</f>
        <v>3</v>
      </c>
      <c r="F443" s="10" t="n">
        <f aca="false">WEEKNUM(A443,2) - WEEKNUM(DATE(YEAR(A443),MONTH(A443),1),2) + 1</f>
        <v>4</v>
      </c>
      <c r="G443" s="10"/>
      <c r="H443" s="11" t="n">
        <v>297</v>
      </c>
      <c r="I443" s="12" t="s">
        <v>15</v>
      </c>
      <c r="J443" s="22" t="s">
        <v>53</v>
      </c>
      <c r="K443" s="12"/>
      <c r="L443" s="9" t="n">
        <f aca="false">L442+H443</f>
        <v>47319.11</v>
      </c>
      <c r="M443" s="10" t="str">
        <f aca="false">VLOOKUP(J443,RECATALOGANDO!A:C,2,0)</f>
        <v>SERVICIO DE GROOMING</v>
      </c>
      <c r="N443" s="12" t="str">
        <f aca="false">VLOOKUP(M443,RECATALOGANDO!B:C,2,0)</f>
        <v>VENTA DE SERVICIO</v>
      </c>
      <c r="O443" s="2" t="s">
        <v>39</v>
      </c>
    </row>
    <row r="444" customFormat="false" ht="13.8" hidden="false" customHeight="false" outlineLevel="0" collapsed="false">
      <c r="A444" s="8" t="n">
        <v>45098</v>
      </c>
      <c r="B444" s="9" t="n">
        <f aca="false">DAY(A444)</f>
        <v>21</v>
      </c>
      <c r="C444" s="9" t="n">
        <f aca="false">MONTH(A444)</f>
        <v>6</v>
      </c>
      <c r="D444" s="9" t="n">
        <f aca="false">YEAR(A444)</f>
        <v>2023</v>
      </c>
      <c r="E444" s="9" t="n">
        <f aca="false">WEEKDAY(A444,2)</f>
        <v>3</v>
      </c>
      <c r="F444" s="10" t="n">
        <f aca="false">WEEKNUM(A444,2) - WEEKNUM(DATE(YEAR(A444),MONTH(A444),1),2) + 1</f>
        <v>4</v>
      </c>
      <c r="G444" s="10"/>
      <c r="H444" s="11" t="n">
        <v>650</v>
      </c>
      <c r="I444" s="12" t="s">
        <v>20</v>
      </c>
      <c r="J444" s="22" t="s">
        <v>44</v>
      </c>
      <c r="K444" s="12"/>
      <c r="L444" s="9" t="n">
        <f aca="false">L443+H444</f>
        <v>47969.11</v>
      </c>
      <c r="M444" s="10" t="str">
        <f aca="false">VLOOKUP(J444,RECATALOGANDO!A:C,2,0)</f>
        <v>HONORARIOS MEDICOS</v>
      </c>
      <c r="N444" s="12" t="str">
        <f aca="false">VLOOKUP(M444,RECATALOGANDO!B:C,2,0)</f>
        <v>VENTA DE SERVICIO</v>
      </c>
      <c r="O444" s="2" t="s">
        <v>39</v>
      </c>
    </row>
    <row r="445" customFormat="false" ht="13.8" hidden="false" customHeight="false" outlineLevel="0" collapsed="false">
      <c r="A445" s="8" t="n">
        <v>45098</v>
      </c>
      <c r="B445" s="9" t="n">
        <f aca="false">DAY(A445)</f>
        <v>21</v>
      </c>
      <c r="C445" s="9" t="n">
        <f aca="false">MONTH(A445)</f>
        <v>6</v>
      </c>
      <c r="D445" s="9" t="n">
        <f aca="false">YEAR(A445)</f>
        <v>2023</v>
      </c>
      <c r="E445" s="9" t="n">
        <f aca="false">WEEKDAY(A445,2)</f>
        <v>3</v>
      </c>
      <c r="F445" s="10" t="n">
        <f aca="false">WEEKNUM(A445,2) - WEEKNUM(DATE(YEAR(A445),MONTH(A445),1),2) + 1</f>
        <v>4</v>
      </c>
      <c r="G445" s="10"/>
      <c r="H445" s="11" t="n">
        <v>900</v>
      </c>
      <c r="I445" s="12" t="s">
        <v>15</v>
      </c>
      <c r="J445" s="22" t="s">
        <v>57</v>
      </c>
      <c r="K445" s="12"/>
      <c r="L445" s="9" t="n">
        <f aca="false">L444+H445</f>
        <v>48869.11</v>
      </c>
      <c r="M445" s="10" t="str">
        <f aca="false">VLOOKUP(J445,RECATALOGANDO!A:C,2,0)</f>
        <v>SERVICIO DE CREMACION</v>
      </c>
      <c r="N445" s="12" t="str">
        <f aca="false">VLOOKUP(M445,RECATALOGANDO!B:C,2,0)</f>
        <v>VENTA DE SERVICIO</v>
      </c>
      <c r="O445" s="2" t="s">
        <v>39</v>
      </c>
    </row>
    <row r="446" customFormat="false" ht="13.8" hidden="false" customHeight="false" outlineLevel="0" collapsed="false">
      <c r="A446" s="8" t="n">
        <v>45099</v>
      </c>
      <c r="B446" s="9" t="n">
        <f aca="false">DAY(A446)</f>
        <v>22</v>
      </c>
      <c r="C446" s="9" t="n">
        <f aca="false">MONTH(A446)</f>
        <v>6</v>
      </c>
      <c r="D446" s="9" t="n">
        <f aca="false">YEAR(A446)</f>
        <v>2023</v>
      </c>
      <c r="E446" s="9" t="n">
        <f aca="false">WEEKDAY(A446,2)</f>
        <v>4</v>
      </c>
      <c r="F446" s="10" t="n">
        <f aca="false">WEEKNUM(A446,2) - WEEKNUM(DATE(YEAR(A446),MONTH(A446),1),2) + 1</f>
        <v>4</v>
      </c>
      <c r="G446" s="10"/>
      <c r="H446" s="11" t="n">
        <v>1200</v>
      </c>
      <c r="I446" s="12" t="s">
        <v>20</v>
      </c>
      <c r="J446" s="22" t="s">
        <v>45</v>
      </c>
      <c r="K446" s="12"/>
      <c r="L446" s="9" t="n">
        <f aca="false">L445+H446</f>
        <v>50069.11</v>
      </c>
      <c r="M446" s="10" t="str">
        <f aca="false">VLOOKUP(J446,RECATALOGANDO!A:C,2,0)</f>
        <v>VENTA DE MEDICAMENTO</v>
      </c>
      <c r="N446" s="12" t="str">
        <f aca="false">VLOOKUP(M446,RECATALOGANDO!B:C,2,0)</f>
        <v>VENTA DE PRODUCTO</v>
      </c>
      <c r="O446" s="2" t="s">
        <v>39</v>
      </c>
    </row>
    <row r="447" customFormat="false" ht="13.8" hidden="false" customHeight="false" outlineLevel="0" collapsed="false">
      <c r="A447" s="8" t="n">
        <v>45099</v>
      </c>
      <c r="B447" s="9" t="n">
        <f aca="false">DAY(A447)</f>
        <v>22</v>
      </c>
      <c r="C447" s="9" t="n">
        <f aca="false">MONTH(A447)</f>
        <v>6</v>
      </c>
      <c r="D447" s="9" t="n">
        <f aca="false">YEAR(A447)</f>
        <v>2023</v>
      </c>
      <c r="E447" s="9" t="n">
        <f aca="false">WEEKDAY(A447,2)</f>
        <v>4</v>
      </c>
      <c r="F447" s="10" t="n">
        <f aca="false">WEEKNUM(A447,2) - WEEKNUM(DATE(YEAR(A447),MONTH(A447),1),2) + 1</f>
        <v>4</v>
      </c>
      <c r="G447" s="10"/>
      <c r="H447" s="11" t="n">
        <v>290</v>
      </c>
      <c r="I447" s="12" t="s">
        <v>20</v>
      </c>
      <c r="J447" s="22" t="s">
        <v>53</v>
      </c>
      <c r="K447" s="12"/>
      <c r="L447" s="9" t="n">
        <f aca="false">L446+H447</f>
        <v>50359.11</v>
      </c>
      <c r="M447" s="10" t="str">
        <f aca="false">VLOOKUP(J447,RECATALOGANDO!A:C,2,0)</f>
        <v>SERVICIO DE GROOMING</v>
      </c>
      <c r="N447" s="12" t="str">
        <f aca="false">VLOOKUP(M447,RECATALOGANDO!B:C,2,0)</f>
        <v>VENTA DE SERVICIO</v>
      </c>
      <c r="O447" s="2" t="s">
        <v>39</v>
      </c>
    </row>
    <row r="448" customFormat="false" ht="13.8" hidden="false" customHeight="false" outlineLevel="0" collapsed="false">
      <c r="A448" s="8" t="n">
        <v>45099</v>
      </c>
      <c r="B448" s="9" t="n">
        <f aca="false">DAY(A448)</f>
        <v>22</v>
      </c>
      <c r="C448" s="9" t="n">
        <f aca="false">MONTH(A448)</f>
        <v>6</v>
      </c>
      <c r="D448" s="9" t="n">
        <f aca="false">YEAR(A448)</f>
        <v>2023</v>
      </c>
      <c r="E448" s="9" t="n">
        <f aca="false">WEEKDAY(A448,2)</f>
        <v>4</v>
      </c>
      <c r="F448" s="10" t="n">
        <f aca="false">WEEKNUM(A448,2) - WEEKNUM(DATE(YEAR(A448),MONTH(A448),1),2) + 1</f>
        <v>4</v>
      </c>
      <c r="G448" s="10"/>
      <c r="H448" s="11" t="n">
        <v>1000</v>
      </c>
      <c r="I448" s="12" t="s">
        <v>15</v>
      </c>
      <c r="J448" s="22" t="s">
        <v>41</v>
      </c>
      <c r="K448" s="12"/>
      <c r="L448" s="9" t="n">
        <f aca="false">L447+H448</f>
        <v>51359.11</v>
      </c>
      <c r="M448" s="10" t="str">
        <f aca="false">VLOOKUP(J448,RECATALOGANDO!A:C,2,0)</f>
        <v>HONORARIOS QUIRURGICOS</v>
      </c>
      <c r="N448" s="12" t="str">
        <f aca="false">VLOOKUP(M448,RECATALOGANDO!B:C,2,0)</f>
        <v>VENTA DE SERVICIO</v>
      </c>
      <c r="O448" s="2" t="s">
        <v>39</v>
      </c>
    </row>
    <row r="449" customFormat="false" ht="13.8" hidden="false" customHeight="false" outlineLevel="0" collapsed="false">
      <c r="A449" s="8" t="n">
        <v>45099</v>
      </c>
      <c r="B449" s="9" t="n">
        <f aca="false">DAY(A449)</f>
        <v>22</v>
      </c>
      <c r="C449" s="9" t="n">
        <f aca="false">MONTH(A449)</f>
        <v>6</v>
      </c>
      <c r="D449" s="9" t="n">
        <f aca="false">YEAR(A449)</f>
        <v>2023</v>
      </c>
      <c r="E449" s="9" t="n">
        <f aca="false">WEEKDAY(A449,2)</f>
        <v>4</v>
      </c>
      <c r="F449" s="10" t="n">
        <f aca="false">WEEKNUM(A449,2) - WEEKNUM(DATE(YEAR(A449),MONTH(A449),1),2) + 1</f>
        <v>4</v>
      </c>
      <c r="G449" s="10"/>
      <c r="H449" s="11" t="n">
        <v>1650</v>
      </c>
      <c r="I449" s="12" t="s">
        <v>15</v>
      </c>
      <c r="J449" s="22" t="s">
        <v>54</v>
      </c>
      <c r="K449" s="12"/>
      <c r="L449" s="9" t="n">
        <f aca="false">L448+H449</f>
        <v>53009.11</v>
      </c>
      <c r="M449" s="10" t="str">
        <f aca="false">VLOOKUP(J449,RECATALOGANDO!A:C,2,0)</f>
        <v>SERVICIO DE LABORATORIO</v>
      </c>
      <c r="N449" s="12" t="str">
        <f aca="false">VLOOKUP(M449,RECATALOGANDO!B:C,2,0)</f>
        <v>VENTA DE SERVICIO</v>
      </c>
      <c r="O449" s="2" t="s">
        <v>39</v>
      </c>
    </row>
    <row r="450" customFormat="false" ht="13.8" hidden="false" customHeight="false" outlineLevel="0" collapsed="false">
      <c r="A450" s="8" t="n">
        <v>45099</v>
      </c>
      <c r="B450" s="9" t="n">
        <f aca="false">DAY(A450)</f>
        <v>22</v>
      </c>
      <c r="C450" s="9" t="n">
        <f aca="false">MONTH(A450)</f>
        <v>6</v>
      </c>
      <c r="D450" s="9" t="n">
        <f aca="false">YEAR(A450)</f>
        <v>2023</v>
      </c>
      <c r="E450" s="9" t="n">
        <f aca="false">WEEKDAY(A450,2)</f>
        <v>4</v>
      </c>
      <c r="F450" s="10" t="n">
        <f aca="false">WEEKNUM(A450,2) - WEEKNUM(DATE(YEAR(A450),MONTH(A450),1),2) + 1</f>
        <v>4</v>
      </c>
      <c r="G450" s="10"/>
      <c r="H450" s="11" t="n">
        <v>2500</v>
      </c>
      <c r="I450" s="12" t="s">
        <v>15</v>
      </c>
      <c r="J450" s="22" t="s">
        <v>41</v>
      </c>
      <c r="K450" s="12"/>
      <c r="L450" s="9" t="n">
        <f aca="false">L449+H450</f>
        <v>55509.11</v>
      </c>
      <c r="M450" s="10" t="str">
        <f aca="false">VLOOKUP(J450,RECATALOGANDO!A:C,2,0)</f>
        <v>HONORARIOS QUIRURGICOS</v>
      </c>
      <c r="N450" s="12" t="str">
        <f aca="false">VLOOKUP(M450,RECATALOGANDO!B:C,2,0)</f>
        <v>VENTA DE SERVICIO</v>
      </c>
      <c r="O450" s="2" t="s">
        <v>39</v>
      </c>
    </row>
    <row r="451" customFormat="false" ht="13.8" hidden="false" customHeight="false" outlineLevel="0" collapsed="false">
      <c r="A451" s="8" t="n">
        <v>45100</v>
      </c>
      <c r="B451" s="9" t="n">
        <f aca="false">DAY(A451)</f>
        <v>23</v>
      </c>
      <c r="C451" s="9" t="n">
        <f aca="false">MONTH(A451)</f>
        <v>6</v>
      </c>
      <c r="D451" s="9" t="n">
        <f aca="false">YEAR(A451)</f>
        <v>2023</v>
      </c>
      <c r="E451" s="9" t="n">
        <f aca="false">WEEKDAY(A451,2)</f>
        <v>5</v>
      </c>
      <c r="F451" s="10" t="n">
        <f aca="false">WEEKNUM(A451,2) - WEEKNUM(DATE(YEAR(A451),MONTH(A451),1),2) + 1</f>
        <v>4</v>
      </c>
      <c r="G451" s="10"/>
      <c r="H451" s="11" t="n">
        <v>500</v>
      </c>
      <c r="I451" s="12" t="s">
        <v>20</v>
      </c>
      <c r="J451" s="22" t="s">
        <v>45</v>
      </c>
      <c r="K451" s="12"/>
      <c r="L451" s="9" t="n">
        <f aca="false">L450+H451</f>
        <v>56009.11</v>
      </c>
      <c r="M451" s="10" t="str">
        <f aca="false">VLOOKUP(J451,RECATALOGANDO!A:C,2,0)</f>
        <v>VENTA DE MEDICAMENTO</v>
      </c>
      <c r="N451" s="12" t="str">
        <f aca="false">VLOOKUP(M451,RECATALOGANDO!B:C,2,0)</f>
        <v>VENTA DE PRODUCTO</v>
      </c>
      <c r="O451" s="2" t="s">
        <v>39</v>
      </c>
    </row>
    <row r="452" customFormat="false" ht="13.8" hidden="false" customHeight="false" outlineLevel="0" collapsed="false">
      <c r="A452" s="8" t="n">
        <v>45100</v>
      </c>
      <c r="B452" s="9" t="n">
        <f aca="false">DAY(A452)</f>
        <v>23</v>
      </c>
      <c r="C452" s="9" t="n">
        <f aca="false">MONTH(A452)</f>
        <v>6</v>
      </c>
      <c r="D452" s="9" t="n">
        <f aca="false">YEAR(A452)</f>
        <v>2023</v>
      </c>
      <c r="E452" s="9" t="n">
        <f aca="false">WEEKDAY(A452,2)</f>
        <v>5</v>
      </c>
      <c r="F452" s="10" t="n">
        <f aca="false">WEEKNUM(A452,2) - WEEKNUM(DATE(YEAR(A452),MONTH(A452),1),2) + 1</f>
        <v>4</v>
      </c>
      <c r="G452" s="10"/>
      <c r="H452" s="11" t="n">
        <v>350</v>
      </c>
      <c r="I452" s="12" t="s">
        <v>20</v>
      </c>
      <c r="J452" s="22" t="s">
        <v>53</v>
      </c>
      <c r="K452" s="12"/>
      <c r="L452" s="9" t="n">
        <f aca="false">L451+H452</f>
        <v>56359.11</v>
      </c>
      <c r="M452" s="10" t="str">
        <f aca="false">VLOOKUP(J452,RECATALOGANDO!A:C,2,0)</f>
        <v>SERVICIO DE GROOMING</v>
      </c>
      <c r="N452" s="12" t="str">
        <f aca="false">VLOOKUP(M452,RECATALOGANDO!B:C,2,0)</f>
        <v>VENTA DE SERVICIO</v>
      </c>
      <c r="O452" s="2" t="s">
        <v>39</v>
      </c>
    </row>
    <row r="453" customFormat="false" ht="13.8" hidden="false" customHeight="false" outlineLevel="0" collapsed="false">
      <c r="A453" s="8" t="n">
        <v>45100</v>
      </c>
      <c r="B453" s="9" t="n">
        <f aca="false">DAY(A453)</f>
        <v>23</v>
      </c>
      <c r="C453" s="9" t="n">
        <f aca="false">MONTH(A453)</f>
        <v>6</v>
      </c>
      <c r="D453" s="9" t="n">
        <f aca="false">YEAR(A453)</f>
        <v>2023</v>
      </c>
      <c r="E453" s="9" t="n">
        <f aca="false">WEEKDAY(A453,2)</f>
        <v>5</v>
      </c>
      <c r="F453" s="10" t="n">
        <f aca="false">WEEKNUM(A453,2) - WEEKNUM(DATE(YEAR(A453),MONTH(A453),1),2) + 1</f>
        <v>4</v>
      </c>
      <c r="G453" s="10"/>
      <c r="H453" s="11" t="n">
        <v>850</v>
      </c>
      <c r="I453" s="12" t="s">
        <v>15</v>
      </c>
      <c r="J453" s="22" t="s">
        <v>54</v>
      </c>
      <c r="K453" s="12"/>
      <c r="L453" s="9" t="n">
        <f aca="false">L452+H453</f>
        <v>57209.11</v>
      </c>
      <c r="M453" s="10" t="str">
        <f aca="false">VLOOKUP(J453,RECATALOGANDO!A:C,2,0)</f>
        <v>SERVICIO DE LABORATORIO</v>
      </c>
      <c r="N453" s="12" t="str">
        <f aca="false">VLOOKUP(M453,RECATALOGANDO!B:C,2,0)</f>
        <v>VENTA DE SERVICIO</v>
      </c>
      <c r="O453" s="2" t="s">
        <v>39</v>
      </c>
    </row>
    <row r="454" customFormat="false" ht="13.8" hidden="false" customHeight="false" outlineLevel="0" collapsed="false">
      <c r="A454" s="8" t="n">
        <v>45101</v>
      </c>
      <c r="B454" s="9" t="n">
        <f aca="false">DAY(A454)</f>
        <v>24</v>
      </c>
      <c r="C454" s="9" t="n">
        <f aca="false">MONTH(A454)</f>
        <v>6</v>
      </c>
      <c r="D454" s="9" t="n">
        <f aca="false">YEAR(A454)</f>
        <v>2023</v>
      </c>
      <c r="E454" s="9" t="n">
        <f aca="false">WEEKDAY(A454,2)</f>
        <v>6</v>
      </c>
      <c r="F454" s="10" t="n">
        <f aca="false">WEEKNUM(A454,2) - WEEKNUM(DATE(YEAR(A454),MONTH(A454),1),2) + 1</f>
        <v>4</v>
      </c>
      <c r="G454" s="10"/>
      <c r="H454" s="11" t="n">
        <v>150</v>
      </c>
      <c r="I454" s="12" t="s">
        <v>15</v>
      </c>
      <c r="J454" s="22" t="s">
        <v>45</v>
      </c>
      <c r="K454" s="12"/>
      <c r="L454" s="9" t="n">
        <f aca="false">L453+H454</f>
        <v>57359.11</v>
      </c>
      <c r="M454" s="10" t="str">
        <f aca="false">VLOOKUP(J454,RECATALOGANDO!A:C,2,0)</f>
        <v>VENTA DE MEDICAMENTO</v>
      </c>
      <c r="N454" s="12" t="str">
        <f aca="false">VLOOKUP(M454,RECATALOGANDO!B:C,2,0)</f>
        <v>VENTA DE PRODUCTO</v>
      </c>
      <c r="O454" s="2" t="s">
        <v>39</v>
      </c>
    </row>
    <row r="455" customFormat="false" ht="13.8" hidden="false" customHeight="false" outlineLevel="0" collapsed="false">
      <c r="A455" s="8" t="n">
        <v>45101</v>
      </c>
      <c r="B455" s="9" t="n">
        <f aca="false">DAY(A455)</f>
        <v>24</v>
      </c>
      <c r="C455" s="9" t="n">
        <f aca="false">MONTH(A455)</f>
        <v>6</v>
      </c>
      <c r="D455" s="9" t="n">
        <f aca="false">YEAR(A455)</f>
        <v>2023</v>
      </c>
      <c r="E455" s="9" t="n">
        <f aca="false">WEEKDAY(A455,2)</f>
        <v>6</v>
      </c>
      <c r="F455" s="10" t="n">
        <f aca="false">WEEKNUM(A455,2) - WEEKNUM(DATE(YEAR(A455),MONTH(A455),1),2) + 1</f>
        <v>4</v>
      </c>
      <c r="G455" s="10"/>
      <c r="H455" s="11" t="n">
        <v>290</v>
      </c>
      <c r="I455" s="12" t="s">
        <v>15</v>
      </c>
      <c r="J455" s="22" t="s">
        <v>45</v>
      </c>
      <c r="K455" s="12"/>
      <c r="L455" s="9" t="n">
        <f aca="false">L454+H455</f>
        <v>57649.11</v>
      </c>
      <c r="M455" s="10" t="str">
        <f aca="false">VLOOKUP(J455,RECATALOGANDO!A:C,2,0)</f>
        <v>VENTA DE MEDICAMENTO</v>
      </c>
      <c r="N455" s="12" t="str">
        <f aca="false">VLOOKUP(M455,RECATALOGANDO!B:C,2,0)</f>
        <v>VENTA DE PRODUCTO</v>
      </c>
      <c r="O455" s="2" t="s">
        <v>39</v>
      </c>
    </row>
    <row r="456" customFormat="false" ht="13.8" hidden="false" customHeight="false" outlineLevel="0" collapsed="false">
      <c r="A456" s="8" t="n">
        <v>45101</v>
      </c>
      <c r="B456" s="9" t="n">
        <f aca="false">DAY(A456)</f>
        <v>24</v>
      </c>
      <c r="C456" s="9" t="n">
        <f aca="false">MONTH(A456)</f>
        <v>6</v>
      </c>
      <c r="D456" s="9" t="n">
        <f aca="false">YEAR(A456)</f>
        <v>2023</v>
      </c>
      <c r="E456" s="9" t="n">
        <f aca="false">WEEKDAY(A456,2)</f>
        <v>6</v>
      </c>
      <c r="F456" s="10" t="n">
        <f aca="false">WEEKNUM(A456,2) - WEEKNUM(DATE(YEAR(A456),MONTH(A456),1),2) + 1</f>
        <v>4</v>
      </c>
      <c r="G456" s="10"/>
      <c r="H456" s="11" t="n">
        <v>652</v>
      </c>
      <c r="I456" s="12" t="s">
        <v>15</v>
      </c>
      <c r="J456" s="22" t="s">
        <v>44</v>
      </c>
      <c r="K456" s="12"/>
      <c r="L456" s="9" t="n">
        <f aca="false">L455+H456</f>
        <v>58301.11</v>
      </c>
      <c r="M456" s="10" t="str">
        <f aca="false">VLOOKUP(J456,RECATALOGANDO!A:C,2,0)</f>
        <v>HONORARIOS MEDICOS</v>
      </c>
      <c r="N456" s="12" t="str">
        <f aca="false">VLOOKUP(M456,RECATALOGANDO!B:C,2,0)</f>
        <v>VENTA DE SERVICIO</v>
      </c>
      <c r="O456" s="2" t="s">
        <v>39</v>
      </c>
    </row>
    <row r="457" customFormat="false" ht="13.8" hidden="false" customHeight="false" outlineLevel="0" collapsed="false">
      <c r="A457" s="8" t="n">
        <v>45102</v>
      </c>
      <c r="B457" s="9" t="n">
        <f aca="false">DAY(A457)</f>
        <v>25</v>
      </c>
      <c r="C457" s="9" t="n">
        <f aca="false">MONTH(A457)</f>
        <v>6</v>
      </c>
      <c r="D457" s="9" t="n">
        <f aca="false">YEAR(A457)</f>
        <v>2023</v>
      </c>
      <c r="E457" s="9" t="n">
        <f aca="false">WEEKDAY(A457,2)</f>
        <v>7</v>
      </c>
      <c r="F457" s="10" t="n">
        <f aca="false">WEEKNUM(A457,2) - WEEKNUM(DATE(YEAR(A457),MONTH(A457),1),2) + 1</f>
        <v>4</v>
      </c>
      <c r="G457" s="10"/>
      <c r="H457" s="11" t="n">
        <v>1555</v>
      </c>
      <c r="I457" s="12" t="s">
        <v>15</v>
      </c>
      <c r="J457" s="22" t="s">
        <v>45</v>
      </c>
      <c r="K457" s="12"/>
      <c r="L457" s="9" t="n">
        <f aca="false">L456+H457</f>
        <v>59856.11</v>
      </c>
      <c r="M457" s="10" t="str">
        <f aca="false">VLOOKUP(J457,RECATALOGANDO!A:C,2,0)</f>
        <v>VENTA DE MEDICAMENTO</v>
      </c>
      <c r="N457" s="12" t="str">
        <f aca="false">VLOOKUP(M457,RECATALOGANDO!B:C,2,0)</f>
        <v>VENTA DE PRODUCTO</v>
      </c>
      <c r="O457" s="2" t="s">
        <v>39</v>
      </c>
    </row>
    <row r="458" customFormat="false" ht="13.8" hidden="false" customHeight="false" outlineLevel="0" collapsed="false">
      <c r="A458" s="8" t="n">
        <v>45102</v>
      </c>
      <c r="B458" s="9" t="n">
        <f aca="false">DAY(A458)</f>
        <v>25</v>
      </c>
      <c r="C458" s="9" t="n">
        <f aca="false">MONTH(A458)</f>
        <v>6</v>
      </c>
      <c r="D458" s="9" t="n">
        <f aca="false">YEAR(A458)</f>
        <v>2023</v>
      </c>
      <c r="E458" s="9" t="n">
        <f aca="false">WEEKDAY(A458,2)</f>
        <v>7</v>
      </c>
      <c r="F458" s="10" t="n">
        <f aca="false">WEEKNUM(A458,2) - WEEKNUM(DATE(YEAR(A458),MONTH(A458),1),2) + 1</f>
        <v>4</v>
      </c>
      <c r="G458" s="10"/>
      <c r="H458" s="11" t="n">
        <v>450</v>
      </c>
      <c r="I458" s="12" t="s">
        <v>15</v>
      </c>
      <c r="J458" s="22" t="s">
        <v>44</v>
      </c>
      <c r="K458" s="12"/>
      <c r="L458" s="9" t="n">
        <f aca="false">L457+H458</f>
        <v>60306.11</v>
      </c>
      <c r="M458" s="10" t="str">
        <f aca="false">VLOOKUP(J458,RECATALOGANDO!A:C,2,0)</f>
        <v>HONORARIOS MEDICOS</v>
      </c>
      <c r="N458" s="12" t="str">
        <f aca="false">VLOOKUP(M458,RECATALOGANDO!B:C,2,0)</f>
        <v>VENTA DE SERVICIO</v>
      </c>
      <c r="O458" s="2" t="s">
        <v>39</v>
      </c>
    </row>
    <row r="459" customFormat="false" ht="13.8" hidden="false" customHeight="false" outlineLevel="0" collapsed="false">
      <c r="A459" s="8" t="n">
        <v>45103</v>
      </c>
      <c r="B459" s="9" t="n">
        <f aca="false">DAY(A459)</f>
        <v>26</v>
      </c>
      <c r="C459" s="9" t="n">
        <f aca="false">MONTH(A459)</f>
        <v>6</v>
      </c>
      <c r="D459" s="9" t="n">
        <f aca="false">YEAR(A459)</f>
        <v>2023</v>
      </c>
      <c r="E459" s="9" t="n">
        <f aca="false">WEEKDAY(A459,2)</f>
        <v>1</v>
      </c>
      <c r="F459" s="10" t="n">
        <f aca="false">WEEKNUM(A459,2) - WEEKNUM(DATE(YEAR(A459),MONTH(A459),1),2) + 1</f>
        <v>5</v>
      </c>
      <c r="G459" s="10"/>
      <c r="H459" s="11" t="n">
        <v>290</v>
      </c>
      <c r="I459" s="12" t="s">
        <v>20</v>
      </c>
      <c r="J459" s="22" t="s">
        <v>53</v>
      </c>
      <c r="K459" s="12"/>
      <c r="L459" s="9" t="n">
        <f aca="false">L458+H459</f>
        <v>60596.11</v>
      </c>
      <c r="M459" s="10" t="str">
        <f aca="false">VLOOKUP(J459,RECATALOGANDO!A:C,2,0)</f>
        <v>SERVICIO DE GROOMING</v>
      </c>
      <c r="N459" s="12" t="str">
        <f aca="false">VLOOKUP(M459,RECATALOGANDO!B:C,2,0)</f>
        <v>VENTA DE SERVICIO</v>
      </c>
      <c r="O459" s="2" t="s">
        <v>39</v>
      </c>
    </row>
    <row r="460" customFormat="false" ht="13.8" hidden="false" customHeight="false" outlineLevel="0" collapsed="false">
      <c r="A460" s="8" t="n">
        <v>45103</v>
      </c>
      <c r="B460" s="9" t="n">
        <f aca="false">DAY(A460)</f>
        <v>26</v>
      </c>
      <c r="C460" s="9" t="n">
        <f aca="false">MONTH(A460)</f>
        <v>6</v>
      </c>
      <c r="D460" s="9" t="n">
        <f aca="false">YEAR(A460)</f>
        <v>2023</v>
      </c>
      <c r="E460" s="9" t="n">
        <f aca="false">WEEKDAY(A460,2)</f>
        <v>1</v>
      </c>
      <c r="F460" s="10" t="n">
        <f aca="false">WEEKNUM(A460,2) - WEEKNUM(DATE(YEAR(A460),MONTH(A460),1),2) + 1</f>
        <v>5</v>
      </c>
      <c r="G460" s="10"/>
      <c r="H460" s="11" t="n">
        <v>2000</v>
      </c>
      <c r="I460" s="12" t="s">
        <v>20</v>
      </c>
      <c r="J460" s="22" t="s">
        <v>61</v>
      </c>
      <c r="K460" s="12"/>
      <c r="L460" s="9" t="n">
        <f aca="false">L459+H460</f>
        <v>62596.11</v>
      </c>
      <c r="M460" s="10" t="str">
        <f aca="false">VLOOKUP(J460,RECATALOGANDO!A:C,2,0)</f>
        <v>SERVICIO DE HOSPITALIZACION</v>
      </c>
      <c r="N460" s="12" t="str">
        <f aca="false">VLOOKUP(M460,RECATALOGANDO!B:C,2,0)</f>
        <v>VENTA DE SERVICIO</v>
      </c>
      <c r="O460" s="2" t="s">
        <v>39</v>
      </c>
    </row>
    <row r="461" customFormat="false" ht="13.8" hidden="false" customHeight="false" outlineLevel="0" collapsed="false">
      <c r="A461" s="8" t="n">
        <v>45103</v>
      </c>
      <c r="B461" s="9" t="n">
        <f aca="false">DAY(A461)</f>
        <v>26</v>
      </c>
      <c r="C461" s="9" t="n">
        <f aca="false">MONTH(A461)</f>
        <v>6</v>
      </c>
      <c r="D461" s="9" t="n">
        <f aca="false">YEAR(A461)</f>
        <v>2023</v>
      </c>
      <c r="E461" s="9" t="n">
        <f aca="false">WEEKDAY(A461,2)</f>
        <v>1</v>
      </c>
      <c r="F461" s="10" t="n">
        <f aca="false">WEEKNUM(A461,2) - WEEKNUM(DATE(YEAR(A461),MONTH(A461),1),2) + 1</f>
        <v>5</v>
      </c>
      <c r="G461" s="10"/>
      <c r="H461" s="11" t="n">
        <v>2226</v>
      </c>
      <c r="I461" s="12" t="s">
        <v>20</v>
      </c>
      <c r="J461" s="22" t="s">
        <v>44</v>
      </c>
      <c r="K461" s="12"/>
      <c r="L461" s="9" t="n">
        <f aca="false">L460+H461</f>
        <v>64822.11</v>
      </c>
      <c r="M461" s="10" t="str">
        <f aca="false">VLOOKUP(J461,RECATALOGANDO!A:C,2,0)</f>
        <v>HONORARIOS MEDICOS</v>
      </c>
      <c r="N461" s="12" t="str">
        <f aca="false">VLOOKUP(M461,RECATALOGANDO!B:C,2,0)</f>
        <v>VENTA DE SERVICIO</v>
      </c>
      <c r="O461" s="2" t="s">
        <v>39</v>
      </c>
    </row>
    <row r="462" customFormat="false" ht="13.8" hidden="false" customHeight="false" outlineLevel="0" collapsed="false">
      <c r="A462" s="8" t="n">
        <v>45105</v>
      </c>
      <c r="B462" s="9" t="n">
        <f aca="false">DAY(A462)</f>
        <v>28</v>
      </c>
      <c r="C462" s="9" t="n">
        <f aca="false">MONTH(A462)</f>
        <v>6</v>
      </c>
      <c r="D462" s="9" t="n">
        <f aca="false">YEAR(A462)</f>
        <v>2023</v>
      </c>
      <c r="E462" s="9" t="n">
        <f aca="false">WEEKDAY(A462,2)</f>
        <v>3</v>
      </c>
      <c r="F462" s="10" t="n">
        <f aca="false">WEEKNUM(A462,2) - WEEKNUM(DATE(YEAR(A462),MONTH(A462),1),2) + 1</f>
        <v>5</v>
      </c>
      <c r="G462" s="10"/>
      <c r="H462" s="11" t="n">
        <v>680</v>
      </c>
      <c r="I462" s="12" t="s">
        <v>20</v>
      </c>
      <c r="J462" s="22" t="s">
        <v>45</v>
      </c>
      <c r="K462" s="12"/>
      <c r="L462" s="9" t="n">
        <f aca="false">L461+H462</f>
        <v>65502.11</v>
      </c>
      <c r="M462" s="10" t="str">
        <f aca="false">VLOOKUP(J462,RECATALOGANDO!A:C,2,0)</f>
        <v>VENTA DE MEDICAMENTO</v>
      </c>
      <c r="N462" s="12" t="str">
        <f aca="false">VLOOKUP(M462,RECATALOGANDO!B:C,2,0)</f>
        <v>VENTA DE PRODUCTO</v>
      </c>
      <c r="O462" s="2" t="s">
        <v>39</v>
      </c>
    </row>
    <row r="463" customFormat="false" ht="13.8" hidden="false" customHeight="false" outlineLevel="0" collapsed="false">
      <c r="A463" s="8" t="n">
        <v>45105</v>
      </c>
      <c r="B463" s="9" t="n">
        <f aca="false">DAY(A463)</f>
        <v>28</v>
      </c>
      <c r="C463" s="9" t="n">
        <f aca="false">MONTH(A463)</f>
        <v>6</v>
      </c>
      <c r="D463" s="9" t="n">
        <f aca="false">YEAR(A463)</f>
        <v>2023</v>
      </c>
      <c r="E463" s="9" t="n">
        <f aca="false">WEEKDAY(A463,2)</f>
        <v>3</v>
      </c>
      <c r="F463" s="10" t="n">
        <f aca="false">WEEKNUM(A463,2) - WEEKNUM(DATE(YEAR(A463),MONTH(A463),1),2) + 1</f>
        <v>5</v>
      </c>
      <c r="G463" s="10"/>
      <c r="H463" s="11" t="n">
        <v>2440</v>
      </c>
      <c r="I463" s="12" t="s">
        <v>20</v>
      </c>
      <c r="J463" s="22" t="s">
        <v>51</v>
      </c>
      <c r="K463" s="12"/>
      <c r="L463" s="9" t="n">
        <f aca="false">L462+H463</f>
        <v>67942.11</v>
      </c>
      <c r="M463" s="10" t="str">
        <f aca="false">VLOOKUP(J463,RECATALOGANDO!A:C,2,0)</f>
        <v>VENTA DE ALIMENTO</v>
      </c>
      <c r="N463" s="12" t="str">
        <f aca="false">VLOOKUP(M463,RECATALOGANDO!B:C,2,0)</f>
        <v>VENTA DE PRODUCTO</v>
      </c>
      <c r="O463" s="2" t="s">
        <v>39</v>
      </c>
    </row>
    <row r="464" customFormat="false" ht="13.8" hidden="false" customHeight="false" outlineLevel="0" collapsed="false">
      <c r="A464" s="8" t="n">
        <v>45105</v>
      </c>
      <c r="B464" s="9" t="n">
        <f aca="false">DAY(A464)</f>
        <v>28</v>
      </c>
      <c r="C464" s="9" t="n">
        <f aca="false">MONTH(A464)</f>
        <v>6</v>
      </c>
      <c r="D464" s="9" t="n">
        <f aca="false">YEAR(A464)</f>
        <v>2023</v>
      </c>
      <c r="E464" s="9" t="n">
        <f aca="false">WEEKDAY(A464,2)</f>
        <v>3</v>
      </c>
      <c r="F464" s="10" t="n">
        <f aca="false">WEEKNUM(A464,2) - WEEKNUM(DATE(YEAR(A464),MONTH(A464),1),2) + 1</f>
        <v>5</v>
      </c>
      <c r="G464" s="10"/>
      <c r="H464" s="11" t="n">
        <v>240</v>
      </c>
      <c r="I464" s="12" t="s">
        <v>20</v>
      </c>
      <c r="J464" s="22" t="s">
        <v>44</v>
      </c>
      <c r="K464" s="12"/>
      <c r="L464" s="9" t="n">
        <f aca="false">L463+H464</f>
        <v>68182.11</v>
      </c>
      <c r="M464" s="10" t="str">
        <f aca="false">VLOOKUP(J464,RECATALOGANDO!A:C,2,0)</f>
        <v>HONORARIOS MEDICOS</v>
      </c>
      <c r="N464" s="12" t="str">
        <f aca="false">VLOOKUP(M464,RECATALOGANDO!B:C,2,0)</f>
        <v>VENTA DE SERVICIO</v>
      </c>
      <c r="O464" s="2" t="s">
        <v>39</v>
      </c>
    </row>
    <row r="465" customFormat="false" ht="13.8" hidden="false" customHeight="false" outlineLevel="0" collapsed="false">
      <c r="A465" s="8" t="n">
        <v>45105</v>
      </c>
      <c r="B465" s="9" t="n">
        <f aca="false">DAY(A465)</f>
        <v>28</v>
      </c>
      <c r="C465" s="9" t="n">
        <f aca="false">MONTH(A465)</f>
        <v>6</v>
      </c>
      <c r="D465" s="9" t="n">
        <f aca="false">YEAR(A465)</f>
        <v>2023</v>
      </c>
      <c r="E465" s="9" t="n">
        <f aca="false">WEEKDAY(A465,2)</f>
        <v>3</v>
      </c>
      <c r="F465" s="10" t="n">
        <f aca="false">WEEKNUM(A465,2) - WEEKNUM(DATE(YEAR(A465),MONTH(A465),1),2) + 1</f>
        <v>5</v>
      </c>
      <c r="G465" s="10"/>
      <c r="H465" s="11" t="n">
        <v>840</v>
      </c>
      <c r="I465" s="12" t="s">
        <v>15</v>
      </c>
      <c r="J465" s="22" t="s">
        <v>44</v>
      </c>
      <c r="K465" s="12"/>
      <c r="L465" s="9" t="n">
        <f aca="false">L464+H465</f>
        <v>69022.11</v>
      </c>
      <c r="M465" s="10" t="str">
        <f aca="false">VLOOKUP(J465,RECATALOGANDO!A:C,2,0)</f>
        <v>HONORARIOS MEDICOS</v>
      </c>
      <c r="N465" s="12" t="str">
        <f aca="false">VLOOKUP(M465,RECATALOGANDO!B:C,2,0)</f>
        <v>VENTA DE SERVICIO</v>
      </c>
      <c r="O465" s="2" t="s">
        <v>39</v>
      </c>
    </row>
    <row r="466" customFormat="false" ht="13.8" hidden="false" customHeight="false" outlineLevel="0" collapsed="false">
      <c r="A466" s="8" t="n">
        <v>45106</v>
      </c>
      <c r="B466" s="9" t="n">
        <f aca="false">DAY(A466)</f>
        <v>29</v>
      </c>
      <c r="C466" s="9" t="n">
        <f aca="false">MONTH(A466)</f>
        <v>6</v>
      </c>
      <c r="D466" s="9" t="n">
        <f aca="false">YEAR(A466)</f>
        <v>2023</v>
      </c>
      <c r="E466" s="9" t="n">
        <f aca="false">WEEKDAY(A466,2)</f>
        <v>4</v>
      </c>
      <c r="F466" s="10" t="n">
        <f aca="false">WEEKNUM(A466,2) - WEEKNUM(DATE(YEAR(A466),MONTH(A466),1),2) + 1</f>
        <v>5</v>
      </c>
      <c r="G466" s="10"/>
      <c r="H466" s="11" t="n">
        <v>587</v>
      </c>
      <c r="I466" s="12" t="s">
        <v>20</v>
      </c>
      <c r="J466" s="22" t="s">
        <v>45</v>
      </c>
      <c r="K466" s="12"/>
      <c r="L466" s="9" t="n">
        <f aca="false">L465+H466</f>
        <v>69609.11</v>
      </c>
      <c r="M466" s="10" t="str">
        <f aca="false">VLOOKUP(J466,RECATALOGANDO!A:C,2,0)</f>
        <v>VENTA DE MEDICAMENTO</v>
      </c>
      <c r="N466" s="12" t="str">
        <f aca="false">VLOOKUP(M466,RECATALOGANDO!B:C,2,0)</f>
        <v>VENTA DE PRODUCTO</v>
      </c>
      <c r="O466" s="2" t="s">
        <v>39</v>
      </c>
    </row>
    <row r="467" customFormat="false" ht="13.8" hidden="false" customHeight="false" outlineLevel="0" collapsed="false">
      <c r="A467" s="8" t="n">
        <v>45108</v>
      </c>
      <c r="B467" s="9" t="n">
        <f aca="false">DAY(A467)</f>
        <v>1</v>
      </c>
      <c r="C467" s="9" t="n">
        <f aca="false">MONTH(A467)</f>
        <v>7</v>
      </c>
      <c r="D467" s="9" t="n">
        <f aca="false">YEAR(A467)</f>
        <v>2023</v>
      </c>
      <c r="E467" s="9" t="n">
        <f aca="false">WEEKDAY(A467,2)</f>
        <v>6</v>
      </c>
      <c r="F467" s="10" t="n">
        <f aca="false">WEEKNUM(A467,2) - WEEKNUM(DATE(YEAR(A467),MONTH(A467),1),2) + 1</f>
        <v>1</v>
      </c>
      <c r="G467" s="10"/>
      <c r="H467" s="11" t="n">
        <v>4600</v>
      </c>
      <c r="I467" s="12" t="s">
        <v>15</v>
      </c>
      <c r="J467" s="22" t="s">
        <v>45</v>
      </c>
      <c r="K467" s="12"/>
      <c r="L467" s="9" t="n">
        <f aca="false">H467</f>
        <v>4600</v>
      </c>
      <c r="M467" s="10" t="str">
        <f aca="false">VLOOKUP(J467,RECATALOGANDO!A:C,2,0)</f>
        <v>VENTA DE MEDICAMENTO</v>
      </c>
      <c r="N467" s="12" t="str">
        <f aca="false">VLOOKUP(M467,RECATALOGANDO!B:C,2,0)</f>
        <v>VENTA DE PRODUCTO</v>
      </c>
      <c r="O467" s="2" t="s">
        <v>39</v>
      </c>
    </row>
    <row r="468" customFormat="false" ht="13.8" hidden="false" customHeight="false" outlineLevel="0" collapsed="false">
      <c r="A468" s="8" t="n">
        <v>45108</v>
      </c>
      <c r="B468" s="9" t="n">
        <f aca="false">DAY(A468)</f>
        <v>1</v>
      </c>
      <c r="C468" s="9" t="n">
        <f aca="false">MONTH(A468)</f>
        <v>7</v>
      </c>
      <c r="D468" s="9" t="n">
        <f aca="false">YEAR(A468)</f>
        <v>2023</v>
      </c>
      <c r="E468" s="9" t="n">
        <f aca="false">WEEKDAY(A468,2)</f>
        <v>6</v>
      </c>
      <c r="F468" s="10" t="n">
        <f aca="false">WEEKNUM(A468,2) - WEEKNUM(DATE(YEAR(A468),MONTH(A468),1),2) + 1</f>
        <v>1</v>
      </c>
      <c r="G468" s="10"/>
      <c r="H468" s="11" t="n">
        <v>194.52</v>
      </c>
      <c r="I468" s="12" t="s">
        <v>15</v>
      </c>
      <c r="J468" s="22" t="s">
        <v>53</v>
      </c>
      <c r="K468" s="12"/>
      <c r="L468" s="9" t="n">
        <f aca="false">L467+H468</f>
        <v>4794.52</v>
      </c>
      <c r="M468" s="10" t="str">
        <f aca="false">VLOOKUP(J468,RECATALOGANDO!A:C,2,0)</f>
        <v>SERVICIO DE GROOMING</v>
      </c>
      <c r="N468" s="12" t="str">
        <f aca="false">VLOOKUP(M468,RECATALOGANDO!B:C,2,0)</f>
        <v>VENTA DE SERVICIO</v>
      </c>
      <c r="O468" s="2" t="s">
        <v>39</v>
      </c>
    </row>
    <row r="469" customFormat="false" ht="13.8" hidden="false" customHeight="false" outlineLevel="0" collapsed="false">
      <c r="A469" s="8" t="n">
        <v>45110</v>
      </c>
      <c r="B469" s="9" t="n">
        <f aca="false">DAY(A469)</f>
        <v>3</v>
      </c>
      <c r="C469" s="9" t="n">
        <f aca="false">MONTH(A469)</f>
        <v>7</v>
      </c>
      <c r="D469" s="9" t="n">
        <f aca="false">YEAR(A469)</f>
        <v>2023</v>
      </c>
      <c r="E469" s="9" t="n">
        <f aca="false">WEEKDAY(A469,2)</f>
        <v>1</v>
      </c>
      <c r="F469" s="10" t="n">
        <f aca="false">WEEKNUM(A469,2) - WEEKNUM(DATE(YEAR(A469),MONTH(A469),1),2) + 1</f>
        <v>2</v>
      </c>
      <c r="G469" s="10"/>
      <c r="H469" s="11" t="n">
        <v>660</v>
      </c>
      <c r="I469" s="12" t="s">
        <v>20</v>
      </c>
      <c r="J469" s="22" t="s">
        <v>45</v>
      </c>
      <c r="K469" s="12"/>
      <c r="L469" s="9" t="n">
        <f aca="false">L468+H469</f>
        <v>5454.52</v>
      </c>
      <c r="M469" s="10" t="str">
        <f aca="false">VLOOKUP(J469,RECATALOGANDO!A:C,2,0)</f>
        <v>VENTA DE MEDICAMENTO</v>
      </c>
      <c r="N469" s="12" t="str">
        <f aca="false">VLOOKUP(M469,RECATALOGANDO!B:C,2,0)</f>
        <v>VENTA DE PRODUCTO</v>
      </c>
      <c r="O469" s="2" t="s">
        <v>39</v>
      </c>
    </row>
    <row r="470" customFormat="false" ht="13.8" hidden="false" customHeight="false" outlineLevel="0" collapsed="false">
      <c r="A470" s="8" t="n">
        <v>45110</v>
      </c>
      <c r="B470" s="9" t="n">
        <f aca="false">DAY(A470)</f>
        <v>3</v>
      </c>
      <c r="C470" s="9" t="n">
        <f aca="false">MONTH(A470)</f>
        <v>7</v>
      </c>
      <c r="D470" s="9" t="n">
        <f aca="false">YEAR(A470)</f>
        <v>2023</v>
      </c>
      <c r="E470" s="9" t="n">
        <f aca="false">WEEKDAY(A470,2)</f>
        <v>1</v>
      </c>
      <c r="F470" s="10" t="n">
        <f aca="false">WEEKNUM(A470,2) - WEEKNUM(DATE(YEAR(A470),MONTH(A470),1),2) + 1</f>
        <v>2</v>
      </c>
      <c r="G470" s="10"/>
      <c r="H470" s="11" t="n">
        <v>400</v>
      </c>
      <c r="I470" s="12" t="s">
        <v>15</v>
      </c>
      <c r="J470" s="22" t="s">
        <v>44</v>
      </c>
      <c r="K470" s="12"/>
      <c r="L470" s="9" t="n">
        <f aca="false">L469+H470</f>
        <v>5854.52</v>
      </c>
      <c r="M470" s="10" t="str">
        <f aca="false">VLOOKUP(J470,RECATALOGANDO!A:C,2,0)</f>
        <v>HONORARIOS MEDICOS</v>
      </c>
      <c r="N470" s="12" t="str">
        <f aca="false">VLOOKUP(M470,RECATALOGANDO!B:C,2,0)</f>
        <v>VENTA DE SERVICIO</v>
      </c>
      <c r="O470" s="2" t="s">
        <v>39</v>
      </c>
    </row>
    <row r="471" customFormat="false" ht="13.8" hidden="false" customHeight="false" outlineLevel="0" collapsed="false">
      <c r="A471" s="8" t="n">
        <v>45110</v>
      </c>
      <c r="B471" s="9" t="n">
        <f aca="false">DAY(A471)</f>
        <v>3</v>
      </c>
      <c r="C471" s="9" t="n">
        <f aca="false">MONTH(A471)</f>
        <v>7</v>
      </c>
      <c r="D471" s="9" t="n">
        <f aca="false">YEAR(A471)</f>
        <v>2023</v>
      </c>
      <c r="E471" s="9" t="n">
        <f aca="false">WEEKDAY(A471,2)</f>
        <v>1</v>
      </c>
      <c r="F471" s="10" t="n">
        <f aca="false">WEEKNUM(A471,2) - WEEKNUM(DATE(YEAR(A471),MONTH(A471),1),2) + 1</f>
        <v>2</v>
      </c>
      <c r="G471" s="10"/>
      <c r="H471" s="11" t="n">
        <v>760</v>
      </c>
      <c r="I471" s="12" t="s">
        <v>20</v>
      </c>
      <c r="J471" s="22" t="s">
        <v>44</v>
      </c>
      <c r="K471" s="12"/>
      <c r="L471" s="9" t="n">
        <f aca="false">L470+H471</f>
        <v>6614.52</v>
      </c>
      <c r="M471" s="10" t="str">
        <f aca="false">VLOOKUP(J471,RECATALOGANDO!A:C,2,0)</f>
        <v>HONORARIOS MEDICOS</v>
      </c>
      <c r="N471" s="12" t="str">
        <f aca="false">VLOOKUP(M471,RECATALOGANDO!B:C,2,0)</f>
        <v>VENTA DE SERVICIO</v>
      </c>
      <c r="O471" s="2" t="s">
        <v>39</v>
      </c>
    </row>
    <row r="472" customFormat="false" ht="13.8" hidden="false" customHeight="false" outlineLevel="0" collapsed="false">
      <c r="A472" s="8" t="n">
        <v>45111</v>
      </c>
      <c r="B472" s="9" t="n">
        <f aca="false">DAY(A472)</f>
        <v>4</v>
      </c>
      <c r="C472" s="9" t="n">
        <f aca="false">MONTH(A472)</f>
        <v>7</v>
      </c>
      <c r="D472" s="9" t="n">
        <f aca="false">YEAR(A472)</f>
        <v>2023</v>
      </c>
      <c r="E472" s="9" t="n">
        <f aca="false">WEEKDAY(A472,2)</f>
        <v>2</v>
      </c>
      <c r="F472" s="10" t="n">
        <f aca="false">WEEKNUM(A472,2) - WEEKNUM(DATE(YEAR(A472),MONTH(A472),1),2) + 1</f>
        <v>2</v>
      </c>
      <c r="G472" s="10"/>
      <c r="H472" s="11" t="n">
        <v>1365</v>
      </c>
      <c r="I472" s="12" t="s">
        <v>20</v>
      </c>
      <c r="J472" s="22" t="s">
        <v>51</v>
      </c>
      <c r="K472" s="12"/>
      <c r="L472" s="9" t="n">
        <f aca="false">L471+H472</f>
        <v>7979.52</v>
      </c>
      <c r="M472" s="10" t="str">
        <f aca="false">VLOOKUP(J472,RECATALOGANDO!A:C,2,0)</f>
        <v>VENTA DE ALIMENTO</v>
      </c>
      <c r="N472" s="12" t="str">
        <f aca="false">VLOOKUP(M472,RECATALOGANDO!B:C,2,0)</f>
        <v>VENTA DE PRODUCTO</v>
      </c>
      <c r="O472" s="2" t="s">
        <v>39</v>
      </c>
    </row>
    <row r="473" customFormat="false" ht="13.8" hidden="false" customHeight="false" outlineLevel="0" collapsed="false">
      <c r="A473" s="8" t="n">
        <v>45111</v>
      </c>
      <c r="B473" s="9" t="n">
        <f aca="false">DAY(A473)</f>
        <v>4</v>
      </c>
      <c r="C473" s="9" t="n">
        <f aca="false">MONTH(A473)</f>
        <v>7</v>
      </c>
      <c r="D473" s="9" t="n">
        <f aca="false">YEAR(A473)</f>
        <v>2023</v>
      </c>
      <c r="E473" s="9" t="n">
        <f aca="false">WEEKDAY(A473,2)</f>
        <v>2</v>
      </c>
      <c r="F473" s="10" t="n">
        <f aca="false">WEEKNUM(A473,2) - WEEKNUM(DATE(YEAR(A473),MONTH(A473),1),2) + 1</f>
        <v>2</v>
      </c>
      <c r="G473" s="10"/>
      <c r="H473" s="11" t="n">
        <v>160</v>
      </c>
      <c r="I473" s="12" t="s">
        <v>15</v>
      </c>
      <c r="J473" s="22" t="s">
        <v>53</v>
      </c>
      <c r="K473" s="12"/>
      <c r="L473" s="9" t="n">
        <f aca="false">L472+H473</f>
        <v>8139.52</v>
      </c>
      <c r="M473" s="10" t="str">
        <f aca="false">VLOOKUP(J473,RECATALOGANDO!A:C,2,0)</f>
        <v>SERVICIO DE GROOMING</v>
      </c>
      <c r="N473" s="12" t="str">
        <f aca="false">VLOOKUP(M473,RECATALOGANDO!B:C,2,0)</f>
        <v>VENTA DE SERVICIO</v>
      </c>
      <c r="O473" s="2" t="s">
        <v>39</v>
      </c>
    </row>
    <row r="474" customFormat="false" ht="13.8" hidden="false" customHeight="false" outlineLevel="0" collapsed="false">
      <c r="A474" s="8" t="n">
        <v>45112</v>
      </c>
      <c r="B474" s="9" t="n">
        <f aca="false">DAY(A474)</f>
        <v>5</v>
      </c>
      <c r="C474" s="9" t="n">
        <f aca="false">MONTH(A474)</f>
        <v>7</v>
      </c>
      <c r="D474" s="9" t="n">
        <f aca="false">YEAR(A474)</f>
        <v>2023</v>
      </c>
      <c r="E474" s="9" t="n">
        <f aca="false">WEEKDAY(A474,2)</f>
        <v>3</v>
      </c>
      <c r="F474" s="10" t="n">
        <f aca="false">WEEKNUM(A474,2) - WEEKNUM(DATE(YEAR(A474),MONTH(A474),1),2) + 1</f>
        <v>2</v>
      </c>
      <c r="G474" s="10"/>
      <c r="H474" s="11" t="n">
        <v>660</v>
      </c>
      <c r="I474" s="12" t="s">
        <v>15</v>
      </c>
      <c r="J474" s="22" t="s">
        <v>51</v>
      </c>
      <c r="K474" s="12"/>
      <c r="L474" s="9" t="n">
        <f aca="false">L473+H474</f>
        <v>8799.52</v>
      </c>
      <c r="M474" s="10" t="str">
        <f aca="false">VLOOKUP(J474,RECATALOGANDO!A:C,2,0)</f>
        <v>VENTA DE ALIMENTO</v>
      </c>
      <c r="N474" s="12" t="str">
        <f aca="false">VLOOKUP(M474,RECATALOGANDO!B:C,2,0)</f>
        <v>VENTA DE PRODUCTO</v>
      </c>
      <c r="O474" s="2" t="s">
        <v>39</v>
      </c>
    </row>
    <row r="475" customFormat="false" ht="13.8" hidden="false" customHeight="false" outlineLevel="0" collapsed="false">
      <c r="A475" s="8" t="n">
        <v>45112</v>
      </c>
      <c r="B475" s="9" t="n">
        <f aca="false">DAY(A475)</f>
        <v>5</v>
      </c>
      <c r="C475" s="9" t="n">
        <f aca="false">MONTH(A475)</f>
        <v>7</v>
      </c>
      <c r="D475" s="9" t="n">
        <f aca="false">YEAR(A475)</f>
        <v>2023</v>
      </c>
      <c r="E475" s="9" t="n">
        <f aca="false">WEEKDAY(A475,2)</f>
        <v>3</v>
      </c>
      <c r="F475" s="10" t="n">
        <f aca="false">WEEKNUM(A475,2) - WEEKNUM(DATE(YEAR(A475),MONTH(A475),1),2) + 1</f>
        <v>2</v>
      </c>
      <c r="G475" s="10"/>
      <c r="H475" s="11" t="n">
        <v>1625</v>
      </c>
      <c r="I475" s="12" t="s">
        <v>20</v>
      </c>
      <c r="J475" s="22" t="s">
        <v>44</v>
      </c>
      <c r="K475" s="12"/>
      <c r="L475" s="9" t="n">
        <f aca="false">L474+H475</f>
        <v>10424.52</v>
      </c>
      <c r="M475" s="10" t="str">
        <f aca="false">VLOOKUP(J475,RECATALOGANDO!A:C,2,0)</f>
        <v>HONORARIOS MEDICOS</v>
      </c>
      <c r="N475" s="12" t="str">
        <f aca="false">VLOOKUP(M475,RECATALOGANDO!B:C,2,0)</f>
        <v>VENTA DE SERVICIO</v>
      </c>
      <c r="O475" s="2" t="s">
        <v>39</v>
      </c>
    </row>
    <row r="476" customFormat="false" ht="13.8" hidden="false" customHeight="false" outlineLevel="0" collapsed="false">
      <c r="A476" s="8" t="n">
        <v>45112</v>
      </c>
      <c r="B476" s="9" t="n">
        <f aca="false">DAY(A476)</f>
        <v>5</v>
      </c>
      <c r="C476" s="9" t="n">
        <f aca="false">MONTH(A476)</f>
        <v>7</v>
      </c>
      <c r="D476" s="9" t="n">
        <f aca="false">YEAR(A476)</f>
        <v>2023</v>
      </c>
      <c r="E476" s="9" t="n">
        <f aca="false">WEEKDAY(A476,2)</f>
        <v>3</v>
      </c>
      <c r="F476" s="10" t="n">
        <f aca="false">WEEKNUM(A476,2) - WEEKNUM(DATE(YEAR(A476),MONTH(A476),1),2) + 1</f>
        <v>2</v>
      </c>
      <c r="G476" s="10"/>
      <c r="H476" s="11" t="n">
        <v>1725</v>
      </c>
      <c r="I476" s="12" t="s">
        <v>20</v>
      </c>
      <c r="J476" s="22" t="s">
        <v>41</v>
      </c>
      <c r="K476" s="12"/>
      <c r="L476" s="9" t="n">
        <f aca="false">L475+H476</f>
        <v>12149.52</v>
      </c>
      <c r="M476" s="10" t="str">
        <f aca="false">VLOOKUP(J476,RECATALOGANDO!A:C,2,0)</f>
        <v>HONORARIOS QUIRURGICOS</v>
      </c>
      <c r="N476" s="12" t="str">
        <f aca="false">VLOOKUP(M476,RECATALOGANDO!B:C,2,0)</f>
        <v>VENTA DE SERVICIO</v>
      </c>
      <c r="O476" s="2" t="s">
        <v>39</v>
      </c>
    </row>
    <row r="477" customFormat="false" ht="13.8" hidden="false" customHeight="false" outlineLevel="0" collapsed="false">
      <c r="A477" s="8" t="n">
        <v>45114</v>
      </c>
      <c r="B477" s="9" t="n">
        <f aca="false">DAY(A477)</f>
        <v>7</v>
      </c>
      <c r="C477" s="9" t="n">
        <f aca="false">MONTH(A477)</f>
        <v>7</v>
      </c>
      <c r="D477" s="9" t="n">
        <f aca="false">YEAR(A477)</f>
        <v>2023</v>
      </c>
      <c r="E477" s="9" t="n">
        <f aca="false">WEEKDAY(A477,2)</f>
        <v>5</v>
      </c>
      <c r="F477" s="10" t="n">
        <f aca="false">WEEKNUM(A477,2) - WEEKNUM(DATE(YEAR(A477),MONTH(A477),1),2) + 1</f>
        <v>2</v>
      </c>
      <c r="G477" s="10"/>
      <c r="H477" s="11" t="n">
        <v>1691</v>
      </c>
      <c r="I477" s="12" t="s">
        <v>15</v>
      </c>
      <c r="J477" s="22" t="s">
        <v>51</v>
      </c>
      <c r="K477" s="12"/>
      <c r="L477" s="9" t="n">
        <f aca="false">L476+H477</f>
        <v>13840.52</v>
      </c>
      <c r="M477" s="10" t="str">
        <f aca="false">VLOOKUP(J477,RECATALOGANDO!A:C,2,0)</f>
        <v>VENTA DE ALIMENTO</v>
      </c>
      <c r="N477" s="12" t="str">
        <f aca="false">VLOOKUP(M477,RECATALOGANDO!B:C,2,0)</f>
        <v>VENTA DE PRODUCTO</v>
      </c>
      <c r="O477" s="2" t="s">
        <v>39</v>
      </c>
    </row>
    <row r="478" customFormat="false" ht="13.8" hidden="false" customHeight="false" outlineLevel="0" collapsed="false">
      <c r="A478" s="8" t="n">
        <v>45114</v>
      </c>
      <c r="B478" s="9" t="n">
        <f aca="false">DAY(A478)</f>
        <v>7</v>
      </c>
      <c r="C478" s="9" t="n">
        <f aca="false">MONTH(A478)</f>
        <v>7</v>
      </c>
      <c r="D478" s="9" t="n">
        <f aca="false">YEAR(A478)</f>
        <v>2023</v>
      </c>
      <c r="E478" s="9" t="n">
        <f aca="false">WEEKDAY(A478,2)</f>
        <v>5</v>
      </c>
      <c r="F478" s="10" t="n">
        <f aca="false">WEEKNUM(A478,2) - WEEKNUM(DATE(YEAR(A478),MONTH(A478),1),2) + 1</f>
        <v>2</v>
      </c>
      <c r="G478" s="10"/>
      <c r="H478" s="11" t="n">
        <v>370</v>
      </c>
      <c r="I478" s="12" t="s">
        <v>15</v>
      </c>
      <c r="J478" s="22" t="s">
        <v>53</v>
      </c>
      <c r="K478" s="12"/>
      <c r="L478" s="9" t="n">
        <f aca="false">L477+H478</f>
        <v>14210.52</v>
      </c>
      <c r="M478" s="10" t="str">
        <f aca="false">VLOOKUP(J478,RECATALOGANDO!A:C,2,0)</f>
        <v>SERVICIO DE GROOMING</v>
      </c>
      <c r="N478" s="12" t="str">
        <f aca="false">VLOOKUP(M478,RECATALOGANDO!B:C,2,0)</f>
        <v>VENTA DE SERVICIO</v>
      </c>
      <c r="O478" s="2" t="s">
        <v>39</v>
      </c>
    </row>
    <row r="479" customFormat="false" ht="13.8" hidden="false" customHeight="false" outlineLevel="0" collapsed="false">
      <c r="A479" s="8" t="n">
        <v>45117</v>
      </c>
      <c r="B479" s="9" t="n">
        <f aca="false">DAY(A479)</f>
        <v>10</v>
      </c>
      <c r="C479" s="9" t="n">
        <f aca="false">MONTH(A479)</f>
        <v>7</v>
      </c>
      <c r="D479" s="9" t="n">
        <f aca="false">YEAR(A479)</f>
        <v>2023</v>
      </c>
      <c r="E479" s="9" t="n">
        <f aca="false">WEEKDAY(A479,2)</f>
        <v>1</v>
      </c>
      <c r="F479" s="10" t="n">
        <f aca="false">WEEKNUM(A479,2) - WEEKNUM(DATE(YEAR(A479),MONTH(A479),1),2) + 1</f>
        <v>3</v>
      </c>
      <c r="G479" s="10"/>
      <c r="H479" s="11" t="n">
        <v>150</v>
      </c>
      <c r="I479" s="12" t="s">
        <v>15</v>
      </c>
      <c r="J479" s="22" t="s">
        <v>53</v>
      </c>
      <c r="K479" s="12"/>
      <c r="L479" s="9" t="n">
        <f aca="false">L478+H479</f>
        <v>14360.52</v>
      </c>
      <c r="M479" s="10" t="str">
        <f aca="false">VLOOKUP(J479,RECATALOGANDO!A:C,2,0)</f>
        <v>SERVICIO DE GROOMING</v>
      </c>
      <c r="N479" s="12" t="str">
        <f aca="false">VLOOKUP(M479,RECATALOGANDO!B:C,2,0)</f>
        <v>VENTA DE SERVICIO</v>
      </c>
      <c r="O479" s="2" t="s">
        <v>39</v>
      </c>
    </row>
    <row r="480" customFormat="false" ht="13.8" hidden="false" customHeight="false" outlineLevel="0" collapsed="false">
      <c r="A480" s="8" t="n">
        <v>45118</v>
      </c>
      <c r="B480" s="9" t="n">
        <f aca="false">DAY(A480)</f>
        <v>11</v>
      </c>
      <c r="C480" s="9" t="n">
        <f aca="false">MONTH(A480)</f>
        <v>7</v>
      </c>
      <c r="D480" s="9" t="n">
        <f aca="false">YEAR(A480)</f>
        <v>2023</v>
      </c>
      <c r="E480" s="9" t="n">
        <f aca="false">WEEKDAY(A480,2)</f>
        <v>2</v>
      </c>
      <c r="F480" s="10" t="n">
        <f aca="false">WEEKNUM(A480,2) - WEEKNUM(DATE(YEAR(A480),MONTH(A480),1),2) + 1</f>
        <v>3</v>
      </c>
      <c r="G480" s="10"/>
      <c r="H480" s="11" t="n">
        <v>430</v>
      </c>
      <c r="I480" s="12" t="s">
        <v>20</v>
      </c>
      <c r="J480" s="22" t="s">
        <v>45</v>
      </c>
      <c r="K480" s="12"/>
      <c r="L480" s="9" t="n">
        <f aca="false">L479+H480</f>
        <v>14790.52</v>
      </c>
      <c r="M480" s="10" t="str">
        <f aca="false">VLOOKUP(J480,RECATALOGANDO!A:C,2,0)</f>
        <v>VENTA DE MEDICAMENTO</v>
      </c>
      <c r="N480" s="12" t="str">
        <f aca="false">VLOOKUP(M480,RECATALOGANDO!B:C,2,0)</f>
        <v>VENTA DE PRODUCTO</v>
      </c>
      <c r="O480" s="2" t="s">
        <v>39</v>
      </c>
    </row>
    <row r="481" customFormat="false" ht="13.8" hidden="false" customHeight="false" outlineLevel="0" collapsed="false">
      <c r="A481" s="8" t="n">
        <v>45118</v>
      </c>
      <c r="B481" s="9" t="n">
        <f aca="false">DAY(A481)</f>
        <v>11</v>
      </c>
      <c r="C481" s="9" t="n">
        <f aca="false">MONTH(A481)</f>
        <v>7</v>
      </c>
      <c r="D481" s="9" t="n">
        <f aca="false">YEAR(A481)</f>
        <v>2023</v>
      </c>
      <c r="E481" s="9" t="n">
        <f aca="false">WEEKDAY(A481,2)</f>
        <v>2</v>
      </c>
      <c r="F481" s="10" t="n">
        <f aca="false">WEEKNUM(A481,2) - WEEKNUM(DATE(YEAR(A481),MONTH(A481),1),2) + 1</f>
        <v>3</v>
      </c>
      <c r="G481" s="10"/>
      <c r="H481" s="11" t="n">
        <v>763.72</v>
      </c>
      <c r="I481" s="12" t="s">
        <v>15</v>
      </c>
      <c r="J481" s="22" t="s">
        <v>44</v>
      </c>
      <c r="K481" s="12"/>
      <c r="L481" s="9" t="n">
        <f aca="false">L480+H481</f>
        <v>15554.24</v>
      </c>
      <c r="M481" s="10" t="str">
        <f aca="false">VLOOKUP(J481,RECATALOGANDO!A:C,2,0)</f>
        <v>HONORARIOS MEDICOS</v>
      </c>
      <c r="N481" s="12" t="str">
        <f aca="false">VLOOKUP(M481,RECATALOGANDO!B:C,2,0)</f>
        <v>VENTA DE SERVICIO</v>
      </c>
      <c r="O481" s="2" t="s">
        <v>39</v>
      </c>
    </row>
    <row r="482" customFormat="false" ht="13.8" hidden="false" customHeight="false" outlineLevel="0" collapsed="false">
      <c r="A482" s="8" t="n">
        <v>45118</v>
      </c>
      <c r="B482" s="9" t="n">
        <f aca="false">DAY(A482)</f>
        <v>11</v>
      </c>
      <c r="C482" s="9" t="n">
        <f aca="false">MONTH(A482)</f>
        <v>7</v>
      </c>
      <c r="D482" s="9" t="n">
        <f aca="false">YEAR(A482)</f>
        <v>2023</v>
      </c>
      <c r="E482" s="9" t="n">
        <f aca="false">WEEKDAY(A482,2)</f>
        <v>2</v>
      </c>
      <c r="F482" s="10" t="n">
        <f aca="false">WEEKNUM(A482,2) - WEEKNUM(DATE(YEAR(A482),MONTH(A482),1),2) + 1</f>
        <v>3</v>
      </c>
      <c r="G482" s="10"/>
      <c r="H482" s="11" t="n">
        <v>2380</v>
      </c>
      <c r="I482" s="12" t="s">
        <v>20</v>
      </c>
      <c r="J482" s="22" t="s">
        <v>41</v>
      </c>
      <c r="K482" s="12"/>
      <c r="L482" s="9" t="n">
        <f aca="false">L481+H482</f>
        <v>17934.24</v>
      </c>
      <c r="M482" s="10" t="str">
        <f aca="false">VLOOKUP(J482,RECATALOGANDO!A:C,2,0)</f>
        <v>HONORARIOS QUIRURGICOS</v>
      </c>
      <c r="N482" s="12" t="str">
        <f aca="false">VLOOKUP(M482,RECATALOGANDO!B:C,2,0)</f>
        <v>VENTA DE SERVICIO</v>
      </c>
      <c r="O482" s="2" t="s">
        <v>39</v>
      </c>
    </row>
    <row r="483" customFormat="false" ht="13.8" hidden="false" customHeight="false" outlineLevel="0" collapsed="false">
      <c r="A483" s="8" t="n">
        <v>45119</v>
      </c>
      <c r="B483" s="9" t="n">
        <f aca="false">DAY(A483)</f>
        <v>12</v>
      </c>
      <c r="C483" s="9" t="n">
        <f aca="false">MONTH(A483)</f>
        <v>7</v>
      </c>
      <c r="D483" s="9" t="n">
        <f aca="false">YEAR(A483)</f>
        <v>2023</v>
      </c>
      <c r="E483" s="9" t="n">
        <f aca="false">WEEKDAY(A483,2)</f>
        <v>3</v>
      </c>
      <c r="F483" s="10" t="n">
        <f aca="false">WEEKNUM(A483,2) - WEEKNUM(DATE(YEAR(A483),MONTH(A483),1),2) + 1</f>
        <v>3</v>
      </c>
      <c r="G483" s="10"/>
      <c r="H483" s="11" t="n">
        <v>150</v>
      </c>
      <c r="I483" s="12" t="s">
        <v>15</v>
      </c>
      <c r="J483" s="22" t="s">
        <v>53</v>
      </c>
      <c r="K483" s="12"/>
      <c r="L483" s="9" t="n">
        <f aca="false">L482+H483</f>
        <v>18084.24</v>
      </c>
      <c r="M483" s="10" t="str">
        <f aca="false">VLOOKUP(J483,RECATALOGANDO!A:C,2,0)</f>
        <v>SERVICIO DE GROOMING</v>
      </c>
      <c r="N483" s="12" t="str">
        <f aca="false">VLOOKUP(M483,RECATALOGANDO!B:C,2,0)</f>
        <v>VENTA DE SERVICIO</v>
      </c>
      <c r="O483" s="2" t="s">
        <v>39</v>
      </c>
    </row>
    <row r="484" customFormat="false" ht="13.8" hidden="false" customHeight="false" outlineLevel="0" collapsed="false">
      <c r="A484" s="8" t="n">
        <v>45119</v>
      </c>
      <c r="B484" s="9" t="n">
        <f aca="false">DAY(A484)</f>
        <v>12</v>
      </c>
      <c r="C484" s="9" t="n">
        <f aca="false">MONTH(A484)</f>
        <v>7</v>
      </c>
      <c r="D484" s="9" t="n">
        <f aca="false">YEAR(A484)</f>
        <v>2023</v>
      </c>
      <c r="E484" s="9" t="n">
        <f aca="false">WEEKDAY(A484,2)</f>
        <v>3</v>
      </c>
      <c r="F484" s="10" t="n">
        <f aca="false">WEEKNUM(A484,2) - WEEKNUM(DATE(YEAR(A484),MONTH(A484),1),2) + 1</f>
        <v>3</v>
      </c>
      <c r="G484" s="10"/>
      <c r="H484" s="11" t="n">
        <v>675</v>
      </c>
      <c r="I484" s="12" t="s">
        <v>15</v>
      </c>
      <c r="J484" s="22" t="s">
        <v>44</v>
      </c>
      <c r="K484" s="12"/>
      <c r="L484" s="9" t="n">
        <f aca="false">L483+H484</f>
        <v>18759.24</v>
      </c>
      <c r="M484" s="10" t="str">
        <f aca="false">VLOOKUP(J484,RECATALOGANDO!A:C,2,0)</f>
        <v>HONORARIOS MEDICOS</v>
      </c>
      <c r="N484" s="12" t="str">
        <f aca="false">VLOOKUP(M484,RECATALOGANDO!B:C,2,0)</f>
        <v>VENTA DE SERVICIO</v>
      </c>
      <c r="O484" s="2" t="s">
        <v>39</v>
      </c>
    </row>
    <row r="485" customFormat="false" ht="13.8" hidden="false" customHeight="false" outlineLevel="0" collapsed="false">
      <c r="A485" s="8" t="n">
        <v>45120</v>
      </c>
      <c r="B485" s="9" t="n">
        <f aca="false">DAY(A485)</f>
        <v>13</v>
      </c>
      <c r="C485" s="9" t="n">
        <f aca="false">MONTH(A485)</f>
        <v>7</v>
      </c>
      <c r="D485" s="9" t="n">
        <f aca="false">YEAR(A485)</f>
        <v>2023</v>
      </c>
      <c r="E485" s="9" t="n">
        <f aca="false">WEEKDAY(A485,2)</f>
        <v>4</v>
      </c>
      <c r="F485" s="10" t="n">
        <f aca="false">WEEKNUM(A485,2) - WEEKNUM(DATE(YEAR(A485),MONTH(A485),1),2) + 1</f>
        <v>3</v>
      </c>
      <c r="G485" s="10"/>
      <c r="H485" s="11" t="n">
        <v>2324.69</v>
      </c>
      <c r="I485" s="12" t="s">
        <v>15</v>
      </c>
      <c r="J485" s="22" t="s">
        <v>51</v>
      </c>
      <c r="K485" s="12"/>
      <c r="L485" s="9" t="n">
        <f aca="false">L484+H485</f>
        <v>21083.93</v>
      </c>
      <c r="M485" s="10" t="str">
        <f aca="false">VLOOKUP(J485,RECATALOGANDO!A:C,2,0)</f>
        <v>VENTA DE ALIMENTO</v>
      </c>
      <c r="N485" s="12" t="str">
        <f aca="false">VLOOKUP(M485,RECATALOGANDO!B:C,2,0)</f>
        <v>VENTA DE PRODUCTO</v>
      </c>
      <c r="O485" s="2" t="s">
        <v>39</v>
      </c>
    </row>
    <row r="486" customFormat="false" ht="13.8" hidden="false" customHeight="false" outlineLevel="0" collapsed="false">
      <c r="A486" s="8" t="n">
        <v>45120</v>
      </c>
      <c r="B486" s="9" t="n">
        <f aca="false">DAY(A486)</f>
        <v>13</v>
      </c>
      <c r="C486" s="9" t="n">
        <f aca="false">MONTH(A486)</f>
        <v>7</v>
      </c>
      <c r="D486" s="9" t="n">
        <f aca="false">YEAR(A486)</f>
        <v>2023</v>
      </c>
      <c r="E486" s="9" t="n">
        <f aca="false">WEEKDAY(A486,2)</f>
        <v>4</v>
      </c>
      <c r="F486" s="10" t="n">
        <f aca="false">WEEKNUM(A486,2) - WEEKNUM(DATE(YEAR(A486),MONTH(A486),1),2) + 1</f>
        <v>3</v>
      </c>
      <c r="G486" s="10"/>
      <c r="H486" s="11" t="n">
        <v>912</v>
      </c>
      <c r="I486" s="12" t="s">
        <v>20</v>
      </c>
      <c r="J486" s="22" t="s">
        <v>58</v>
      </c>
      <c r="K486" s="12"/>
      <c r="L486" s="9" t="n">
        <f aca="false">L485+H486</f>
        <v>21995.93</v>
      </c>
      <c r="M486" s="10" t="str">
        <f aca="false">VLOOKUP(J486,RECATALOGANDO!A:C,2,0)</f>
        <v>SERVICIO DE LABORATORIO</v>
      </c>
      <c r="N486" s="12" t="str">
        <f aca="false">VLOOKUP(M486,RECATALOGANDO!B:C,2,0)</f>
        <v>VENTA DE SERVICIO</v>
      </c>
      <c r="O486" s="2" t="s">
        <v>39</v>
      </c>
    </row>
    <row r="487" customFormat="false" ht="13.8" hidden="false" customHeight="false" outlineLevel="0" collapsed="false">
      <c r="A487" s="8" t="n">
        <v>45121</v>
      </c>
      <c r="B487" s="9" t="n">
        <f aca="false">DAY(A487)</f>
        <v>14</v>
      </c>
      <c r="C487" s="9" t="n">
        <f aca="false">MONTH(A487)</f>
        <v>7</v>
      </c>
      <c r="D487" s="9" t="n">
        <f aca="false">YEAR(A487)</f>
        <v>2023</v>
      </c>
      <c r="E487" s="9" t="n">
        <f aca="false">WEEKDAY(A487,2)</f>
        <v>5</v>
      </c>
      <c r="F487" s="10" t="n">
        <f aca="false">WEEKNUM(A487,2) - WEEKNUM(DATE(YEAR(A487),MONTH(A487),1),2) + 1</f>
        <v>3</v>
      </c>
      <c r="G487" s="10" t="n">
        <v>1</v>
      </c>
      <c r="H487" s="11" t="n">
        <v>1120</v>
      </c>
      <c r="I487" s="12" t="s">
        <v>20</v>
      </c>
      <c r="J487" s="22" t="s">
        <v>45</v>
      </c>
      <c r="K487" s="12"/>
      <c r="L487" s="9" t="n">
        <f aca="false">L486+H487</f>
        <v>23115.93</v>
      </c>
      <c r="M487" s="10" t="str">
        <f aca="false">VLOOKUP(J487,RECATALOGANDO!A:C,2,0)</f>
        <v>VENTA DE MEDICAMENTO</v>
      </c>
      <c r="N487" s="12" t="str">
        <f aca="false">VLOOKUP(M487,RECATALOGANDO!B:C,2,0)</f>
        <v>VENTA DE PRODUCTO</v>
      </c>
      <c r="O487" s="2" t="s">
        <v>39</v>
      </c>
    </row>
    <row r="488" customFormat="false" ht="13.8" hidden="false" customHeight="false" outlineLevel="0" collapsed="false">
      <c r="A488" s="8" t="n">
        <v>45121</v>
      </c>
      <c r="B488" s="9" t="n">
        <f aca="false">DAY(A488)</f>
        <v>14</v>
      </c>
      <c r="C488" s="9" t="n">
        <f aca="false">MONTH(A488)</f>
        <v>7</v>
      </c>
      <c r="D488" s="9" t="n">
        <f aca="false">YEAR(A488)</f>
        <v>2023</v>
      </c>
      <c r="E488" s="9" t="n">
        <f aca="false">WEEKDAY(A488,2)</f>
        <v>5</v>
      </c>
      <c r="F488" s="10" t="n">
        <f aca="false">WEEKNUM(A488,2) - WEEKNUM(DATE(YEAR(A488),MONTH(A488),1),2) + 1</f>
        <v>3</v>
      </c>
      <c r="G488" s="10" t="n">
        <v>1</v>
      </c>
      <c r="H488" s="11" t="n">
        <v>290</v>
      </c>
      <c r="I488" s="12" t="s">
        <v>20</v>
      </c>
      <c r="J488" s="22" t="s">
        <v>53</v>
      </c>
      <c r="K488" s="12"/>
      <c r="L488" s="9" t="n">
        <f aca="false">L487+H488</f>
        <v>23405.93</v>
      </c>
      <c r="M488" s="10" t="str">
        <f aca="false">VLOOKUP(J488,RECATALOGANDO!A:C,2,0)</f>
        <v>SERVICIO DE GROOMING</v>
      </c>
      <c r="N488" s="12" t="str">
        <f aca="false">VLOOKUP(M488,RECATALOGANDO!B:C,2,0)</f>
        <v>VENTA DE SERVICIO</v>
      </c>
      <c r="O488" s="2" t="s">
        <v>39</v>
      </c>
    </row>
    <row r="489" customFormat="false" ht="13.8" hidden="false" customHeight="false" outlineLevel="0" collapsed="false">
      <c r="A489" s="8" t="n">
        <v>45121</v>
      </c>
      <c r="B489" s="9" t="n">
        <f aca="false">DAY(A489)</f>
        <v>14</v>
      </c>
      <c r="C489" s="9" t="n">
        <f aca="false">MONTH(A489)</f>
        <v>7</v>
      </c>
      <c r="D489" s="9" t="n">
        <f aca="false">YEAR(A489)</f>
        <v>2023</v>
      </c>
      <c r="E489" s="9" t="n">
        <f aca="false">WEEKDAY(A489,2)</f>
        <v>5</v>
      </c>
      <c r="F489" s="10" t="n">
        <f aca="false">WEEKNUM(A489,2) - WEEKNUM(DATE(YEAR(A489),MONTH(A489),1),2) + 1</f>
        <v>3</v>
      </c>
      <c r="G489" s="10" t="n">
        <v>1</v>
      </c>
      <c r="H489" s="11" t="n">
        <v>761.58</v>
      </c>
      <c r="I489" s="12" t="s">
        <v>15</v>
      </c>
      <c r="J489" s="22" t="s">
        <v>44</v>
      </c>
      <c r="K489" s="12"/>
      <c r="L489" s="9" t="n">
        <f aca="false">L488+H489</f>
        <v>24167.51</v>
      </c>
      <c r="M489" s="10" t="str">
        <f aca="false">VLOOKUP(J489,RECATALOGANDO!A:C,2,0)</f>
        <v>HONORARIOS MEDICOS</v>
      </c>
      <c r="N489" s="12" t="str">
        <f aca="false">VLOOKUP(M489,RECATALOGANDO!B:C,2,0)</f>
        <v>VENTA DE SERVICIO</v>
      </c>
      <c r="O489" s="2" t="s">
        <v>39</v>
      </c>
    </row>
    <row r="490" customFormat="false" ht="13.8" hidden="false" customHeight="false" outlineLevel="0" collapsed="false">
      <c r="A490" s="8" t="n">
        <v>45122</v>
      </c>
      <c r="B490" s="9" t="n">
        <f aca="false">DAY(A490)</f>
        <v>15</v>
      </c>
      <c r="C490" s="9" t="n">
        <f aca="false">MONTH(A490)</f>
        <v>7</v>
      </c>
      <c r="D490" s="9" t="n">
        <f aca="false">YEAR(A490)</f>
        <v>2023</v>
      </c>
      <c r="E490" s="9" t="n">
        <f aca="false">WEEKDAY(A490,2)</f>
        <v>6</v>
      </c>
      <c r="F490" s="10" t="n">
        <f aca="false">WEEKNUM(A490,2) - WEEKNUM(DATE(YEAR(A490),MONTH(A490),1),2) + 1</f>
        <v>3</v>
      </c>
      <c r="G490" s="10"/>
      <c r="H490" s="11" t="n">
        <v>390</v>
      </c>
      <c r="I490" s="12" t="s">
        <v>15</v>
      </c>
      <c r="J490" s="22" t="s">
        <v>53</v>
      </c>
      <c r="K490" s="12"/>
      <c r="L490" s="9" t="n">
        <f aca="false">L489+H490</f>
        <v>24557.51</v>
      </c>
      <c r="M490" s="10" t="str">
        <f aca="false">VLOOKUP(J490,RECATALOGANDO!A:C,2,0)</f>
        <v>SERVICIO DE GROOMING</v>
      </c>
      <c r="N490" s="12" t="str">
        <f aca="false">VLOOKUP(M490,RECATALOGANDO!B:C,2,0)</f>
        <v>VENTA DE SERVICIO</v>
      </c>
      <c r="O490" s="2" t="s">
        <v>39</v>
      </c>
    </row>
    <row r="491" customFormat="false" ht="13.8" hidden="false" customHeight="false" outlineLevel="0" collapsed="false">
      <c r="A491" s="8" t="n">
        <v>45123</v>
      </c>
      <c r="B491" s="9" t="n">
        <f aca="false">DAY(A491)</f>
        <v>16</v>
      </c>
      <c r="C491" s="9" t="n">
        <f aca="false">MONTH(A491)</f>
        <v>7</v>
      </c>
      <c r="D491" s="9" t="n">
        <f aca="false">YEAR(A491)</f>
        <v>2023</v>
      </c>
      <c r="E491" s="9" t="n">
        <f aca="false">WEEKDAY(A491,2)</f>
        <v>7</v>
      </c>
      <c r="F491" s="10" t="n">
        <f aca="false">WEEKNUM(A491,2) - WEEKNUM(DATE(YEAR(A491),MONTH(A491),1),2) + 1</f>
        <v>3</v>
      </c>
      <c r="G491" s="10"/>
      <c r="H491" s="11" t="n">
        <v>298.97</v>
      </c>
      <c r="I491" s="12" t="s">
        <v>15</v>
      </c>
      <c r="J491" s="22" t="s">
        <v>45</v>
      </c>
      <c r="K491" s="12"/>
      <c r="L491" s="9" t="n">
        <f aca="false">L490+H491</f>
        <v>24856.48</v>
      </c>
      <c r="M491" s="10" t="str">
        <f aca="false">VLOOKUP(J491,RECATALOGANDO!A:C,2,0)</f>
        <v>VENTA DE MEDICAMENTO</v>
      </c>
      <c r="N491" s="12" t="str">
        <f aca="false">VLOOKUP(M491,RECATALOGANDO!B:C,2,0)</f>
        <v>VENTA DE PRODUCTO</v>
      </c>
      <c r="O491" s="2" t="s">
        <v>39</v>
      </c>
    </row>
    <row r="492" customFormat="false" ht="13.8" hidden="false" customHeight="false" outlineLevel="0" collapsed="false">
      <c r="A492" s="8" t="n">
        <v>45124</v>
      </c>
      <c r="B492" s="9" t="n">
        <f aca="false">DAY(A492)</f>
        <v>17</v>
      </c>
      <c r="C492" s="9" t="n">
        <f aca="false">MONTH(A492)</f>
        <v>7</v>
      </c>
      <c r="D492" s="9" t="n">
        <f aca="false">YEAR(A492)</f>
        <v>2023</v>
      </c>
      <c r="E492" s="9" t="n">
        <f aca="false">WEEKDAY(A492,2)</f>
        <v>1</v>
      </c>
      <c r="F492" s="10" t="n">
        <f aca="false">WEEKNUM(A492,2) - WEEKNUM(DATE(YEAR(A492),MONTH(A492),1),2) + 1</f>
        <v>4</v>
      </c>
      <c r="G492" s="10"/>
      <c r="H492" s="11" t="n">
        <v>579</v>
      </c>
      <c r="I492" s="12" t="s">
        <v>20</v>
      </c>
      <c r="J492" s="22" t="s">
        <v>51</v>
      </c>
      <c r="K492" s="12"/>
      <c r="L492" s="9" t="n">
        <f aca="false">L491+H492</f>
        <v>25435.48</v>
      </c>
      <c r="M492" s="10" t="str">
        <f aca="false">VLOOKUP(J492,RECATALOGANDO!A:C,2,0)</f>
        <v>VENTA DE ALIMENTO</v>
      </c>
      <c r="N492" s="12" t="str">
        <f aca="false">VLOOKUP(M492,RECATALOGANDO!B:C,2,0)</f>
        <v>VENTA DE PRODUCTO</v>
      </c>
      <c r="O492" s="2" t="s">
        <v>39</v>
      </c>
    </row>
    <row r="493" customFormat="false" ht="13.8" hidden="false" customHeight="false" outlineLevel="0" collapsed="false">
      <c r="A493" s="8" t="n">
        <v>45124</v>
      </c>
      <c r="B493" s="9" t="n">
        <f aca="false">DAY(A493)</f>
        <v>17</v>
      </c>
      <c r="C493" s="9" t="n">
        <f aca="false">MONTH(A493)</f>
        <v>7</v>
      </c>
      <c r="D493" s="9" t="n">
        <f aca="false">YEAR(A493)</f>
        <v>2023</v>
      </c>
      <c r="E493" s="9" t="n">
        <f aca="false">WEEKDAY(A493,2)</f>
        <v>1</v>
      </c>
      <c r="F493" s="10" t="n">
        <f aca="false">WEEKNUM(A493,2) - WEEKNUM(DATE(YEAR(A493),MONTH(A493),1),2) + 1</f>
        <v>4</v>
      </c>
      <c r="G493" s="10"/>
      <c r="H493" s="11" t="n">
        <v>140</v>
      </c>
      <c r="I493" s="12" t="s">
        <v>20</v>
      </c>
      <c r="J493" s="22" t="s">
        <v>53</v>
      </c>
      <c r="K493" s="12"/>
      <c r="L493" s="9" t="n">
        <f aca="false">L492+H493</f>
        <v>25575.48</v>
      </c>
      <c r="M493" s="10" t="str">
        <f aca="false">VLOOKUP(J493,RECATALOGANDO!A:C,2,0)</f>
        <v>SERVICIO DE GROOMING</v>
      </c>
      <c r="N493" s="12" t="str">
        <f aca="false">VLOOKUP(M493,RECATALOGANDO!B:C,2,0)</f>
        <v>VENTA DE SERVICIO</v>
      </c>
      <c r="O493" s="2" t="s">
        <v>39</v>
      </c>
    </row>
    <row r="494" customFormat="false" ht="13.8" hidden="false" customHeight="false" outlineLevel="0" collapsed="false">
      <c r="A494" s="8" t="n">
        <v>45124</v>
      </c>
      <c r="B494" s="9" t="n">
        <f aca="false">DAY(A494)</f>
        <v>17</v>
      </c>
      <c r="C494" s="9" t="n">
        <f aca="false">MONTH(A494)</f>
        <v>7</v>
      </c>
      <c r="D494" s="9" t="n">
        <f aca="false">YEAR(A494)</f>
        <v>2023</v>
      </c>
      <c r="E494" s="9" t="n">
        <f aca="false">WEEKDAY(A494,2)</f>
        <v>1</v>
      </c>
      <c r="F494" s="10" t="n">
        <f aca="false">WEEKNUM(A494,2) - WEEKNUM(DATE(YEAR(A494),MONTH(A494),1),2) + 1</f>
        <v>4</v>
      </c>
      <c r="G494" s="10"/>
      <c r="H494" s="11" t="n">
        <v>600</v>
      </c>
      <c r="I494" s="12" t="s">
        <v>20</v>
      </c>
      <c r="J494" s="22" t="s">
        <v>44</v>
      </c>
      <c r="K494" s="12"/>
      <c r="L494" s="9" t="n">
        <f aca="false">L493+H494</f>
        <v>26175.48</v>
      </c>
      <c r="M494" s="10" t="str">
        <f aca="false">VLOOKUP(J494,RECATALOGANDO!A:C,2,0)</f>
        <v>HONORARIOS MEDICOS</v>
      </c>
      <c r="N494" s="12" t="str">
        <f aca="false">VLOOKUP(M494,RECATALOGANDO!B:C,2,0)</f>
        <v>VENTA DE SERVICIO</v>
      </c>
      <c r="O494" s="2" t="s">
        <v>39</v>
      </c>
    </row>
    <row r="495" customFormat="false" ht="13.8" hidden="false" customHeight="false" outlineLevel="0" collapsed="false">
      <c r="A495" s="8" t="n">
        <v>45124</v>
      </c>
      <c r="B495" s="9" t="n">
        <f aca="false">DAY(A495)</f>
        <v>17</v>
      </c>
      <c r="C495" s="9" t="n">
        <f aca="false">MONTH(A495)</f>
        <v>7</v>
      </c>
      <c r="D495" s="9" t="n">
        <f aca="false">YEAR(A495)</f>
        <v>2023</v>
      </c>
      <c r="E495" s="9" t="n">
        <f aca="false">WEEKDAY(A495,2)</f>
        <v>1</v>
      </c>
      <c r="F495" s="10" t="n">
        <f aca="false">WEEKNUM(A495,2) - WEEKNUM(DATE(YEAR(A495),MONTH(A495),1),2) + 1</f>
        <v>4</v>
      </c>
      <c r="G495" s="10"/>
      <c r="H495" s="11" t="n">
        <v>2000</v>
      </c>
      <c r="I495" s="12" t="s">
        <v>20</v>
      </c>
      <c r="J495" s="22" t="s">
        <v>58</v>
      </c>
      <c r="K495" s="12"/>
      <c r="L495" s="9" t="n">
        <f aca="false">L494+H495</f>
        <v>28175.48</v>
      </c>
      <c r="M495" s="10" t="str">
        <f aca="false">VLOOKUP(J495,RECATALOGANDO!A:C,2,0)</f>
        <v>SERVICIO DE LABORATORIO</v>
      </c>
      <c r="N495" s="12" t="str">
        <f aca="false">VLOOKUP(M495,RECATALOGANDO!B:C,2,0)</f>
        <v>VENTA DE SERVICIO</v>
      </c>
      <c r="O495" s="2" t="s">
        <v>39</v>
      </c>
    </row>
    <row r="496" customFormat="false" ht="13.8" hidden="false" customHeight="false" outlineLevel="0" collapsed="false">
      <c r="A496" s="8" t="n">
        <v>45125</v>
      </c>
      <c r="B496" s="9" t="n">
        <f aca="false">DAY(A496)</f>
        <v>18</v>
      </c>
      <c r="C496" s="9" t="n">
        <f aca="false">MONTH(A496)</f>
        <v>7</v>
      </c>
      <c r="D496" s="9" t="n">
        <f aca="false">YEAR(A496)</f>
        <v>2023</v>
      </c>
      <c r="E496" s="9" t="n">
        <f aca="false">WEEKDAY(A496,2)</f>
        <v>2</v>
      </c>
      <c r="F496" s="10" t="n">
        <f aca="false">WEEKNUM(A496,2) - WEEKNUM(DATE(YEAR(A496),MONTH(A496),1),2) + 1</f>
        <v>4</v>
      </c>
      <c r="G496" s="10"/>
      <c r="H496" s="11" t="n">
        <v>725</v>
      </c>
      <c r="I496" s="12" t="s">
        <v>20</v>
      </c>
      <c r="J496" s="22" t="s">
        <v>45</v>
      </c>
      <c r="K496" s="12"/>
      <c r="L496" s="9" t="n">
        <f aca="false">L495+H496</f>
        <v>28900.48</v>
      </c>
      <c r="M496" s="10" t="str">
        <f aca="false">VLOOKUP(J496,RECATALOGANDO!A:C,2,0)</f>
        <v>VENTA DE MEDICAMENTO</v>
      </c>
      <c r="N496" s="12" t="str">
        <f aca="false">VLOOKUP(M496,RECATALOGANDO!B:C,2,0)</f>
        <v>VENTA DE PRODUCTO</v>
      </c>
      <c r="O496" s="2" t="s">
        <v>39</v>
      </c>
    </row>
    <row r="497" customFormat="false" ht="13.8" hidden="false" customHeight="false" outlineLevel="0" collapsed="false">
      <c r="A497" s="8" t="n">
        <v>45125</v>
      </c>
      <c r="B497" s="9" t="n">
        <f aca="false">DAY(A497)</f>
        <v>18</v>
      </c>
      <c r="C497" s="9" t="n">
        <f aca="false">MONTH(A497)</f>
        <v>7</v>
      </c>
      <c r="D497" s="9" t="n">
        <f aca="false">YEAR(A497)</f>
        <v>2023</v>
      </c>
      <c r="E497" s="9" t="n">
        <f aca="false">WEEKDAY(A497,2)</f>
        <v>2</v>
      </c>
      <c r="F497" s="10" t="n">
        <f aca="false">WEEKNUM(A497,2) - WEEKNUM(DATE(YEAR(A497),MONTH(A497),1),2) + 1</f>
        <v>4</v>
      </c>
      <c r="G497" s="10"/>
      <c r="H497" s="11" t="n">
        <v>3900</v>
      </c>
      <c r="I497" s="12" t="s">
        <v>20</v>
      </c>
      <c r="J497" s="22" t="s">
        <v>45</v>
      </c>
      <c r="K497" s="12"/>
      <c r="L497" s="9" t="n">
        <f aca="false">L496+H497</f>
        <v>32800.48</v>
      </c>
      <c r="M497" s="10" t="str">
        <f aca="false">VLOOKUP(J497,RECATALOGANDO!A:C,2,0)</f>
        <v>VENTA DE MEDICAMENTO</v>
      </c>
      <c r="N497" s="12" t="str">
        <f aca="false">VLOOKUP(M497,RECATALOGANDO!B:C,2,0)</f>
        <v>VENTA DE PRODUCTO</v>
      </c>
      <c r="O497" s="2" t="s">
        <v>39</v>
      </c>
    </row>
    <row r="498" customFormat="false" ht="13.8" hidden="false" customHeight="false" outlineLevel="0" collapsed="false">
      <c r="A498" s="8" t="n">
        <v>45125</v>
      </c>
      <c r="B498" s="9" t="n">
        <f aca="false">DAY(A498)</f>
        <v>18</v>
      </c>
      <c r="C498" s="9" t="n">
        <f aca="false">MONTH(A498)</f>
        <v>7</v>
      </c>
      <c r="D498" s="9" t="n">
        <f aca="false">YEAR(A498)</f>
        <v>2023</v>
      </c>
      <c r="E498" s="9" t="n">
        <f aca="false">WEEKDAY(A498,2)</f>
        <v>2</v>
      </c>
      <c r="F498" s="10" t="n">
        <f aca="false">WEEKNUM(A498,2) - WEEKNUM(DATE(YEAR(A498),MONTH(A498),1),2) + 1</f>
        <v>4</v>
      </c>
      <c r="G498" s="10"/>
      <c r="H498" s="11" t="n">
        <v>2600</v>
      </c>
      <c r="I498" s="12" t="s">
        <v>20</v>
      </c>
      <c r="J498" s="22" t="s">
        <v>41</v>
      </c>
      <c r="K498" s="12"/>
      <c r="L498" s="9" t="n">
        <f aca="false">L497+H498</f>
        <v>35400.48</v>
      </c>
      <c r="M498" s="10" t="str">
        <f aca="false">VLOOKUP(J498,RECATALOGANDO!A:C,2,0)</f>
        <v>HONORARIOS QUIRURGICOS</v>
      </c>
      <c r="N498" s="12" t="str">
        <f aca="false">VLOOKUP(M498,RECATALOGANDO!B:C,2,0)</f>
        <v>VENTA DE SERVICIO</v>
      </c>
      <c r="O498" s="2" t="s">
        <v>39</v>
      </c>
    </row>
    <row r="499" customFormat="false" ht="13.8" hidden="false" customHeight="false" outlineLevel="0" collapsed="false">
      <c r="A499" s="8" t="n">
        <v>45126</v>
      </c>
      <c r="B499" s="9" t="n">
        <f aca="false">DAY(A499)</f>
        <v>19</v>
      </c>
      <c r="C499" s="9" t="n">
        <f aca="false">MONTH(A499)</f>
        <v>7</v>
      </c>
      <c r="D499" s="9" t="n">
        <f aca="false">YEAR(A499)</f>
        <v>2023</v>
      </c>
      <c r="E499" s="9" t="n">
        <f aca="false">WEEKDAY(A499,2)</f>
        <v>3</v>
      </c>
      <c r="F499" s="10" t="n">
        <f aca="false">WEEKNUM(A499,2) - WEEKNUM(DATE(YEAR(A499),MONTH(A499),1),2) + 1</f>
        <v>4</v>
      </c>
      <c r="G499" s="10"/>
      <c r="H499" s="11" t="n">
        <v>3929</v>
      </c>
      <c r="I499" s="12" t="s">
        <v>20</v>
      </c>
      <c r="J499" s="22" t="s">
        <v>51</v>
      </c>
      <c r="K499" s="12"/>
      <c r="L499" s="9" t="n">
        <f aca="false">L498+H499</f>
        <v>39329.48</v>
      </c>
      <c r="M499" s="10" t="str">
        <f aca="false">VLOOKUP(J499,RECATALOGANDO!A:C,2,0)</f>
        <v>VENTA DE ALIMENTO</v>
      </c>
      <c r="N499" s="12" t="str">
        <f aca="false">VLOOKUP(M499,RECATALOGANDO!B:C,2,0)</f>
        <v>VENTA DE PRODUCTO</v>
      </c>
      <c r="O499" s="2" t="s">
        <v>39</v>
      </c>
    </row>
    <row r="500" customFormat="false" ht="13.8" hidden="false" customHeight="false" outlineLevel="0" collapsed="false">
      <c r="A500" s="8" t="n">
        <v>45127</v>
      </c>
      <c r="B500" s="9" t="n">
        <f aca="false">DAY(A500)</f>
        <v>20</v>
      </c>
      <c r="C500" s="9" t="n">
        <f aca="false">MONTH(A500)</f>
        <v>7</v>
      </c>
      <c r="D500" s="9" t="n">
        <f aca="false">YEAR(A500)</f>
        <v>2023</v>
      </c>
      <c r="E500" s="9" t="n">
        <f aca="false">WEEKDAY(A500,2)</f>
        <v>4</v>
      </c>
      <c r="F500" s="10" t="n">
        <f aca="false">WEEKNUM(A500,2) - WEEKNUM(DATE(YEAR(A500),MONTH(A500),1),2) + 1</f>
        <v>4</v>
      </c>
      <c r="G500" s="10"/>
      <c r="H500" s="11" t="n">
        <v>502</v>
      </c>
      <c r="I500" s="12" t="s">
        <v>20</v>
      </c>
      <c r="J500" s="22" t="s">
        <v>44</v>
      </c>
      <c r="K500" s="12"/>
      <c r="L500" s="9" t="n">
        <f aca="false">L499+H500</f>
        <v>39831.48</v>
      </c>
      <c r="M500" s="10" t="str">
        <f aca="false">VLOOKUP(J500,RECATALOGANDO!A:C,2,0)</f>
        <v>HONORARIOS MEDICOS</v>
      </c>
      <c r="N500" s="12" t="str">
        <f aca="false">VLOOKUP(M500,RECATALOGANDO!B:C,2,0)</f>
        <v>VENTA DE SERVICIO</v>
      </c>
      <c r="O500" s="2" t="s">
        <v>39</v>
      </c>
    </row>
    <row r="501" customFormat="false" ht="13.8" hidden="false" customHeight="false" outlineLevel="0" collapsed="false">
      <c r="A501" s="8" t="n">
        <v>45128</v>
      </c>
      <c r="B501" s="9" t="n">
        <f aca="false">DAY(A501)</f>
        <v>21</v>
      </c>
      <c r="C501" s="9" t="n">
        <f aca="false">MONTH(A501)</f>
        <v>7</v>
      </c>
      <c r="D501" s="9" t="n">
        <f aca="false">YEAR(A501)</f>
        <v>2023</v>
      </c>
      <c r="E501" s="9" t="n">
        <f aca="false">WEEKDAY(A501,2)</f>
        <v>5</v>
      </c>
      <c r="F501" s="10" t="n">
        <f aca="false">WEEKNUM(A501,2) - WEEKNUM(DATE(YEAR(A501),MONTH(A501),1),2) + 1</f>
        <v>4</v>
      </c>
      <c r="G501" s="10"/>
      <c r="H501" s="11" t="n">
        <v>110</v>
      </c>
      <c r="I501" s="12" t="s">
        <v>15</v>
      </c>
      <c r="J501" s="22" t="s">
        <v>53</v>
      </c>
      <c r="K501" s="12"/>
      <c r="L501" s="9" t="n">
        <f aca="false">L500+H501</f>
        <v>39941.48</v>
      </c>
      <c r="M501" s="10" t="str">
        <f aca="false">VLOOKUP(J501,RECATALOGANDO!A:C,2,0)</f>
        <v>SERVICIO DE GROOMING</v>
      </c>
      <c r="N501" s="12" t="str">
        <f aca="false">VLOOKUP(M501,RECATALOGANDO!B:C,2,0)</f>
        <v>VENTA DE SERVICIO</v>
      </c>
      <c r="O501" s="2" t="s">
        <v>39</v>
      </c>
    </row>
    <row r="502" customFormat="false" ht="13.8" hidden="false" customHeight="false" outlineLevel="0" collapsed="false">
      <c r="A502" s="8" t="n">
        <v>45128</v>
      </c>
      <c r="B502" s="9" t="n">
        <f aca="false">DAY(A502)</f>
        <v>21</v>
      </c>
      <c r="C502" s="9" t="n">
        <f aca="false">MONTH(A502)</f>
        <v>7</v>
      </c>
      <c r="D502" s="9" t="n">
        <f aca="false">YEAR(A502)</f>
        <v>2023</v>
      </c>
      <c r="E502" s="9" t="n">
        <f aca="false">WEEKDAY(A502,2)</f>
        <v>5</v>
      </c>
      <c r="F502" s="10" t="n">
        <f aca="false">WEEKNUM(A502,2) - WEEKNUM(DATE(YEAR(A502),MONTH(A502),1),2) + 1</f>
        <v>4</v>
      </c>
      <c r="G502" s="10"/>
      <c r="H502" s="11" t="n">
        <v>650</v>
      </c>
      <c r="I502" s="12" t="s">
        <v>20</v>
      </c>
      <c r="J502" s="22" t="s">
        <v>44</v>
      </c>
      <c r="K502" s="12"/>
      <c r="L502" s="9" t="n">
        <f aca="false">L501+H502</f>
        <v>40591.48</v>
      </c>
      <c r="M502" s="10" t="str">
        <f aca="false">VLOOKUP(J502,RECATALOGANDO!A:C,2,0)</f>
        <v>HONORARIOS MEDICOS</v>
      </c>
      <c r="N502" s="12" t="str">
        <f aca="false">VLOOKUP(M502,RECATALOGANDO!B:C,2,0)</f>
        <v>VENTA DE SERVICIO</v>
      </c>
      <c r="O502" s="2" t="s">
        <v>39</v>
      </c>
    </row>
    <row r="503" customFormat="false" ht="13.8" hidden="false" customHeight="false" outlineLevel="0" collapsed="false">
      <c r="A503" s="8" t="n">
        <v>45129</v>
      </c>
      <c r="B503" s="9" t="n">
        <f aca="false">DAY(A503)</f>
        <v>22</v>
      </c>
      <c r="C503" s="9" t="n">
        <f aca="false">MONTH(A503)</f>
        <v>7</v>
      </c>
      <c r="D503" s="9" t="n">
        <f aca="false">YEAR(A503)</f>
        <v>2023</v>
      </c>
      <c r="E503" s="9" t="n">
        <f aca="false">WEEKDAY(A503,2)</f>
        <v>6</v>
      </c>
      <c r="F503" s="10" t="n">
        <f aca="false">WEEKNUM(A503,2) - WEEKNUM(DATE(YEAR(A503),MONTH(A503),1),2) + 1</f>
        <v>4</v>
      </c>
      <c r="G503" s="10"/>
      <c r="H503" s="11" t="n">
        <v>1499.65</v>
      </c>
      <c r="I503" s="12" t="s">
        <v>15</v>
      </c>
      <c r="J503" s="22" t="s">
        <v>41</v>
      </c>
      <c r="K503" s="12"/>
      <c r="L503" s="9" t="n">
        <f aca="false">L502+H503</f>
        <v>42091.13</v>
      </c>
      <c r="M503" s="10" t="str">
        <f aca="false">VLOOKUP(J503,RECATALOGANDO!A:C,2,0)</f>
        <v>HONORARIOS QUIRURGICOS</v>
      </c>
      <c r="N503" s="12" t="str">
        <f aca="false">VLOOKUP(M503,RECATALOGANDO!B:C,2,0)</f>
        <v>VENTA DE SERVICIO</v>
      </c>
      <c r="O503" s="2" t="s">
        <v>39</v>
      </c>
    </row>
    <row r="504" customFormat="false" ht="13.8" hidden="false" customHeight="false" outlineLevel="0" collapsed="false">
      <c r="A504" s="8" t="n">
        <v>45131</v>
      </c>
      <c r="B504" s="9" t="n">
        <f aca="false">DAY(A504)</f>
        <v>24</v>
      </c>
      <c r="C504" s="9" t="n">
        <f aca="false">MONTH(A504)</f>
        <v>7</v>
      </c>
      <c r="D504" s="9" t="n">
        <f aca="false">YEAR(A504)</f>
        <v>2023</v>
      </c>
      <c r="E504" s="9" t="n">
        <f aca="false">WEEKDAY(A504,2)</f>
        <v>1</v>
      </c>
      <c r="F504" s="10" t="n">
        <f aca="false">WEEKNUM(A504,2) - WEEKNUM(DATE(YEAR(A504),MONTH(A504),1),2) + 1</f>
        <v>5</v>
      </c>
      <c r="G504" s="10"/>
      <c r="H504" s="11" t="n">
        <v>600</v>
      </c>
      <c r="I504" s="12" t="s">
        <v>20</v>
      </c>
      <c r="J504" s="22" t="s">
        <v>45</v>
      </c>
      <c r="K504" s="12"/>
      <c r="L504" s="9" t="n">
        <f aca="false">L503+H504</f>
        <v>42691.13</v>
      </c>
      <c r="M504" s="10" t="str">
        <f aca="false">VLOOKUP(J504,RECATALOGANDO!A:C,2,0)</f>
        <v>VENTA DE MEDICAMENTO</v>
      </c>
      <c r="N504" s="12" t="str">
        <f aca="false">VLOOKUP(M504,RECATALOGANDO!B:C,2,0)</f>
        <v>VENTA DE PRODUCTO</v>
      </c>
      <c r="O504" s="2" t="s">
        <v>39</v>
      </c>
    </row>
    <row r="505" customFormat="false" ht="13.8" hidden="false" customHeight="false" outlineLevel="0" collapsed="false">
      <c r="A505" s="8" t="n">
        <v>45131</v>
      </c>
      <c r="B505" s="9" t="n">
        <f aca="false">DAY(A505)</f>
        <v>24</v>
      </c>
      <c r="C505" s="9" t="n">
        <f aca="false">MONTH(A505)</f>
        <v>7</v>
      </c>
      <c r="D505" s="9" t="n">
        <f aca="false">YEAR(A505)</f>
        <v>2023</v>
      </c>
      <c r="E505" s="9" t="n">
        <f aca="false">WEEKDAY(A505,2)</f>
        <v>1</v>
      </c>
      <c r="F505" s="10" t="n">
        <f aca="false">WEEKNUM(A505,2) - WEEKNUM(DATE(YEAR(A505),MONTH(A505),1),2) + 1</f>
        <v>5</v>
      </c>
      <c r="G505" s="10"/>
      <c r="H505" s="11" t="n">
        <v>270</v>
      </c>
      <c r="I505" s="12" t="s">
        <v>15</v>
      </c>
      <c r="J505" s="22" t="s">
        <v>44</v>
      </c>
      <c r="K505" s="12"/>
      <c r="L505" s="9" t="n">
        <f aca="false">L504+H505</f>
        <v>42961.13</v>
      </c>
      <c r="M505" s="10" t="str">
        <f aca="false">VLOOKUP(J505,RECATALOGANDO!A:C,2,0)</f>
        <v>HONORARIOS MEDICOS</v>
      </c>
      <c r="N505" s="12" t="str">
        <f aca="false">VLOOKUP(M505,RECATALOGANDO!B:C,2,0)</f>
        <v>VENTA DE SERVICIO</v>
      </c>
      <c r="O505" s="2" t="s">
        <v>39</v>
      </c>
    </row>
    <row r="506" customFormat="false" ht="13.8" hidden="false" customHeight="false" outlineLevel="0" collapsed="false">
      <c r="A506" s="8" t="n">
        <v>45131</v>
      </c>
      <c r="B506" s="9" t="n">
        <f aca="false">DAY(A506)</f>
        <v>24</v>
      </c>
      <c r="C506" s="9" t="n">
        <f aca="false">MONTH(A506)</f>
        <v>7</v>
      </c>
      <c r="D506" s="9" t="n">
        <f aca="false">YEAR(A506)</f>
        <v>2023</v>
      </c>
      <c r="E506" s="9" t="n">
        <f aca="false">WEEKDAY(A506,2)</f>
        <v>1</v>
      </c>
      <c r="F506" s="10" t="n">
        <f aca="false">WEEKNUM(A506,2) - WEEKNUM(DATE(YEAR(A506),MONTH(A506),1),2) + 1</f>
        <v>5</v>
      </c>
      <c r="G506" s="10"/>
      <c r="H506" s="11" t="n">
        <v>520</v>
      </c>
      <c r="I506" s="12" t="s">
        <v>20</v>
      </c>
      <c r="J506" s="22" t="s">
        <v>44</v>
      </c>
      <c r="K506" s="12"/>
      <c r="L506" s="9" t="n">
        <f aca="false">L505+H506</f>
        <v>43481.13</v>
      </c>
      <c r="M506" s="10" t="str">
        <f aca="false">VLOOKUP(J506,RECATALOGANDO!A:C,2,0)</f>
        <v>HONORARIOS MEDICOS</v>
      </c>
      <c r="N506" s="12" t="str">
        <f aca="false">VLOOKUP(M506,RECATALOGANDO!B:C,2,0)</f>
        <v>VENTA DE SERVICIO</v>
      </c>
      <c r="O506" s="2" t="s">
        <v>39</v>
      </c>
    </row>
    <row r="507" customFormat="false" ht="13.8" hidden="false" customHeight="false" outlineLevel="0" collapsed="false">
      <c r="A507" s="8" t="n">
        <v>45131</v>
      </c>
      <c r="B507" s="9" t="n">
        <f aca="false">DAY(A507)</f>
        <v>24</v>
      </c>
      <c r="C507" s="9" t="n">
        <f aca="false">MONTH(A507)</f>
        <v>7</v>
      </c>
      <c r="D507" s="9" t="n">
        <f aca="false">YEAR(A507)</f>
        <v>2023</v>
      </c>
      <c r="E507" s="9" t="n">
        <f aca="false">WEEKDAY(A507,2)</f>
        <v>1</v>
      </c>
      <c r="F507" s="10" t="n">
        <f aca="false">WEEKNUM(A507,2) - WEEKNUM(DATE(YEAR(A507),MONTH(A507),1),2) + 1</f>
        <v>5</v>
      </c>
      <c r="G507" s="10"/>
      <c r="H507" s="11" t="n">
        <v>1920</v>
      </c>
      <c r="I507" s="12" t="s">
        <v>20</v>
      </c>
      <c r="J507" s="22" t="s">
        <v>58</v>
      </c>
      <c r="K507" s="12"/>
      <c r="L507" s="9" t="n">
        <f aca="false">L506+H507</f>
        <v>45401.13</v>
      </c>
      <c r="M507" s="10" t="str">
        <f aca="false">VLOOKUP(J507,RECATALOGANDO!A:C,2,0)</f>
        <v>SERVICIO DE LABORATORIO</v>
      </c>
      <c r="N507" s="12" t="str">
        <f aca="false">VLOOKUP(M507,RECATALOGANDO!B:C,2,0)</f>
        <v>VENTA DE SERVICIO</v>
      </c>
      <c r="O507" s="2" t="s">
        <v>39</v>
      </c>
    </row>
    <row r="508" customFormat="false" ht="13.8" hidden="false" customHeight="false" outlineLevel="0" collapsed="false">
      <c r="A508" s="8" t="n">
        <v>45132</v>
      </c>
      <c r="B508" s="9" t="n">
        <f aca="false">DAY(A508)</f>
        <v>25</v>
      </c>
      <c r="C508" s="9" t="n">
        <f aca="false">MONTH(A508)</f>
        <v>7</v>
      </c>
      <c r="D508" s="9" t="n">
        <f aca="false">YEAR(A508)</f>
        <v>2023</v>
      </c>
      <c r="E508" s="9" t="n">
        <f aca="false">WEEKDAY(A508,2)</f>
        <v>2</v>
      </c>
      <c r="F508" s="10" t="n">
        <f aca="false">WEEKNUM(A508,2) - WEEKNUM(DATE(YEAR(A508),MONTH(A508),1),2) + 1</f>
        <v>5</v>
      </c>
      <c r="G508" s="10"/>
      <c r="H508" s="11" t="n">
        <v>1985.48</v>
      </c>
      <c r="I508" s="12" t="s">
        <v>15</v>
      </c>
      <c r="J508" s="22" t="s">
        <v>41</v>
      </c>
      <c r="K508" s="12"/>
      <c r="L508" s="9" t="n">
        <f aca="false">L507+H508</f>
        <v>47386.61</v>
      </c>
      <c r="M508" s="10" t="str">
        <f aca="false">VLOOKUP(J508,RECATALOGANDO!A:C,2,0)</f>
        <v>HONORARIOS QUIRURGICOS</v>
      </c>
      <c r="N508" s="12" t="str">
        <f aca="false">VLOOKUP(M508,RECATALOGANDO!B:C,2,0)</f>
        <v>VENTA DE SERVICIO</v>
      </c>
      <c r="O508" s="2" t="s">
        <v>39</v>
      </c>
    </row>
    <row r="509" customFormat="false" ht="13.8" hidden="false" customHeight="false" outlineLevel="0" collapsed="false">
      <c r="A509" s="8" t="n">
        <v>45133</v>
      </c>
      <c r="B509" s="9" t="n">
        <f aca="false">DAY(A509)</f>
        <v>26</v>
      </c>
      <c r="C509" s="9" t="n">
        <f aca="false">MONTH(A509)</f>
        <v>7</v>
      </c>
      <c r="D509" s="9" t="n">
        <f aca="false">YEAR(A509)</f>
        <v>2023</v>
      </c>
      <c r="E509" s="9" t="n">
        <f aca="false">WEEKDAY(A509,2)</f>
        <v>3</v>
      </c>
      <c r="F509" s="10" t="n">
        <f aca="false">WEEKNUM(A509,2) - WEEKNUM(DATE(YEAR(A509),MONTH(A509),1),2) + 1</f>
        <v>5</v>
      </c>
      <c r="G509" s="10"/>
      <c r="H509" s="11" t="n">
        <v>1630</v>
      </c>
      <c r="I509" s="12" t="s">
        <v>15</v>
      </c>
      <c r="J509" s="22" t="s">
        <v>51</v>
      </c>
      <c r="K509" s="12"/>
      <c r="L509" s="9" t="n">
        <f aca="false">L508+H509</f>
        <v>49016.61</v>
      </c>
      <c r="M509" s="10" t="str">
        <f aca="false">VLOOKUP(J509,RECATALOGANDO!A:C,2,0)</f>
        <v>VENTA DE ALIMENTO</v>
      </c>
      <c r="N509" s="12" t="str">
        <f aca="false">VLOOKUP(M509,RECATALOGANDO!B:C,2,0)</f>
        <v>VENTA DE PRODUCTO</v>
      </c>
      <c r="O509" s="2" t="s">
        <v>39</v>
      </c>
    </row>
    <row r="510" customFormat="false" ht="13.8" hidden="false" customHeight="false" outlineLevel="0" collapsed="false">
      <c r="A510" s="8" t="n">
        <v>45134</v>
      </c>
      <c r="B510" s="9" t="n">
        <f aca="false">DAY(A510)</f>
        <v>27</v>
      </c>
      <c r="C510" s="9" t="n">
        <f aca="false">MONTH(A510)</f>
        <v>7</v>
      </c>
      <c r="D510" s="9" t="n">
        <f aca="false">YEAR(A510)</f>
        <v>2023</v>
      </c>
      <c r="E510" s="9" t="n">
        <f aca="false">WEEKDAY(A510,2)</f>
        <v>4</v>
      </c>
      <c r="F510" s="10" t="n">
        <f aca="false">WEEKNUM(A510,2) - WEEKNUM(DATE(YEAR(A510),MONTH(A510),1),2) + 1</f>
        <v>5</v>
      </c>
      <c r="G510" s="10"/>
      <c r="H510" s="11" t="n">
        <v>1000</v>
      </c>
      <c r="I510" s="12" t="s">
        <v>20</v>
      </c>
      <c r="J510" s="22" t="s">
        <v>45</v>
      </c>
      <c r="K510" s="12"/>
      <c r="L510" s="9" t="n">
        <f aca="false">L509+H510</f>
        <v>50016.61</v>
      </c>
      <c r="M510" s="10" t="str">
        <f aca="false">VLOOKUP(J510,RECATALOGANDO!A:C,2,0)</f>
        <v>VENTA DE MEDICAMENTO</v>
      </c>
      <c r="N510" s="12" t="str">
        <f aca="false">VLOOKUP(M510,RECATALOGANDO!B:C,2,0)</f>
        <v>VENTA DE PRODUCTO</v>
      </c>
      <c r="O510" s="2" t="s">
        <v>39</v>
      </c>
    </row>
    <row r="511" customFormat="false" ht="13.8" hidden="false" customHeight="false" outlineLevel="0" collapsed="false">
      <c r="A511" s="8" t="n">
        <v>45134</v>
      </c>
      <c r="B511" s="9" t="n">
        <f aca="false">DAY(A511)</f>
        <v>27</v>
      </c>
      <c r="C511" s="9" t="n">
        <f aca="false">MONTH(A511)</f>
        <v>7</v>
      </c>
      <c r="D511" s="9" t="n">
        <f aca="false">YEAR(A511)</f>
        <v>2023</v>
      </c>
      <c r="E511" s="9" t="n">
        <f aca="false">WEEKDAY(A511,2)</f>
        <v>4</v>
      </c>
      <c r="F511" s="10" t="n">
        <f aca="false">WEEKNUM(A511,2) - WEEKNUM(DATE(YEAR(A511),MONTH(A511),1),2) + 1</f>
        <v>5</v>
      </c>
      <c r="G511" s="10"/>
      <c r="H511" s="11" t="n">
        <v>170</v>
      </c>
      <c r="I511" s="12" t="s">
        <v>20</v>
      </c>
      <c r="J511" s="22" t="s">
        <v>53</v>
      </c>
      <c r="K511" s="12"/>
      <c r="L511" s="9" t="n">
        <f aca="false">L510+H511</f>
        <v>50186.61</v>
      </c>
      <c r="M511" s="10" t="str">
        <f aca="false">VLOOKUP(J511,RECATALOGANDO!A:C,2,0)</f>
        <v>SERVICIO DE GROOMING</v>
      </c>
      <c r="N511" s="12" t="str">
        <f aca="false">VLOOKUP(M511,RECATALOGANDO!B:C,2,0)</f>
        <v>VENTA DE SERVICIO</v>
      </c>
      <c r="O511" s="2" t="s">
        <v>39</v>
      </c>
    </row>
    <row r="512" customFormat="false" ht="13.8" hidden="false" customHeight="false" outlineLevel="0" collapsed="false">
      <c r="A512" s="8" t="n">
        <v>45134</v>
      </c>
      <c r="B512" s="9" t="n">
        <f aca="false">DAY(A512)</f>
        <v>27</v>
      </c>
      <c r="C512" s="9" t="n">
        <f aca="false">MONTH(A512)</f>
        <v>7</v>
      </c>
      <c r="D512" s="9" t="n">
        <f aca="false">YEAR(A512)</f>
        <v>2023</v>
      </c>
      <c r="E512" s="9" t="n">
        <f aca="false">WEEKDAY(A512,2)</f>
        <v>4</v>
      </c>
      <c r="F512" s="10" t="n">
        <f aca="false">WEEKNUM(A512,2) - WEEKNUM(DATE(YEAR(A512),MONTH(A512),1),2) + 1</f>
        <v>5</v>
      </c>
      <c r="G512" s="10"/>
      <c r="H512" s="11" t="n">
        <v>5190</v>
      </c>
      <c r="I512" s="12" t="s">
        <v>20</v>
      </c>
      <c r="J512" s="22" t="s">
        <v>41</v>
      </c>
      <c r="K512" s="12"/>
      <c r="L512" s="9" t="n">
        <f aca="false">L511+H512</f>
        <v>55376.61</v>
      </c>
      <c r="M512" s="10" t="str">
        <f aca="false">VLOOKUP(J512,RECATALOGANDO!A:C,2,0)</f>
        <v>HONORARIOS QUIRURGICOS</v>
      </c>
      <c r="N512" s="12" t="str">
        <f aca="false">VLOOKUP(M512,RECATALOGANDO!B:C,2,0)</f>
        <v>VENTA DE SERVICIO</v>
      </c>
      <c r="O512" s="2" t="s">
        <v>39</v>
      </c>
    </row>
    <row r="513" customFormat="false" ht="13.8" hidden="false" customHeight="false" outlineLevel="0" collapsed="false">
      <c r="A513" s="8" t="n">
        <v>45135</v>
      </c>
      <c r="B513" s="9" t="n">
        <f aca="false">DAY(A513)</f>
        <v>28</v>
      </c>
      <c r="C513" s="9" t="n">
        <f aca="false">MONTH(A513)</f>
        <v>7</v>
      </c>
      <c r="D513" s="9" t="n">
        <f aca="false">YEAR(A513)</f>
        <v>2023</v>
      </c>
      <c r="E513" s="9" t="n">
        <f aca="false">WEEKDAY(A513,2)</f>
        <v>5</v>
      </c>
      <c r="F513" s="10" t="n">
        <f aca="false">WEEKNUM(A513,2) - WEEKNUM(DATE(YEAR(A513),MONTH(A513),1),2) + 1</f>
        <v>5</v>
      </c>
      <c r="G513" s="10" t="n">
        <v>2</v>
      </c>
      <c r="H513" s="11" t="n">
        <v>405</v>
      </c>
      <c r="I513" s="12" t="s">
        <v>20</v>
      </c>
      <c r="J513" s="22" t="s">
        <v>45</v>
      </c>
      <c r="K513" s="12"/>
      <c r="L513" s="9" t="n">
        <f aca="false">L512+H513</f>
        <v>55781.61</v>
      </c>
      <c r="M513" s="10" t="str">
        <f aca="false">VLOOKUP(J513,RECATALOGANDO!A:C,2,0)</f>
        <v>VENTA DE MEDICAMENTO</v>
      </c>
      <c r="N513" s="12" t="str">
        <f aca="false">VLOOKUP(M513,RECATALOGANDO!B:C,2,0)</f>
        <v>VENTA DE PRODUCTO</v>
      </c>
      <c r="O513" s="2" t="s">
        <v>39</v>
      </c>
    </row>
    <row r="514" customFormat="false" ht="13.8" hidden="false" customHeight="false" outlineLevel="0" collapsed="false">
      <c r="A514" s="8" t="n">
        <v>45137</v>
      </c>
      <c r="B514" s="9" t="n">
        <f aca="false">DAY(A514)</f>
        <v>30</v>
      </c>
      <c r="C514" s="9" t="n">
        <f aca="false">MONTH(A514)</f>
        <v>7</v>
      </c>
      <c r="D514" s="9" t="n">
        <f aca="false">YEAR(A514)</f>
        <v>2023</v>
      </c>
      <c r="E514" s="9" t="n">
        <f aca="false">WEEKDAY(A514,2)</f>
        <v>7</v>
      </c>
      <c r="F514" s="10" t="n">
        <f aca="false">WEEKNUM(A514,2) - WEEKNUM(DATE(YEAR(A514),MONTH(A514),1),2) + 1</f>
        <v>5</v>
      </c>
      <c r="G514" s="10"/>
      <c r="H514" s="11" t="n">
        <v>2441.59</v>
      </c>
      <c r="I514" s="12" t="s">
        <v>15</v>
      </c>
      <c r="J514" s="22" t="s">
        <v>45</v>
      </c>
      <c r="K514" s="12"/>
      <c r="L514" s="9" t="n">
        <f aca="false">L513+H514</f>
        <v>58223.2</v>
      </c>
      <c r="M514" s="10" t="str">
        <f aca="false">VLOOKUP(J514,RECATALOGANDO!A:C,2,0)</f>
        <v>VENTA DE MEDICAMENTO</v>
      </c>
      <c r="N514" s="12" t="str">
        <f aca="false">VLOOKUP(M514,RECATALOGANDO!B:C,2,0)</f>
        <v>VENTA DE PRODUCTO</v>
      </c>
      <c r="O514" s="2" t="s">
        <v>39</v>
      </c>
    </row>
    <row r="515" customFormat="false" ht="13.8" hidden="false" customHeight="false" outlineLevel="0" collapsed="false">
      <c r="A515" s="8" t="n">
        <v>45138</v>
      </c>
      <c r="B515" s="9" t="n">
        <f aca="false">DAY(A515)</f>
        <v>31</v>
      </c>
      <c r="C515" s="9" t="n">
        <f aca="false">MONTH(A515)</f>
        <v>7</v>
      </c>
      <c r="D515" s="9" t="n">
        <f aca="false">YEAR(A515)</f>
        <v>2023</v>
      </c>
      <c r="E515" s="9" t="n">
        <f aca="false">WEEKDAY(A515,2)</f>
        <v>1</v>
      </c>
      <c r="F515" s="10" t="n">
        <f aca="false">WEEKNUM(A515,2) - WEEKNUM(DATE(YEAR(A515),MONTH(A515),1),2) + 1</f>
        <v>6</v>
      </c>
      <c r="G515" s="10"/>
      <c r="H515" s="11" t="n">
        <v>877</v>
      </c>
      <c r="I515" s="12" t="s">
        <v>20</v>
      </c>
      <c r="J515" s="22" t="s">
        <v>45</v>
      </c>
      <c r="K515" s="12"/>
      <c r="L515" s="9" t="n">
        <f aca="false">L514+H515</f>
        <v>59100.2</v>
      </c>
      <c r="M515" s="10" t="str">
        <f aca="false">VLOOKUP(J515,RECATALOGANDO!A:C,2,0)</f>
        <v>VENTA DE MEDICAMENTO</v>
      </c>
      <c r="N515" s="12" t="str">
        <f aca="false">VLOOKUP(M515,RECATALOGANDO!B:C,2,0)</f>
        <v>VENTA DE PRODUCTO</v>
      </c>
      <c r="O515" s="2" t="s">
        <v>39</v>
      </c>
    </row>
    <row r="516" customFormat="false" ht="13.8" hidden="false" customHeight="false" outlineLevel="0" collapsed="false">
      <c r="A516" s="8" t="n">
        <v>45138</v>
      </c>
      <c r="B516" s="9" t="n">
        <f aca="false">DAY(A516)</f>
        <v>31</v>
      </c>
      <c r="C516" s="9" t="n">
        <f aca="false">MONTH(A516)</f>
        <v>7</v>
      </c>
      <c r="D516" s="9" t="n">
        <f aca="false">YEAR(A516)</f>
        <v>2023</v>
      </c>
      <c r="E516" s="9" t="n">
        <f aca="false">WEEKDAY(A516,2)</f>
        <v>1</v>
      </c>
      <c r="F516" s="10" t="n">
        <f aca="false">WEEKNUM(A516,2) - WEEKNUM(DATE(YEAR(A516),MONTH(A516),1),2) + 1</f>
        <v>6</v>
      </c>
      <c r="G516" s="10"/>
      <c r="H516" s="11" t="n">
        <v>370</v>
      </c>
      <c r="I516" s="12" t="s">
        <v>20</v>
      </c>
      <c r="J516" s="22" t="s">
        <v>53</v>
      </c>
      <c r="K516" s="12"/>
      <c r="L516" s="9" t="n">
        <f aca="false">L515+H516</f>
        <v>59470.2</v>
      </c>
      <c r="M516" s="10" t="str">
        <f aca="false">VLOOKUP(J516,RECATALOGANDO!A:C,2,0)</f>
        <v>SERVICIO DE GROOMING</v>
      </c>
      <c r="N516" s="12" t="str">
        <f aca="false">VLOOKUP(M516,RECATALOGANDO!B:C,2,0)</f>
        <v>VENTA DE SERVICIO</v>
      </c>
      <c r="O516" s="2" t="s">
        <v>39</v>
      </c>
    </row>
    <row r="517" customFormat="false" ht="13.8" hidden="false" customHeight="false" outlineLevel="0" collapsed="false">
      <c r="A517" s="8" t="n">
        <v>45170</v>
      </c>
      <c r="B517" s="9" t="n">
        <f aca="false">DAY(A517)</f>
        <v>1</v>
      </c>
      <c r="C517" s="9" t="n">
        <f aca="false">MONTH(A517)</f>
        <v>9</v>
      </c>
      <c r="D517" s="9" t="n">
        <f aca="false">YEAR(A517)</f>
        <v>2023</v>
      </c>
      <c r="E517" s="9" t="n">
        <f aca="false">WEEKDAY(A517,2)</f>
        <v>5</v>
      </c>
      <c r="F517" s="10" t="n">
        <f aca="false">WEEKNUM(A517,2) - WEEKNUM(DATE(YEAR(A517),MONTH(A517),1),2) + 1</f>
        <v>1</v>
      </c>
      <c r="G517" s="10"/>
      <c r="H517" s="11" t="n">
        <v>350</v>
      </c>
      <c r="I517" s="12" t="s">
        <v>20</v>
      </c>
      <c r="J517" s="22" t="s">
        <v>53</v>
      </c>
      <c r="K517" s="12"/>
      <c r="L517" s="9" t="n">
        <f aca="false">H517</f>
        <v>350</v>
      </c>
      <c r="M517" s="10" t="str">
        <f aca="false">VLOOKUP(J517,RECATALOGANDO!A:C,2,0)</f>
        <v>SERVICIO DE GROOMING</v>
      </c>
      <c r="N517" s="12" t="str">
        <f aca="false">VLOOKUP(M517,RECATALOGANDO!B:C,2,0)</f>
        <v>VENTA DE SERVICIO</v>
      </c>
      <c r="O517" s="2" t="s">
        <v>39</v>
      </c>
    </row>
    <row r="518" customFormat="false" ht="13.8" hidden="false" customHeight="false" outlineLevel="0" collapsed="false">
      <c r="A518" s="8" t="n">
        <v>45171</v>
      </c>
      <c r="B518" s="9" t="n">
        <f aca="false">DAY(A518)</f>
        <v>2</v>
      </c>
      <c r="C518" s="9" t="n">
        <f aca="false">MONTH(A518)</f>
        <v>9</v>
      </c>
      <c r="D518" s="9" t="n">
        <f aca="false">YEAR(A518)</f>
        <v>2023</v>
      </c>
      <c r="E518" s="9" t="n">
        <f aca="false">WEEKDAY(A518,2)</f>
        <v>6</v>
      </c>
      <c r="F518" s="10" t="n">
        <f aca="false">WEEKNUM(A518,2) - WEEKNUM(DATE(YEAR(A518),MONTH(A518),1),2) + 1</f>
        <v>1</v>
      </c>
      <c r="G518" s="10"/>
      <c r="H518" s="11" t="n">
        <v>3500</v>
      </c>
      <c r="I518" s="12" t="s">
        <v>15</v>
      </c>
      <c r="J518" s="22" t="s">
        <v>44</v>
      </c>
      <c r="K518" s="12"/>
      <c r="L518" s="9" t="n">
        <f aca="false">L517+H518</f>
        <v>3850</v>
      </c>
      <c r="M518" s="10" t="str">
        <f aca="false">VLOOKUP(J518,RECATALOGANDO!A:C,2,0)</f>
        <v>HONORARIOS MEDICOS</v>
      </c>
      <c r="N518" s="12" t="str">
        <f aca="false">VLOOKUP(M518,RECATALOGANDO!B:C,2,0)</f>
        <v>VENTA DE SERVICIO</v>
      </c>
      <c r="O518" s="2" t="s">
        <v>39</v>
      </c>
    </row>
    <row r="519" customFormat="false" ht="13.8" hidden="false" customHeight="false" outlineLevel="0" collapsed="false">
      <c r="A519" s="8" t="n">
        <v>45172</v>
      </c>
      <c r="B519" s="9" t="n">
        <f aca="false">DAY(A519)</f>
        <v>3</v>
      </c>
      <c r="C519" s="9" t="n">
        <f aca="false">MONTH(A519)</f>
        <v>9</v>
      </c>
      <c r="D519" s="9" t="n">
        <f aca="false">YEAR(A519)</f>
        <v>2023</v>
      </c>
      <c r="E519" s="9" t="n">
        <f aca="false">WEEKDAY(A519,2)</f>
        <v>7</v>
      </c>
      <c r="F519" s="10" t="n">
        <f aca="false">WEEKNUM(A519,2) - WEEKNUM(DATE(YEAR(A519),MONTH(A519),1),2) + 1</f>
        <v>1</v>
      </c>
      <c r="G519" s="10"/>
      <c r="H519" s="11" t="n">
        <v>3089</v>
      </c>
      <c r="I519" s="12" t="s">
        <v>15</v>
      </c>
      <c r="J519" s="22" t="s">
        <v>41</v>
      </c>
      <c r="K519" s="12"/>
      <c r="L519" s="9" t="n">
        <f aca="false">L518+H519</f>
        <v>6939</v>
      </c>
      <c r="M519" s="10" t="str">
        <f aca="false">VLOOKUP(J519,RECATALOGANDO!A:C,2,0)</f>
        <v>HONORARIOS QUIRURGICOS</v>
      </c>
      <c r="N519" s="12" t="str">
        <f aca="false">VLOOKUP(M519,RECATALOGANDO!B:C,2,0)</f>
        <v>VENTA DE SERVICIO</v>
      </c>
      <c r="O519" s="2" t="s">
        <v>39</v>
      </c>
    </row>
    <row r="520" customFormat="false" ht="13.8" hidden="false" customHeight="false" outlineLevel="0" collapsed="false">
      <c r="A520" s="8" t="n">
        <v>45173</v>
      </c>
      <c r="B520" s="9" t="n">
        <f aca="false">DAY(A520)</f>
        <v>4</v>
      </c>
      <c r="C520" s="9" t="n">
        <f aca="false">MONTH(A520)</f>
        <v>9</v>
      </c>
      <c r="D520" s="9" t="n">
        <f aca="false">YEAR(A520)</f>
        <v>2023</v>
      </c>
      <c r="E520" s="9" t="n">
        <f aca="false">WEEKDAY(A520,2)</f>
        <v>1</v>
      </c>
      <c r="F520" s="10" t="n">
        <f aca="false">WEEKNUM(A520,2) - WEEKNUM(DATE(YEAR(A520),MONTH(A520),1),2) + 1</f>
        <v>2</v>
      </c>
      <c r="G520" s="10"/>
      <c r="H520" s="11" t="n">
        <v>850</v>
      </c>
      <c r="I520" s="12" t="s">
        <v>20</v>
      </c>
      <c r="J520" s="22" t="s">
        <v>45</v>
      </c>
      <c r="K520" s="12"/>
      <c r="L520" s="9" t="n">
        <f aca="false">L519+H520</f>
        <v>7789</v>
      </c>
      <c r="M520" s="10" t="str">
        <f aca="false">VLOOKUP(J520,RECATALOGANDO!A:C,2,0)</f>
        <v>VENTA DE MEDICAMENTO</v>
      </c>
      <c r="N520" s="12" t="str">
        <f aca="false">VLOOKUP(M520,RECATALOGANDO!B:C,2,0)</f>
        <v>VENTA DE PRODUCTO</v>
      </c>
      <c r="O520" s="2" t="s">
        <v>39</v>
      </c>
    </row>
    <row r="521" customFormat="false" ht="13.8" hidden="false" customHeight="false" outlineLevel="0" collapsed="false">
      <c r="A521" s="8" t="n">
        <v>45173</v>
      </c>
      <c r="B521" s="9" t="n">
        <f aca="false">DAY(A521)</f>
        <v>4</v>
      </c>
      <c r="C521" s="9" t="n">
        <f aca="false">MONTH(A521)</f>
        <v>9</v>
      </c>
      <c r="D521" s="9" t="n">
        <f aca="false">YEAR(A521)</f>
        <v>2023</v>
      </c>
      <c r="E521" s="9" t="n">
        <f aca="false">WEEKDAY(A521,2)</f>
        <v>1</v>
      </c>
      <c r="F521" s="10" t="n">
        <f aca="false">WEEKNUM(A521,2) - WEEKNUM(DATE(YEAR(A521),MONTH(A521),1),2) + 1</f>
        <v>2</v>
      </c>
      <c r="G521" s="10"/>
      <c r="H521" s="11" t="n">
        <v>240</v>
      </c>
      <c r="I521" s="12" t="s">
        <v>20</v>
      </c>
      <c r="J521" s="12" t="s">
        <v>59</v>
      </c>
      <c r="K521" s="12"/>
      <c r="L521" s="9" t="n">
        <f aca="false">L520+H521</f>
        <v>8029</v>
      </c>
      <c r="M521" s="10" t="str">
        <f aca="false">VLOOKUP(J521,RECATALOGANDO!A:C,2,0)</f>
        <v>SERVICIO DE PENSION</v>
      </c>
      <c r="N521" s="12" t="str">
        <f aca="false">VLOOKUP(M521,RECATALOGANDO!B:C,2,0)</f>
        <v>VENTA DE SERVICIO</v>
      </c>
      <c r="O521" s="2" t="s">
        <v>39</v>
      </c>
    </row>
    <row r="522" customFormat="false" ht="13.8" hidden="false" customHeight="false" outlineLevel="0" collapsed="false">
      <c r="A522" s="8" t="n">
        <v>45173</v>
      </c>
      <c r="B522" s="9" t="n">
        <f aca="false">DAY(A522)</f>
        <v>4</v>
      </c>
      <c r="C522" s="9" t="n">
        <f aca="false">MONTH(A522)</f>
        <v>9</v>
      </c>
      <c r="D522" s="9" t="n">
        <f aca="false">YEAR(A522)</f>
        <v>2023</v>
      </c>
      <c r="E522" s="9" t="n">
        <f aca="false">WEEKDAY(A522,2)</f>
        <v>1</v>
      </c>
      <c r="F522" s="10" t="n">
        <f aca="false">WEEKNUM(A522,2) - WEEKNUM(DATE(YEAR(A522),MONTH(A522),1),2) + 1</f>
        <v>2</v>
      </c>
      <c r="G522" s="10"/>
      <c r="H522" s="11" t="n">
        <v>315</v>
      </c>
      <c r="I522" s="12" t="s">
        <v>20</v>
      </c>
      <c r="J522" s="12" t="s">
        <v>53</v>
      </c>
      <c r="K522" s="12"/>
      <c r="L522" s="9" t="n">
        <f aca="false">L521+H522</f>
        <v>8344</v>
      </c>
      <c r="M522" s="10" t="str">
        <f aca="false">VLOOKUP(J522,RECATALOGANDO!A:C,2,0)</f>
        <v>SERVICIO DE GROOMING</v>
      </c>
      <c r="N522" s="12" t="str">
        <f aca="false">VLOOKUP(M522,RECATALOGANDO!B:C,2,0)</f>
        <v>VENTA DE SERVICIO</v>
      </c>
      <c r="O522" s="2" t="s">
        <v>39</v>
      </c>
    </row>
    <row r="523" customFormat="false" ht="13.8" hidden="false" customHeight="false" outlineLevel="0" collapsed="false">
      <c r="A523" s="8" t="n">
        <v>45173</v>
      </c>
      <c r="B523" s="9" t="n">
        <f aca="false">DAY(A523)</f>
        <v>4</v>
      </c>
      <c r="C523" s="9" t="n">
        <f aca="false">MONTH(A523)</f>
        <v>9</v>
      </c>
      <c r="D523" s="9" t="n">
        <f aca="false">YEAR(A523)</f>
        <v>2023</v>
      </c>
      <c r="E523" s="9" t="n">
        <f aca="false">WEEKDAY(A523,2)</f>
        <v>1</v>
      </c>
      <c r="F523" s="10" t="n">
        <f aca="false">WEEKNUM(A523,2) - WEEKNUM(DATE(YEAR(A523),MONTH(A523),1),2) + 1</f>
        <v>2</v>
      </c>
      <c r="G523" s="10"/>
      <c r="H523" s="11" t="n">
        <v>515</v>
      </c>
      <c r="I523" s="12" t="s">
        <v>20</v>
      </c>
      <c r="J523" s="12" t="s">
        <v>53</v>
      </c>
      <c r="K523" s="12"/>
      <c r="L523" s="9" t="n">
        <f aca="false">L522+H523</f>
        <v>8859</v>
      </c>
      <c r="M523" s="10" t="str">
        <f aca="false">VLOOKUP(J523,RECATALOGANDO!A:C,2,0)</f>
        <v>SERVICIO DE GROOMING</v>
      </c>
      <c r="N523" s="12" t="str">
        <f aca="false">VLOOKUP(M523,RECATALOGANDO!B:C,2,0)</f>
        <v>VENTA DE SERVICIO</v>
      </c>
      <c r="O523" s="2" t="s">
        <v>39</v>
      </c>
    </row>
    <row r="524" customFormat="false" ht="13.8" hidden="false" customHeight="false" outlineLevel="0" collapsed="false">
      <c r="A524" s="8" t="n">
        <v>45174</v>
      </c>
      <c r="B524" s="9" t="n">
        <f aca="false">DAY(A524)</f>
        <v>5</v>
      </c>
      <c r="C524" s="9" t="n">
        <f aca="false">MONTH(A524)</f>
        <v>9</v>
      </c>
      <c r="D524" s="9" t="n">
        <f aca="false">YEAR(A524)</f>
        <v>2023</v>
      </c>
      <c r="E524" s="9" t="n">
        <f aca="false">WEEKDAY(A524,2)</f>
        <v>2</v>
      </c>
      <c r="F524" s="10" t="n">
        <f aca="false">WEEKNUM(A524,2) - WEEKNUM(DATE(YEAR(A524),MONTH(A524),1),2) + 1</f>
        <v>2</v>
      </c>
      <c r="G524" s="10"/>
      <c r="H524" s="11" t="n">
        <v>1119</v>
      </c>
      <c r="I524" s="12" t="s">
        <v>20</v>
      </c>
      <c r="J524" s="22" t="s">
        <v>51</v>
      </c>
      <c r="K524" s="12"/>
      <c r="L524" s="9" t="n">
        <f aca="false">L523+H524</f>
        <v>9978</v>
      </c>
      <c r="M524" s="10" t="str">
        <f aca="false">VLOOKUP(J524,RECATALOGANDO!A:C,2,0)</f>
        <v>VENTA DE ALIMENTO</v>
      </c>
      <c r="N524" s="12" t="str">
        <f aca="false">VLOOKUP(M524,RECATALOGANDO!B:C,2,0)</f>
        <v>VENTA DE PRODUCTO</v>
      </c>
      <c r="O524" s="2" t="s">
        <v>39</v>
      </c>
    </row>
    <row r="525" customFormat="false" ht="13.8" hidden="false" customHeight="false" outlineLevel="0" collapsed="false">
      <c r="A525" s="8" t="n">
        <v>45174</v>
      </c>
      <c r="B525" s="9" t="n">
        <f aca="false">DAY(A525)</f>
        <v>5</v>
      </c>
      <c r="C525" s="9" t="n">
        <f aca="false">MONTH(A525)</f>
        <v>9</v>
      </c>
      <c r="D525" s="9" t="n">
        <f aca="false">YEAR(A525)</f>
        <v>2023</v>
      </c>
      <c r="E525" s="9" t="n">
        <f aca="false">WEEKDAY(A525,2)</f>
        <v>2</v>
      </c>
      <c r="F525" s="10" t="n">
        <f aca="false">WEEKNUM(A525,2) - WEEKNUM(DATE(YEAR(A525),MONTH(A525),1),2) + 1</f>
        <v>2</v>
      </c>
      <c r="G525" s="10"/>
      <c r="H525" s="11" t="n">
        <v>1525</v>
      </c>
      <c r="I525" s="12" t="s">
        <v>20</v>
      </c>
      <c r="J525" s="22" t="s">
        <v>45</v>
      </c>
      <c r="K525" s="12"/>
      <c r="L525" s="9" t="n">
        <f aca="false">L524+H525</f>
        <v>11503</v>
      </c>
      <c r="M525" s="10" t="str">
        <f aca="false">VLOOKUP(J525,RECATALOGANDO!A:C,2,0)</f>
        <v>VENTA DE MEDICAMENTO</v>
      </c>
      <c r="N525" s="12" t="str">
        <f aca="false">VLOOKUP(M525,RECATALOGANDO!B:C,2,0)</f>
        <v>VENTA DE PRODUCTO</v>
      </c>
      <c r="O525" s="2" t="s">
        <v>39</v>
      </c>
    </row>
    <row r="526" customFormat="false" ht="13.8" hidden="false" customHeight="false" outlineLevel="0" collapsed="false">
      <c r="A526" s="8" t="n">
        <v>45174</v>
      </c>
      <c r="B526" s="9" t="n">
        <f aca="false">DAY(A526)</f>
        <v>5</v>
      </c>
      <c r="C526" s="9" t="n">
        <f aca="false">MONTH(A526)</f>
        <v>9</v>
      </c>
      <c r="D526" s="9" t="n">
        <f aca="false">YEAR(A526)</f>
        <v>2023</v>
      </c>
      <c r="E526" s="9" t="n">
        <f aca="false">WEEKDAY(A526,2)</f>
        <v>2</v>
      </c>
      <c r="F526" s="10" t="n">
        <f aca="false">WEEKNUM(A526,2) - WEEKNUM(DATE(YEAR(A526),MONTH(A526),1),2) + 1</f>
        <v>2</v>
      </c>
      <c r="G526" s="10"/>
      <c r="H526" s="11" t="n">
        <v>300</v>
      </c>
      <c r="I526" s="12" t="s">
        <v>20</v>
      </c>
      <c r="J526" s="22" t="s">
        <v>44</v>
      </c>
      <c r="K526" s="12"/>
      <c r="L526" s="9" t="n">
        <f aca="false">L525+H526</f>
        <v>11803</v>
      </c>
      <c r="M526" s="10" t="str">
        <f aca="false">VLOOKUP(J526,RECATALOGANDO!A:C,2,0)</f>
        <v>HONORARIOS MEDICOS</v>
      </c>
      <c r="N526" s="12" t="str">
        <f aca="false">VLOOKUP(M526,RECATALOGANDO!B:C,2,0)</f>
        <v>VENTA DE SERVICIO</v>
      </c>
      <c r="O526" s="2" t="s">
        <v>39</v>
      </c>
    </row>
    <row r="527" customFormat="false" ht="13.8" hidden="false" customHeight="false" outlineLevel="0" collapsed="false">
      <c r="A527" s="8" t="n">
        <v>45175</v>
      </c>
      <c r="B527" s="9" t="n">
        <f aca="false">DAY(A527)</f>
        <v>6</v>
      </c>
      <c r="C527" s="9" t="n">
        <f aca="false">MONTH(A527)</f>
        <v>9</v>
      </c>
      <c r="D527" s="9" t="n">
        <f aca="false">YEAR(A527)</f>
        <v>2023</v>
      </c>
      <c r="E527" s="9" t="n">
        <f aca="false">WEEKDAY(A527,2)</f>
        <v>3</v>
      </c>
      <c r="F527" s="10" t="n">
        <f aca="false">WEEKNUM(A527,2) - WEEKNUM(DATE(YEAR(A527),MONTH(A527),1),2) + 1</f>
        <v>2</v>
      </c>
      <c r="G527" s="10"/>
      <c r="H527" s="11" t="n">
        <v>370</v>
      </c>
      <c r="I527" s="12" t="s">
        <v>20</v>
      </c>
      <c r="J527" s="12" t="s">
        <v>53</v>
      </c>
      <c r="K527" s="12"/>
      <c r="L527" s="9" t="n">
        <f aca="false">L526+H527</f>
        <v>12173</v>
      </c>
      <c r="M527" s="10" t="str">
        <f aca="false">VLOOKUP(J527,RECATALOGANDO!A:C,2,0)</f>
        <v>SERVICIO DE GROOMING</v>
      </c>
      <c r="N527" s="12" t="str">
        <f aca="false">VLOOKUP(M527,RECATALOGANDO!B:C,2,0)</f>
        <v>VENTA DE SERVICIO</v>
      </c>
      <c r="O527" s="2" t="s">
        <v>39</v>
      </c>
    </row>
    <row r="528" customFormat="false" ht="13.8" hidden="false" customHeight="false" outlineLevel="0" collapsed="false">
      <c r="A528" s="8" t="n">
        <v>45175</v>
      </c>
      <c r="B528" s="9" t="n">
        <f aca="false">DAY(A528)</f>
        <v>6</v>
      </c>
      <c r="C528" s="9" t="n">
        <f aca="false">MONTH(A528)</f>
        <v>9</v>
      </c>
      <c r="D528" s="9" t="n">
        <f aca="false">YEAR(A528)</f>
        <v>2023</v>
      </c>
      <c r="E528" s="9" t="n">
        <f aca="false">WEEKDAY(A528,2)</f>
        <v>3</v>
      </c>
      <c r="F528" s="10" t="n">
        <f aca="false">WEEKNUM(A528,2) - WEEKNUM(DATE(YEAR(A528),MONTH(A528),1),2) + 1</f>
        <v>2</v>
      </c>
      <c r="G528" s="10"/>
      <c r="H528" s="11" t="n">
        <v>1389.45</v>
      </c>
      <c r="I528" s="12" t="s">
        <v>15</v>
      </c>
      <c r="J528" s="22" t="s">
        <v>53</v>
      </c>
      <c r="K528" s="12"/>
      <c r="L528" s="9" t="n">
        <f aca="false">L527+H528</f>
        <v>13562.45</v>
      </c>
      <c r="M528" s="10" t="str">
        <f aca="false">VLOOKUP(J528,RECATALOGANDO!A:C,2,0)</f>
        <v>SERVICIO DE GROOMING</v>
      </c>
      <c r="N528" s="12" t="str">
        <f aca="false">VLOOKUP(M528,RECATALOGANDO!B:C,2,0)</f>
        <v>VENTA DE SERVICIO</v>
      </c>
      <c r="O528" s="2" t="s">
        <v>39</v>
      </c>
    </row>
    <row r="529" customFormat="false" ht="13.8" hidden="false" customHeight="false" outlineLevel="0" collapsed="false">
      <c r="A529" s="8" t="n">
        <v>45176</v>
      </c>
      <c r="B529" s="9" t="n">
        <f aca="false">DAY(A529)</f>
        <v>7</v>
      </c>
      <c r="C529" s="9" t="n">
        <f aca="false">MONTH(A529)</f>
        <v>9</v>
      </c>
      <c r="D529" s="9" t="n">
        <f aca="false">YEAR(A529)</f>
        <v>2023</v>
      </c>
      <c r="E529" s="9" t="n">
        <f aca="false">WEEKDAY(A529,2)</f>
        <v>4</v>
      </c>
      <c r="F529" s="10" t="n">
        <f aca="false">WEEKNUM(A529,2) - WEEKNUM(DATE(YEAR(A529),MONTH(A529),1),2) + 1</f>
        <v>2</v>
      </c>
      <c r="G529" s="10"/>
      <c r="H529" s="11" t="n">
        <v>559.34</v>
      </c>
      <c r="I529" s="12" t="s">
        <v>15</v>
      </c>
      <c r="J529" s="22" t="s">
        <v>51</v>
      </c>
      <c r="K529" s="12"/>
      <c r="L529" s="9" t="n">
        <f aca="false">L528+H529</f>
        <v>14121.79</v>
      </c>
      <c r="M529" s="10" t="str">
        <f aca="false">VLOOKUP(J529,RECATALOGANDO!A:C,2,0)</f>
        <v>VENTA DE ALIMENTO</v>
      </c>
      <c r="N529" s="12" t="str">
        <f aca="false">VLOOKUP(M529,RECATALOGANDO!B:C,2,0)</f>
        <v>VENTA DE PRODUCTO</v>
      </c>
      <c r="O529" s="2" t="s">
        <v>39</v>
      </c>
    </row>
    <row r="530" customFormat="false" ht="13.8" hidden="false" customHeight="false" outlineLevel="0" collapsed="false">
      <c r="A530" s="8" t="n">
        <v>45176</v>
      </c>
      <c r="B530" s="9" t="n">
        <f aca="false">DAY(A530)</f>
        <v>7</v>
      </c>
      <c r="C530" s="9" t="n">
        <f aca="false">MONTH(A530)</f>
        <v>9</v>
      </c>
      <c r="D530" s="9" t="n">
        <f aca="false">YEAR(A530)</f>
        <v>2023</v>
      </c>
      <c r="E530" s="9" t="n">
        <f aca="false">WEEKDAY(A530,2)</f>
        <v>4</v>
      </c>
      <c r="F530" s="10" t="n">
        <f aca="false">WEEKNUM(A530,2) - WEEKNUM(DATE(YEAR(A530),MONTH(A530),1),2) + 1</f>
        <v>2</v>
      </c>
      <c r="G530" s="10"/>
      <c r="H530" s="11" t="n">
        <v>160</v>
      </c>
      <c r="I530" s="12" t="s">
        <v>20</v>
      </c>
      <c r="J530" s="12" t="s">
        <v>53</v>
      </c>
      <c r="K530" s="12"/>
      <c r="L530" s="9" t="n">
        <f aca="false">L529+H530</f>
        <v>14281.79</v>
      </c>
      <c r="M530" s="10" t="str">
        <f aca="false">VLOOKUP(J530,RECATALOGANDO!A:C,2,0)</f>
        <v>SERVICIO DE GROOMING</v>
      </c>
      <c r="N530" s="12" t="str">
        <f aca="false">VLOOKUP(M530,RECATALOGANDO!B:C,2,0)</f>
        <v>VENTA DE SERVICIO</v>
      </c>
      <c r="O530" s="2" t="s">
        <v>39</v>
      </c>
    </row>
    <row r="531" customFormat="false" ht="13.8" hidden="false" customHeight="false" outlineLevel="0" collapsed="false">
      <c r="A531" s="8" t="n">
        <v>45176</v>
      </c>
      <c r="B531" s="9" t="n">
        <f aca="false">DAY(A531)</f>
        <v>7</v>
      </c>
      <c r="C531" s="9" t="n">
        <f aca="false">MONTH(A531)</f>
        <v>9</v>
      </c>
      <c r="D531" s="9" t="n">
        <f aca="false">YEAR(A531)</f>
        <v>2023</v>
      </c>
      <c r="E531" s="9" t="n">
        <f aca="false">WEEKDAY(A531,2)</f>
        <v>4</v>
      </c>
      <c r="F531" s="10" t="n">
        <f aca="false">WEEKNUM(A531,2) - WEEKNUM(DATE(YEAR(A531),MONTH(A531),1),2) + 1</f>
        <v>2</v>
      </c>
      <c r="G531" s="10"/>
      <c r="H531" s="11" t="n">
        <v>250</v>
      </c>
      <c r="I531" s="12" t="s">
        <v>20</v>
      </c>
      <c r="J531" s="12" t="s">
        <v>53</v>
      </c>
      <c r="K531" s="12"/>
      <c r="L531" s="9" t="n">
        <f aca="false">L530+H531</f>
        <v>14531.79</v>
      </c>
      <c r="M531" s="10" t="str">
        <f aca="false">VLOOKUP(J531,RECATALOGANDO!A:C,2,0)</f>
        <v>SERVICIO DE GROOMING</v>
      </c>
      <c r="N531" s="12" t="str">
        <f aca="false">VLOOKUP(M531,RECATALOGANDO!B:C,2,0)</f>
        <v>VENTA DE SERVICIO</v>
      </c>
      <c r="O531" s="2" t="s">
        <v>39</v>
      </c>
    </row>
    <row r="532" customFormat="false" ht="13.8" hidden="false" customHeight="false" outlineLevel="0" collapsed="false">
      <c r="A532" s="8" t="n">
        <v>45177</v>
      </c>
      <c r="B532" s="9" t="n">
        <f aca="false">DAY(A532)</f>
        <v>8</v>
      </c>
      <c r="C532" s="9" t="n">
        <f aca="false">MONTH(A532)</f>
        <v>9</v>
      </c>
      <c r="D532" s="9" t="n">
        <f aca="false">YEAR(A532)</f>
        <v>2023</v>
      </c>
      <c r="E532" s="9" t="n">
        <f aca="false">WEEKDAY(A532,2)</f>
        <v>5</v>
      </c>
      <c r="F532" s="10" t="n">
        <f aca="false">WEEKNUM(A532,2) - WEEKNUM(DATE(YEAR(A532),MONTH(A532),1),2) + 1</f>
        <v>2</v>
      </c>
      <c r="G532" s="10"/>
      <c r="H532" s="11" t="n">
        <v>280</v>
      </c>
      <c r="I532" s="12" t="s">
        <v>15</v>
      </c>
      <c r="J532" s="22" t="s">
        <v>53</v>
      </c>
      <c r="K532" s="12"/>
      <c r="L532" s="9" t="n">
        <f aca="false">L531+H532</f>
        <v>14811.79</v>
      </c>
      <c r="M532" s="10" t="str">
        <f aca="false">VLOOKUP(J532,RECATALOGANDO!A:C,2,0)</f>
        <v>SERVICIO DE GROOMING</v>
      </c>
      <c r="N532" s="12" t="str">
        <f aca="false">VLOOKUP(M532,RECATALOGANDO!B:C,2,0)</f>
        <v>VENTA DE SERVICIO</v>
      </c>
      <c r="O532" s="2" t="s">
        <v>39</v>
      </c>
    </row>
    <row r="533" customFormat="false" ht="13.8" hidden="false" customHeight="false" outlineLevel="0" collapsed="false">
      <c r="A533" s="8" t="n">
        <v>45180</v>
      </c>
      <c r="B533" s="9" t="n">
        <f aca="false">DAY(A533)</f>
        <v>11</v>
      </c>
      <c r="C533" s="9" t="n">
        <f aca="false">MONTH(A533)</f>
        <v>9</v>
      </c>
      <c r="D533" s="9" t="n">
        <f aca="false">YEAR(A533)</f>
        <v>2023</v>
      </c>
      <c r="E533" s="9" t="n">
        <f aca="false">WEEKDAY(A533,2)</f>
        <v>1</v>
      </c>
      <c r="F533" s="10" t="n">
        <f aca="false">WEEKNUM(A533,2) - WEEKNUM(DATE(YEAR(A533),MONTH(A533),1),2) + 1</f>
        <v>3</v>
      </c>
      <c r="G533" s="10"/>
      <c r="H533" s="11" t="n">
        <v>290</v>
      </c>
      <c r="I533" s="12" t="s">
        <v>20</v>
      </c>
      <c r="J533" s="12" t="s">
        <v>45</v>
      </c>
      <c r="K533" s="12"/>
      <c r="L533" s="9" t="n">
        <f aca="false">L532+H533</f>
        <v>15101.79</v>
      </c>
      <c r="M533" s="10" t="str">
        <f aca="false">VLOOKUP(J533,RECATALOGANDO!A:C,2,0)</f>
        <v>VENTA DE MEDICAMENTO</v>
      </c>
      <c r="N533" s="12" t="str">
        <f aca="false">VLOOKUP(M533,RECATALOGANDO!B:C,2,0)</f>
        <v>VENTA DE PRODUCTO</v>
      </c>
      <c r="O533" s="2" t="s">
        <v>39</v>
      </c>
    </row>
    <row r="534" customFormat="false" ht="13.8" hidden="false" customHeight="false" outlineLevel="0" collapsed="false">
      <c r="A534" s="8" t="n">
        <v>45180</v>
      </c>
      <c r="B534" s="9" t="n">
        <f aca="false">DAY(A534)</f>
        <v>11</v>
      </c>
      <c r="C534" s="9" t="n">
        <f aca="false">MONTH(A534)</f>
        <v>9</v>
      </c>
      <c r="D534" s="9" t="n">
        <f aca="false">YEAR(A534)</f>
        <v>2023</v>
      </c>
      <c r="E534" s="9" t="n">
        <f aca="false">WEEKDAY(A534,2)</f>
        <v>1</v>
      </c>
      <c r="F534" s="10" t="n">
        <f aca="false">WEEKNUM(A534,2) - WEEKNUM(DATE(YEAR(A534),MONTH(A534),1),2) + 1</f>
        <v>3</v>
      </c>
      <c r="G534" s="10"/>
      <c r="H534" s="11" t="n">
        <v>645</v>
      </c>
      <c r="I534" s="12" t="s">
        <v>20</v>
      </c>
      <c r="J534" s="12" t="s">
        <v>45</v>
      </c>
      <c r="K534" s="12"/>
      <c r="L534" s="9" t="n">
        <f aca="false">L533+H534</f>
        <v>15746.79</v>
      </c>
      <c r="M534" s="10" t="str">
        <f aca="false">VLOOKUP(J534,RECATALOGANDO!A:C,2,0)</f>
        <v>VENTA DE MEDICAMENTO</v>
      </c>
      <c r="N534" s="12" t="str">
        <f aca="false">VLOOKUP(M534,RECATALOGANDO!B:C,2,0)</f>
        <v>VENTA DE PRODUCTO</v>
      </c>
      <c r="O534" s="2" t="s">
        <v>39</v>
      </c>
    </row>
    <row r="535" customFormat="false" ht="13.8" hidden="false" customHeight="false" outlineLevel="0" collapsed="false">
      <c r="A535" s="8" t="n">
        <v>45180</v>
      </c>
      <c r="B535" s="9" t="n">
        <f aca="false">DAY(A535)</f>
        <v>11</v>
      </c>
      <c r="C535" s="9" t="n">
        <f aca="false">MONTH(A535)</f>
        <v>9</v>
      </c>
      <c r="D535" s="9" t="n">
        <f aca="false">YEAR(A535)</f>
        <v>2023</v>
      </c>
      <c r="E535" s="9" t="n">
        <f aca="false">WEEKDAY(A535,2)</f>
        <v>1</v>
      </c>
      <c r="F535" s="10" t="n">
        <f aca="false">WEEKNUM(A535,2) - WEEKNUM(DATE(YEAR(A535),MONTH(A535),1),2) + 1</f>
        <v>3</v>
      </c>
      <c r="G535" s="10"/>
      <c r="H535" s="11" t="n">
        <v>1428.73</v>
      </c>
      <c r="I535" s="12" t="s">
        <v>15</v>
      </c>
      <c r="J535" s="22" t="s">
        <v>51</v>
      </c>
      <c r="K535" s="12"/>
      <c r="L535" s="9" t="n">
        <f aca="false">L534+H535</f>
        <v>17175.52</v>
      </c>
      <c r="M535" s="10" t="str">
        <f aca="false">VLOOKUP(J535,RECATALOGANDO!A:C,2,0)</f>
        <v>VENTA DE ALIMENTO</v>
      </c>
      <c r="N535" s="12" t="str">
        <f aca="false">VLOOKUP(M535,RECATALOGANDO!B:C,2,0)</f>
        <v>VENTA DE PRODUCTO</v>
      </c>
      <c r="O535" s="2" t="s">
        <v>39</v>
      </c>
    </row>
    <row r="536" customFormat="false" ht="13.8" hidden="false" customHeight="false" outlineLevel="0" collapsed="false">
      <c r="A536" s="8" t="n">
        <v>45180</v>
      </c>
      <c r="B536" s="9" t="n">
        <f aca="false">DAY(A536)</f>
        <v>11</v>
      </c>
      <c r="C536" s="9" t="n">
        <f aca="false">MONTH(A536)</f>
        <v>9</v>
      </c>
      <c r="D536" s="9" t="n">
        <f aca="false">YEAR(A536)</f>
        <v>2023</v>
      </c>
      <c r="E536" s="9" t="n">
        <f aca="false">WEEKDAY(A536,2)</f>
        <v>1</v>
      </c>
      <c r="F536" s="10" t="n">
        <f aca="false">WEEKNUM(A536,2) - WEEKNUM(DATE(YEAR(A536),MONTH(A536),1),2) + 1</f>
        <v>3</v>
      </c>
      <c r="G536" s="10"/>
      <c r="H536" s="11" t="n">
        <v>1240</v>
      </c>
      <c r="I536" s="12" t="s">
        <v>20</v>
      </c>
      <c r="J536" s="12" t="s">
        <v>44</v>
      </c>
      <c r="K536" s="12"/>
      <c r="L536" s="9" t="n">
        <f aca="false">L535+H536</f>
        <v>18415.52</v>
      </c>
      <c r="M536" s="10" t="str">
        <f aca="false">VLOOKUP(J536,RECATALOGANDO!A:C,2,0)</f>
        <v>HONORARIOS MEDICOS</v>
      </c>
      <c r="N536" s="12" t="str">
        <f aca="false">VLOOKUP(M536,RECATALOGANDO!B:C,2,0)</f>
        <v>VENTA DE SERVICIO</v>
      </c>
      <c r="O536" s="2" t="s">
        <v>39</v>
      </c>
    </row>
    <row r="537" customFormat="false" ht="13.8" hidden="false" customHeight="false" outlineLevel="0" collapsed="false">
      <c r="A537" s="8" t="n">
        <v>45180</v>
      </c>
      <c r="B537" s="9" t="n">
        <f aca="false">DAY(A537)</f>
        <v>11</v>
      </c>
      <c r="C537" s="9" t="n">
        <f aca="false">MONTH(A537)</f>
        <v>9</v>
      </c>
      <c r="D537" s="9" t="n">
        <f aca="false">YEAR(A537)</f>
        <v>2023</v>
      </c>
      <c r="E537" s="9" t="n">
        <f aca="false">WEEKDAY(A537,2)</f>
        <v>1</v>
      </c>
      <c r="F537" s="10" t="n">
        <f aca="false">WEEKNUM(A537,2) - WEEKNUM(DATE(YEAR(A537),MONTH(A537),1),2) + 1</f>
        <v>3</v>
      </c>
      <c r="G537" s="10"/>
      <c r="H537" s="11" t="n">
        <v>4373.41</v>
      </c>
      <c r="I537" s="12" t="s">
        <v>15</v>
      </c>
      <c r="J537" s="22" t="s">
        <v>41</v>
      </c>
      <c r="K537" s="12"/>
      <c r="L537" s="9" t="n">
        <f aca="false">L536+H537</f>
        <v>22788.93</v>
      </c>
      <c r="M537" s="10" t="str">
        <f aca="false">VLOOKUP(J537,RECATALOGANDO!A:C,2,0)</f>
        <v>HONORARIOS QUIRURGICOS</v>
      </c>
      <c r="N537" s="12" t="str">
        <f aca="false">VLOOKUP(M537,RECATALOGANDO!B:C,2,0)</f>
        <v>VENTA DE SERVICIO</v>
      </c>
      <c r="O537" s="2" t="s">
        <v>39</v>
      </c>
    </row>
    <row r="538" customFormat="false" ht="13.8" hidden="false" customHeight="false" outlineLevel="0" collapsed="false">
      <c r="A538" s="8" t="n">
        <v>45183</v>
      </c>
      <c r="B538" s="9" t="n">
        <f aca="false">DAY(A538)</f>
        <v>14</v>
      </c>
      <c r="C538" s="9" t="n">
        <f aca="false">MONTH(A538)</f>
        <v>9</v>
      </c>
      <c r="D538" s="9" t="n">
        <f aca="false">YEAR(A538)</f>
        <v>2023</v>
      </c>
      <c r="E538" s="9" t="n">
        <f aca="false">WEEKDAY(A538,2)</f>
        <v>4</v>
      </c>
      <c r="F538" s="10" t="n">
        <f aca="false">WEEKNUM(A538,2) - WEEKNUM(DATE(YEAR(A538),MONTH(A538),1),2) + 1</f>
        <v>3</v>
      </c>
      <c r="G538" s="10"/>
      <c r="H538" s="11" t="n">
        <v>562</v>
      </c>
      <c r="I538" s="12" t="s">
        <v>20</v>
      </c>
      <c r="J538" s="22" t="s">
        <v>53</v>
      </c>
      <c r="K538" s="12"/>
      <c r="L538" s="9" t="n">
        <f aca="false">L537+H538</f>
        <v>23350.93</v>
      </c>
      <c r="M538" s="10" t="str">
        <f aca="false">VLOOKUP(J538,RECATALOGANDO!A:C,2,0)</f>
        <v>SERVICIO DE GROOMING</v>
      </c>
      <c r="N538" s="12" t="str">
        <f aca="false">VLOOKUP(M538,RECATALOGANDO!B:C,2,0)</f>
        <v>VENTA DE SERVICIO</v>
      </c>
      <c r="O538" s="2" t="s">
        <v>39</v>
      </c>
    </row>
    <row r="539" customFormat="false" ht="13.8" hidden="false" customHeight="false" outlineLevel="0" collapsed="false">
      <c r="A539" s="8" t="n">
        <v>45183</v>
      </c>
      <c r="B539" s="9" t="n">
        <f aca="false">DAY(A539)</f>
        <v>14</v>
      </c>
      <c r="C539" s="9" t="n">
        <f aca="false">MONTH(A539)</f>
        <v>9</v>
      </c>
      <c r="D539" s="9" t="n">
        <f aca="false">YEAR(A539)</f>
        <v>2023</v>
      </c>
      <c r="E539" s="9" t="n">
        <f aca="false">WEEKDAY(A539,2)</f>
        <v>4</v>
      </c>
      <c r="F539" s="10" t="n">
        <f aca="false">WEEKNUM(A539,2) - WEEKNUM(DATE(YEAR(A539),MONTH(A539),1),2) + 1</f>
        <v>3</v>
      </c>
      <c r="G539" s="10"/>
      <c r="H539" s="11" t="n">
        <v>800</v>
      </c>
      <c r="I539" s="12" t="s">
        <v>20</v>
      </c>
      <c r="J539" s="12" t="s">
        <v>44</v>
      </c>
      <c r="K539" s="12"/>
      <c r="L539" s="9" t="n">
        <f aca="false">L538+H539</f>
        <v>24150.93</v>
      </c>
      <c r="M539" s="10" t="str">
        <f aca="false">VLOOKUP(J539,RECATALOGANDO!A:C,2,0)</f>
        <v>HONORARIOS MEDICOS</v>
      </c>
      <c r="N539" s="12" t="str">
        <f aca="false">VLOOKUP(M539,RECATALOGANDO!B:C,2,0)</f>
        <v>VENTA DE SERVICIO</v>
      </c>
      <c r="O539" s="2" t="s">
        <v>39</v>
      </c>
    </row>
    <row r="540" customFormat="false" ht="13.8" hidden="false" customHeight="false" outlineLevel="0" collapsed="false">
      <c r="A540" s="8" t="n">
        <v>45184</v>
      </c>
      <c r="B540" s="9" t="n">
        <f aca="false">DAY(A540)</f>
        <v>15</v>
      </c>
      <c r="C540" s="9" t="n">
        <f aca="false">MONTH(A540)</f>
        <v>9</v>
      </c>
      <c r="D540" s="9" t="n">
        <f aca="false">YEAR(A540)</f>
        <v>2023</v>
      </c>
      <c r="E540" s="9" t="n">
        <f aca="false">WEEKDAY(A540,2)</f>
        <v>5</v>
      </c>
      <c r="F540" s="10" t="n">
        <f aca="false">WEEKNUM(A540,2) - WEEKNUM(DATE(YEAR(A540),MONTH(A540),1),2) + 1</f>
        <v>3</v>
      </c>
      <c r="G540" s="10" t="n">
        <v>1</v>
      </c>
      <c r="H540" s="11" t="n">
        <v>3851.17</v>
      </c>
      <c r="I540" s="12" t="s">
        <v>15</v>
      </c>
      <c r="J540" s="22" t="s">
        <v>41</v>
      </c>
      <c r="K540" s="12"/>
      <c r="L540" s="9" t="n">
        <f aca="false">L539+H540</f>
        <v>28002.1</v>
      </c>
      <c r="M540" s="10" t="str">
        <f aca="false">VLOOKUP(J540,RECATALOGANDO!A:C,2,0)</f>
        <v>HONORARIOS QUIRURGICOS</v>
      </c>
      <c r="N540" s="12" t="str">
        <f aca="false">VLOOKUP(M540,RECATALOGANDO!B:C,2,0)</f>
        <v>VENTA DE SERVICIO</v>
      </c>
      <c r="O540" s="2" t="s">
        <v>39</v>
      </c>
    </row>
    <row r="541" customFormat="false" ht="13.8" hidden="false" customHeight="false" outlineLevel="0" collapsed="false">
      <c r="A541" s="8" t="n">
        <v>45185</v>
      </c>
      <c r="B541" s="9" t="n">
        <f aca="false">DAY(A541)</f>
        <v>16</v>
      </c>
      <c r="C541" s="9" t="n">
        <f aca="false">MONTH(A541)</f>
        <v>9</v>
      </c>
      <c r="D541" s="9" t="n">
        <f aca="false">YEAR(A541)</f>
        <v>2023</v>
      </c>
      <c r="E541" s="9" t="n">
        <f aca="false">WEEKDAY(A541,2)</f>
        <v>6</v>
      </c>
      <c r="F541" s="10" t="n">
        <f aca="false">WEEKNUM(A541,2) - WEEKNUM(DATE(YEAR(A541),MONTH(A541),1),2) + 1</f>
        <v>3</v>
      </c>
      <c r="G541" s="10"/>
      <c r="H541" s="11" t="n">
        <v>1300</v>
      </c>
      <c r="I541" s="12" t="s">
        <v>15</v>
      </c>
      <c r="J541" s="22" t="s">
        <v>58</v>
      </c>
      <c r="K541" s="12"/>
      <c r="L541" s="9" t="n">
        <f aca="false">L540+H541</f>
        <v>29302.1</v>
      </c>
      <c r="M541" s="10" t="str">
        <f aca="false">VLOOKUP(J541,RECATALOGANDO!A:C,2,0)</f>
        <v>SERVICIO DE LABORATORIO</v>
      </c>
      <c r="N541" s="12" t="str">
        <f aca="false">VLOOKUP(M541,RECATALOGANDO!B:C,2,0)</f>
        <v>VENTA DE SERVICIO</v>
      </c>
      <c r="O541" s="2" t="s">
        <v>39</v>
      </c>
    </row>
    <row r="542" customFormat="false" ht="13.8" hidden="false" customHeight="false" outlineLevel="0" collapsed="false">
      <c r="A542" s="8" t="n">
        <v>45187</v>
      </c>
      <c r="B542" s="9" t="n">
        <f aca="false">DAY(A542)</f>
        <v>18</v>
      </c>
      <c r="C542" s="9" t="n">
        <f aca="false">MONTH(A542)</f>
        <v>9</v>
      </c>
      <c r="D542" s="9" t="n">
        <f aca="false">YEAR(A542)</f>
        <v>2023</v>
      </c>
      <c r="E542" s="9" t="n">
        <f aca="false">WEEKDAY(A542,2)</f>
        <v>1</v>
      </c>
      <c r="F542" s="10" t="n">
        <f aca="false">WEEKNUM(A542,2) - WEEKNUM(DATE(YEAR(A542),MONTH(A542),1),2) + 1</f>
        <v>4</v>
      </c>
      <c r="G542" s="10"/>
      <c r="H542" s="11" t="n">
        <v>1632</v>
      </c>
      <c r="I542" s="12" t="s">
        <v>20</v>
      </c>
      <c r="J542" s="12" t="s">
        <v>45</v>
      </c>
      <c r="K542" s="12"/>
      <c r="L542" s="9" t="n">
        <f aca="false">L541+H542</f>
        <v>30934.1</v>
      </c>
      <c r="M542" s="10" t="str">
        <f aca="false">VLOOKUP(J542,RECATALOGANDO!A:C,2,0)</f>
        <v>VENTA DE MEDICAMENTO</v>
      </c>
      <c r="N542" s="12" t="str">
        <f aca="false">VLOOKUP(M542,RECATALOGANDO!B:C,2,0)</f>
        <v>VENTA DE PRODUCTO</v>
      </c>
      <c r="O542" s="2" t="s">
        <v>39</v>
      </c>
    </row>
    <row r="543" customFormat="false" ht="13.8" hidden="false" customHeight="false" outlineLevel="0" collapsed="false">
      <c r="A543" s="8" t="n">
        <v>45187</v>
      </c>
      <c r="B543" s="9" t="n">
        <f aca="false">DAY(A543)</f>
        <v>18</v>
      </c>
      <c r="C543" s="9" t="n">
        <f aca="false">MONTH(A543)</f>
        <v>9</v>
      </c>
      <c r="D543" s="9" t="n">
        <f aca="false">YEAR(A543)</f>
        <v>2023</v>
      </c>
      <c r="E543" s="9" t="n">
        <f aca="false">WEEKDAY(A543,2)</f>
        <v>1</v>
      </c>
      <c r="F543" s="10" t="n">
        <f aca="false">WEEKNUM(A543,2) - WEEKNUM(DATE(YEAR(A543),MONTH(A543),1),2) + 1</f>
        <v>4</v>
      </c>
      <c r="G543" s="10"/>
      <c r="H543" s="11" t="n">
        <v>240</v>
      </c>
      <c r="I543" s="12" t="s">
        <v>20</v>
      </c>
      <c r="J543" s="12" t="s">
        <v>44</v>
      </c>
      <c r="K543" s="12"/>
      <c r="L543" s="9" t="n">
        <f aca="false">L542+H543</f>
        <v>31174.1</v>
      </c>
      <c r="M543" s="10" t="str">
        <f aca="false">VLOOKUP(J543,RECATALOGANDO!A:C,2,0)</f>
        <v>HONORARIOS MEDICOS</v>
      </c>
      <c r="N543" s="12" t="str">
        <f aca="false">VLOOKUP(M543,RECATALOGANDO!B:C,2,0)</f>
        <v>VENTA DE SERVICIO</v>
      </c>
      <c r="O543" s="2" t="s">
        <v>39</v>
      </c>
    </row>
    <row r="544" customFormat="false" ht="13.8" hidden="false" customHeight="false" outlineLevel="0" collapsed="false">
      <c r="A544" s="8" t="n">
        <v>45187</v>
      </c>
      <c r="B544" s="9" t="n">
        <f aca="false">DAY(A544)</f>
        <v>18</v>
      </c>
      <c r="C544" s="9" t="n">
        <f aca="false">MONTH(A544)</f>
        <v>9</v>
      </c>
      <c r="D544" s="9" t="n">
        <f aca="false">YEAR(A544)</f>
        <v>2023</v>
      </c>
      <c r="E544" s="9" t="n">
        <f aca="false">WEEKDAY(A544,2)</f>
        <v>1</v>
      </c>
      <c r="F544" s="10" t="n">
        <f aca="false">WEEKNUM(A544,2) - WEEKNUM(DATE(YEAR(A544),MONTH(A544),1),2) + 1</f>
        <v>4</v>
      </c>
      <c r="G544" s="10"/>
      <c r="H544" s="11" t="n">
        <v>259</v>
      </c>
      <c r="I544" s="12" t="s">
        <v>15</v>
      </c>
      <c r="J544" s="22" t="s">
        <v>53</v>
      </c>
      <c r="K544" s="12"/>
      <c r="L544" s="9" t="n">
        <f aca="false">L543+H544</f>
        <v>31433.1</v>
      </c>
      <c r="M544" s="10" t="str">
        <f aca="false">VLOOKUP(J544,RECATALOGANDO!A:C,2,0)</f>
        <v>SERVICIO DE GROOMING</v>
      </c>
      <c r="N544" s="12" t="str">
        <f aca="false">VLOOKUP(M544,RECATALOGANDO!B:C,2,0)</f>
        <v>VENTA DE SERVICIO</v>
      </c>
      <c r="O544" s="2" t="s">
        <v>39</v>
      </c>
    </row>
    <row r="545" customFormat="false" ht="13.8" hidden="false" customHeight="false" outlineLevel="0" collapsed="false">
      <c r="A545" s="8" t="n">
        <v>45188</v>
      </c>
      <c r="B545" s="9" t="n">
        <f aca="false">DAY(A545)</f>
        <v>19</v>
      </c>
      <c r="C545" s="9" t="n">
        <f aca="false">MONTH(A545)</f>
        <v>9</v>
      </c>
      <c r="D545" s="9" t="n">
        <f aca="false">YEAR(A545)</f>
        <v>2023</v>
      </c>
      <c r="E545" s="9" t="n">
        <f aca="false">WEEKDAY(A545,2)</f>
        <v>2</v>
      </c>
      <c r="F545" s="10" t="n">
        <f aca="false">WEEKNUM(A545,2) - WEEKNUM(DATE(YEAR(A545),MONTH(A545),1),2) + 1</f>
        <v>4</v>
      </c>
      <c r="G545" s="10"/>
      <c r="H545" s="11" t="n">
        <v>590</v>
      </c>
      <c r="I545" s="12" t="s">
        <v>15</v>
      </c>
      <c r="J545" s="12" t="s">
        <v>51</v>
      </c>
      <c r="K545" s="12"/>
      <c r="L545" s="9" t="n">
        <f aca="false">L544+H545</f>
        <v>32023.1</v>
      </c>
      <c r="M545" s="10" t="str">
        <f aca="false">VLOOKUP(J545,RECATALOGANDO!A:C,2,0)</f>
        <v>VENTA DE ALIMENTO</v>
      </c>
      <c r="N545" s="12" t="str">
        <f aca="false">VLOOKUP(M545,RECATALOGANDO!B:C,2,0)</f>
        <v>VENTA DE PRODUCTO</v>
      </c>
      <c r="O545" s="2" t="s">
        <v>39</v>
      </c>
    </row>
    <row r="546" customFormat="false" ht="13.8" hidden="false" customHeight="false" outlineLevel="0" collapsed="false">
      <c r="A546" s="8" t="n">
        <v>45188</v>
      </c>
      <c r="B546" s="9" t="n">
        <f aca="false">DAY(A546)</f>
        <v>19</v>
      </c>
      <c r="C546" s="9" t="n">
        <f aca="false">MONTH(A546)</f>
        <v>9</v>
      </c>
      <c r="D546" s="9" t="n">
        <f aca="false">YEAR(A546)</f>
        <v>2023</v>
      </c>
      <c r="E546" s="9" t="n">
        <f aca="false">WEEKDAY(A546,2)</f>
        <v>2</v>
      </c>
      <c r="F546" s="10" t="n">
        <f aca="false">WEEKNUM(A546,2) - WEEKNUM(DATE(YEAR(A546),MONTH(A546),1),2) + 1</f>
        <v>4</v>
      </c>
      <c r="G546" s="10"/>
      <c r="H546" s="11" t="n">
        <v>780</v>
      </c>
      <c r="I546" s="12" t="s">
        <v>15</v>
      </c>
      <c r="J546" s="12" t="s">
        <v>45</v>
      </c>
      <c r="K546" s="12"/>
      <c r="L546" s="9" t="n">
        <f aca="false">L545+H546</f>
        <v>32803.1</v>
      </c>
      <c r="M546" s="10" t="str">
        <f aca="false">VLOOKUP(J546,RECATALOGANDO!A:C,2,0)</f>
        <v>VENTA DE MEDICAMENTO</v>
      </c>
      <c r="N546" s="12" t="str">
        <f aca="false">VLOOKUP(M546,RECATALOGANDO!B:C,2,0)</f>
        <v>VENTA DE PRODUCTO</v>
      </c>
      <c r="O546" s="2" t="s">
        <v>39</v>
      </c>
    </row>
    <row r="547" customFormat="false" ht="13.8" hidden="false" customHeight="false" outlineLevel="0" collapsed="false">
      <c r="A547" s="8" t="n">
        <v>45188</v>
      </c>
      <c r="B547" s="9" t="n">
        <f aca="false">DAY(A547)</f>
        <v>19</v>
      </c>
      <c r="C547" s="9" t="n">
        <f aca="false">MONTH(A547)</f>
        <v>9</v>
      </c>
      <c r="D547" s="9" t="n">
        <f aca="false">YEAR(A547)</f>
        <v>2023</v>
      </c>
      <c r="E547" s="9" t="n">
        <f aca="false">WEEKDAY(A547,2)</f>
        <v>2</v>
      </c>
      <c r="F547" s="10" t="n">
        <f aca="false">WEEKNUM(A547,2) - WEEKNUM(DATE(YEAR(A547),MONTH(A547),1),2) + 1</f>
        <v>4</v>
      </c>
      <c r="G547" s="10"/>
      <c r="H547" s="11" t="n">
        <v>1578.22</v>
      </c>
      <c r="I547" s="12" t="s">
        <v>15</v>
      </c>
      <c r="J547" s="12" t="s">
        <v>45</v>
      </c>
      <c r="K547" s="12"/>
      <c r="L547" s="9" t="n">
        <f aca="false">L546+H547</f>
        <v>34381.32</v>
      </c>
      <c r="M547" s="10" t="str">
        <f aca="false">VLOOKUP(J547,RECATALOGANDO!A:C,2,0)</f>
        <v>VENTA DE MEDICAMENTO</v>
      </c>
      <c r="N547" s="12" t="str">
        <f aca="false">VLOOKUP(M547,RECATALOGANDO!B:C,2,0)</f>
        <v>VENTA DE PRODUCTO</v>
      </c>
      <c r="O547" s="2" t="s">
        <v>39</v>
      </c>
    </row>
    <row r="548" customFormat="false" ht="13.8" hidden="false" customHeight="false" outlineLevel="0" collapsed="false">
      <c r="A548" s="8" t="n">
        <v>45188</v>
      </c>
      <c r="B548" s="9" t="n">
        <f aca="false">DAY(A548)</f>
        <v>19</v>
      </c>
      <c r="C548" s="9" t="n">
        <f aca="false">MONTH(A548)</f>
        <v>9</v>
      </c>
      <c r="D548" s="9" t="n">
        <f aca="false">YEAR(A548)</f>
        <v>2023</v>
      </c>
      <c r="E548" s="9" t="n">
        <f aca="false">WEEKDAY(A548,2)</f>
        <v>2</v>
      </c>
      <c r="F548" s="10" t="n">
        <f aca="false">WEEKNUM(A548,2) - WEEKNUM(DATE(YEAR(A548),MONTH(A548),1),2) + 1</f>
        <v>4</v>
      </c>
      <c r="G548" s="10"/>
      <c r="H548" s="11" t="n">
        <v>820</v>
      </c>
      <c r="I548" s="12" t="s">
        <v>20</v>
      </c>
      <c r="J548" s="12" t="s">
        <v>44</v>
      </c>
      <c r="K548" s="12"/>
      <c r="L548" s="9" t="n">
        <f aca="false">L547+H548</f>
        <v>35201.32</v>
      </c>
      <c r="M548" s="10" t="str">
        <f aca="false">VLOOKUP(J548,RECATALOGANDO!A:C,2,0)</f>
        <v>HONORARIOS MEDICOS</v>
      </c>
      <c r="N548" s="12" t="str">
        <f aca="false">VLOOKUP(M548,RECATALOGANDO!B:C,2,0)</f>
        <v>VENTA DE SERVICIO</v>
      </c>
      <c r="O548" s="2" t="s">
        <v>39</v>
      </c>
    </row>
    <row r="549" customFormat="false" ht="13.8" hidden="false" customHeight="false" outlineLevel="0" collapsed="false">
      <c r="A549" s="8" t="n">
        <v>45188</v>
      </c>
      <c r="B549" s="9" t="n">
        <f aca="false">DAY(A549)</f>
        <v>19</v>
      </c>
      <c r="C549" s="9" t="n">
        <f aca="false">MONTH(A549)</f>
        <v>9</v>
      </c>
      <c r="D549" s="9" t="n">
        <f aca="false">YEAR(A549)</f>
        <v>2023</v>
      </c>
      <c r="E549" s="9" t="n">
        <f aca="false">WEEKDAY(A549,2)</f>
        <v>2</v>
      </c>
      <c r="F549" s="10" t="n">
        <f aca="false">WEEKNUM(A549,2) - WEEKNUM(DATE(YEAR(A549),MONTH(A549),1),2) + 1</f>
        <v>4</v>
      </c>
      <c r="G549" s="10"/>
      <c r="H549" s="11" t="n">
        <v>1205</v>
      </c>
      <c r="I549" s="12" t="s">
        <v>20</v>
      </c>
      <c r="J549" s="12" t="s">
        <v>44</v>
      </c>
      <c r="K549" s="12"/>
      <c r="L549" s="9" t="n">
        <f aca="false">L548+H549</f>
        <v>36406.32</v>
      </c>
      <c r="M549" s="10" t="str">
        <f aca="false">VLOOKUP(J549,RECATALOGANDO!A:C,2,0)</f>
        <v>HONORARIOS MEDICOS</v>
      </c>
      <c r="N549" s="12" t="str">
        <f aca="false">VLOOKUP(M549,RECATALOGANDO!B:C,2,0)</f>
        <v>VENTA DE SERVICIO</v>
      </c>
      <c r="O549" s="2" t="s">
        <v>39</v>
      </c>
    </row>
    <row r="550" customFormat="false" ht="13.8" hidden="false" customHeight="false" outlineLevel="0" collapsed="false">
      <c r="A550" s="8" t="n">
        <v>45188</v>
      </c>
      <c r="B550" s="9" t="n">
        <f aca="false">DAY(A550)</f>
        <v>19</v>
      </c>
      <c r="C550" s="9" t="n">
        <f aca="false">MONTH(A550)</f>
        <v>9</v>
      </c>
      <c r="D550" s="9" t="n">
        <f aca="false">YEAR(A550)</f>
        <v>2023</v>
      </c>
      <c r="E550" s="9" t="n">
        <f aca="false">WEEKDAY(A550,2)</f>
        <v>2</v>
      </c>
      <c r="F550" s="10" t="n">
        <f aca="false">WEEKNUM(A550,2) - WEEKNUM(DATE(YEAR(A550),MONTH(A550),1),2) + 1</f>
        <v>4</v>
      </c>
      <c r="G550" s="10"/>
      <c r="H550" s="11" t="n">
        <v>2759</v>
      </c>
      <c r="I550" s="12" t="s">
        <v>15</v>
      </c>
      <c r="J550" s="12" t="s">
        <v>44</v>
      </c>
      <c r="K550" s="12"/>
      <c r="L550" s="9" t="n">
        <f aca="false">L549+H550</f>
        <v>39165.32</v>
      </c>
      <c r="M550" s="10" t="str">
        <f aca="false">VLOOKUP(J550,RECATALOGANDO!A:C,2,0)</f>
        <v>HONORARIOS MEDICOS</v>
      </c>
      <c r="N550" s="12" t="str">
        <f aca="false">VLOOKUP(M550,RECATALOGANDO!B:C,2,0)</f>
        <v>VENTA DE SERVICIO</v>
      </c>
      <c r="O550" s="2" t="s">
        <v>39</v>
      </c>
    </row>
    <row r="551" customFormat="false" ht="13.8" hidden="false" customHeight="false" outlineLevel="0" collapsed="false">
      <c r="A551" s="8" t="n">
        <v>45189</v>
      </c>
      <c r="B551" s="9" t="n">
        <f aca="false">DAY(A551)</f>
        <v>20</v>
      </c>
      <c r="C551" s="9" t="n">
        <f aca="false">MONTH(A551)</f>
        <v>9</v>
      </c>
      <c r="D551" s="9" t="n">
        <f aca="false">YEAR(A551)</f>
        <v>2023</v>
      </c>
      <c r="E551" s="9" t="n">
        <f aca="false">WEEKDAY(A551,2)</f>
        <v>3</v>
      </c>
      <c r="F551" s="10" t="n">
        <f aca="false">WEEKNUM(A551,2) - WEEKNUM(DATE(YEAR(A551),MONTH(A551),1),2) + 1</f>
        <v>4</v>
      </c>
      <c r="G551" s="10"/>
      <c r="H551" s="11" t="n">
        <v>290</v>
      </c>
      <c r="I551" s="12" t="s">
        <v>20</v>
      </c>
      <c r="J551" s="12" t="s">
        <v>45</v>
      </c>
      <c r="K551" s="12"/>
      <c r="L551" s="9" t="n">
        <f aca="false">L550+H551</f>
        <v>39455.32</v>
      </c>
      <c r="M551" s="10" t="str">
        <f aca="false">VLOOKUP(J551,RECATALOGANDO!A:C,2,0)</f>
        <v>VENTA DE MEDICAMENTO</v>
      </c>
      <c r="N551" s="12" t="str">
        <f aca="false">VLOOKUP(M551,RECATALOGANDO!B:C,2,0)</f>
        <v>VENTA DE PRODUCTO</v>
      </c>
      <c r="O551" s="2" t="s">
        <v>39</v>
      </c>
    </row>
    <row r="552" customFormat="false" ht="13.8" hidden="false" customHeight="false" outlineLevel="0" collapsed="false">
      <c r="A552" s="8" t="n">
        <v>45189</v>
      </c>
      <c r="B552" s="9" t="n">
        <f aca="false">DAY(A552)</f>
        <v>20</v>
      </c>
      <c r="C552" s="9" t="n">
        <f aca="false">MONTH(A552)</f>
        <v>9</v>
      </c>
      <c r="D552" s="9" t="n">
        <f aca="false">YEAR(A552)</f>
        <v>2023</v>
      </c>
      <c r="E552" s="9" t="n">
        <f aca="false">WEEKDAY(A552,2)</f>
        <v>3</v>
      </c>
      <c r="F552" s="10" t="n">
        <f aca="false">WEEKNUM(A552,2) - WEEKNUM(DATE(YEAR(A552),MONTH(A552),1),2) + 1</f>
        <v>4</v>
      </c>
      <c r="G552" s="10"/>
      <c r="H552" s="11" t="n">
        <v>580</v>
      </c>
      <c r="I552" s="12" t="s">
        <v>15</v>
      </c>
      <c r="J552" s="22" t="s">
        <v>51</v>
      </c>
      <c r="K552" s="12"/>
      <c r="L552" s="9" t="n">
        <f aca="false">L551+H552</f>
        <v>40035.32</v>
      </c>
      <c r="M552" s="10" t="str">
        <f aca="false">VLOOKUP(J552,RECATALOGANDO!A:C,2,0)</f>
        <v>VENTA DE ALIMENTO</v>
      </c>
      <c r="N552" s="12" t="str">
        <f aca="false">VLOOKUP(M552,RECATALOGANDO!B:C,2,0)</f>
        <v>VENTA DE PRODUCTO</v>
      </c>
      <c r="O552" s="2" t="s">
        <v>39</v>
      </c>
    </row>
    <row r="553" customFormat="false" ht="13.8" hidden="false" customHeight="false" outlineLevel="0" collapsed="false">
      <c r="A553" s="8" t="n">
        <v>45189</v>
      </c>
      <c r="B553" s="9" t="n">
        <f aca="false">DAY(A553)</f>
        <v>20</v>
      </c>
      <c r="C553" s="9" t="n">
        <f aca="false">MONTH(A553)</f>
        <v>9</v>
      </c>
      <c r="D553" s="9" t="n">
        <f aca="false">YEAR(A553)</f>
        <v>2023</v>
      </c>
      <c r="E553" s="9" t="n">
        <f aca="false">WEEKDAY(A553,2)</f>
        <v>3</v>
      </c>
      <c r="F553" s="10" t="n">
        <f aca="false">WEEKNUM(A553,2) - WEEKNUM(DATE(YEAR(A553),MONTH(A553),1),2) + 1</f>
        <v>4</v>
      </c>
      <c r="G553" s="10"/>
      <c r="H553" s="11" t="n">
        <v>1902</v>
      </c>
      <c r="I553" s="12" t="s">
        <v>15</v>
      </c>
      <c r="J553" s="12" t="s">
        <v>45</v>
      </c>
      <c r="K553" s="12"/>
      <c r="L553" s="9" t="n">
        <f aca="false">L552+H553</f>
        <v>41937.32</v>
      </c>
      <c r="M553" s="10" t="str">
        <f aca="false">VLOOKUP(J553,RECATALOGANDO!A:C,2,0)</f>
        <v>VENTA DE MEDICAMENTO</v>
      </c>
      <c r="N553" s="12" t="str">
        <f aca="false">VLOOKUP(M553,RECATALOGANDO!B:C,2,0)</f>
        <v>VENTA DE PRODUCTO</v>
      </c>
      <c r="O553" s="2" t="s">
        <v>39</v>
      </c>
    </row>
    <row r="554" customFormat="false" ht="13.8" hidden="false" customHeight="false" outlineLevel="0" collapsed="false">
      <c r="A554" s="8" t="n">
        <v>45189</v>
      </c>
      <c r="B554" s="9" t="n">
        <f aca="false">DAY(A554)</f>
        <v>20</v>
      </c>
      <c r="C554" s="9" t="n">
        <f aca="false">MONTH(A554)</f>
        <v>9</v>
      </c>
      <c r="D554" s="9" t="n">
        <f aca="false">YEAR(A554)</f>
        <v>2023</v>
      </c>
      <c r="E554" s="9" t="n">
        <f aca="false">WEEKDAY(A554,2)</f>
        <v>3</v>
      </c>
      <c r="F554" s="10" t="n">
        <f aca="false">WEEKNUM(A554,2) - WEEKNUM(DATE(YEAR(A554),MONTH(A554),1),2) + 1</f>
        <v>4</v>
      </c>
      <c r="G554" s="10"/>
      <c r="H554" s="11" t="n">
        <v>240</v>
      </c>
      <c r="I554" s="12" t="s">
        <v>15</v>
      </c>
      <c r="J554" s="12" t="s">
        <v>44</v>
      </c>
      <c r="K554" s="12"/>
      <c r="L554" s="9" t="n">
        <f aca="false">L553+H554</f>
        <v>42177.32</v>
      </c>
      <c r="M554" s="10" t="str">
        <f aca="false">VLOOKUP(J554,RECATALOGANDO!A:C,2,0)</f>
        <v>HONORARIOS MEDICOS</v>
      </c>
      <c r="N554" s="12" t="str">
        <f aca="false">VLOOKUP(M554,RECATALOGANDO!B:C,2,0)</f>
        <v>VENTA DE SERVICIO</v>
      </c>
      <c r="O554" s="2" t="s">
        <v>39</v>
      </c>
    </row>
    <row r="555" customFormat="false" ht="13.8" hidden="false" customHeight="false" outlineLevel="0" collapsed="false">
      <c r="A555" s="8" t="n">
        <v>45190</v>
      </c>
      <c r="B555" s="9" t="n">
        <f aca="false">DAY(A555)</f>
        <v>21</v>
      </c>
      <c r="C555" s="9" t="n">
        <f aca="false">MONTH(A555)</f>
        <v>9</v>
      </c>
      <c r="D555" s="9" t="n">
        <f aca="false">YEAR(A555)</f>
        <v>2023</v>
      </c>
      <c r="E555" s="9" t="n">
        <f aca="false">WEEKDAY(A555,2)</f>
        <v>4</v>
      </c>
      <c r="F555" s="10" t="n">
        <f aca="false">WEEKNUM(A555,2) - WEEKNUM(DATE(YEAR(A555),MONTH(A555),1),2) + 1</f>
        <v>4</v>
      </c>
      <c r="G555" s="10"/>
      <c r="H555" s="11" t="n">
        <v>2400</v>
      </c>
      <c r="I555" s="12" t="s">
        <v>20</v>
      </c>
      <c r="J555" s="22" t="s">
        <v>45</v>
      </c>
      <c r="K555" s="12"/>
      <c r="L555" s="9" t="n">
        <f aca="false">L554+H555</f>
        <v>44577.32</v>
      </c>
      <c r="M555" s="10" t="str">
        <f aca="false">VLOOKUP(J555,RECATALOGANDO!A:C,2,0)</f>
        <v>VENTA DE MEDICAMENTO</v>
      </c>
      <c r="N555" s="12" t="str">
        <f aca="false">VLOOKUP(M555,RECATALOGANDO!B:C,2,0)</f>
        <v>VENTA DE PRODUCTO</v>
      </c>
      <c r="O555" s="2" t="s">
        <v>39</v>
      </c>
    </row>
    <row r="556" customFormat="false" ht="13.8" hidden="false" customHeight="false" outlineLevel="0" collapsed="false">
      <c r="A556" s="8" t="n">
        <v>45190</v>
      </c>
      <c r="B556" s="9" t="n">
        <f aca="false">DAY(A556)</f>
        <v>21</v>
      </c>
      <c r="C556" s="9" t="n">
        <f aca="false">MONTH(A556)</f>
        <v>9</v>
      </c>
      <c r="D556" s="9" t="n">
        <f aca="false">YEAR(A556)</f>
        <v>2023</v>
      </c>
      <c r="E556" s="9" t="n">
        <f aca="false">WEEKDAY(A556,2)</f>
        <v>4</v>
      </c>
      <c r="F556" s="10" t="n">
        <f aca="false">WEEKNUM(A556,2) - WEEKNUM(DATE(YEAR(A556),MONTH(A556),1),2) + 1</f>
        <v>4</v>
      </c>
      <c r="G556" s="10"/>
      <c r="H556" s="11" t="n">
        <v>3000</v>
      </c>
      <c r="I556" s="12" t="s">
        <v>20</v>
      </c>
      <c r="J556" s="22" t="s">
        <v>41</v>
      </c>
      <c r="K556" s="12"/>
      <c r="L556" s="9" t="n">
        <f aca="false">L555+H556</f>
        <v>47577.32</v>
      </c>
      <c r="M556" s="10" t="str">
        <f aca="false">VLOOKUP(J556,RECATALOGANDO!A:C,2,0)</f>
        <v>HONORARIOS QUIRURGICOS</v>
      </c>
      <c r="N556" s="12" t="str">
        <f aca="false">VLOOKUP(M556,RECATALOGANDO!B:C,2,0)</f>
        <v>VENTA DE SERVICIO</v>
      </c>
      <c r="O556" s="2" t="s">
        <v>39</v>
      </c>
    </row>
    <row r="557" customFormat="false" ht="13.8" hidden="false" customHeight="false" outlineLevel="0" collapsed="false">
      <c r="A557" s="8" t="n">
        <v>45191</v>
      </c>
      <c r="B557" s="9" t="n">
        <f aca="false">DAY(A557)</f>
        <v>22</v>
      </c>
      <c r="C557" s="9" t="n">
        <f aca="false">MONTH(A557)</f>
        <v>9</v>
      </c>
      <c r="D557" s="9" t="n">
        <f aca="false">YEAR(A557)</f>
        <v>2023</v>
      </c>
      <c r="E557" s="9" t="n">
        <f aca="false">WEEKDAY(A557,2)</f>
        <v>5</v>
      </c>
      <c r="F557" s="10" t="n">
        <f aca="false">WEEKNUM(A557,2) - WEEKNUM(DATE(YEAR(A557),MONTH(A557),1),2) + 1</f>
        <v>4</v>
      </c>
      <c r="G557" s="10"/>
      <c r="H557" s="11" t="n">
        <v>2820</v>
      </c>
      <c r="I557" s="12" t="s">
        <v>20</v>
      </c>
      <c r="J557" s="22" t="s">
        <v>45</v>
      </c>
      <c r="K557" s="12"/>
      <c r="L557" s="9" t="n">
        <f aca="false">L556+H557</f>
        <v>50397.32</v>
      </c>
      <c r="M557" s="10" t="str">
        <f aca="false">VLOOKUP(J557,RECATALOGANDO!A:C,2,0)</f>
        <v>VENTA DE MEDICAMENTO</v>
      </c>
      <c r="N557" s="12" t="str">
        <f aca="false">VLOOKUP(M557,RECATALOGANDO!B:C,2,0)</f>
        <v>VENTA DE PRODUCTO</v>
      </c>
      <c r="O557" s="2" t="s">
        <v>39</v>
      </c>
    </row>
    <row r="558" customFormat="false" ht="13.8" hidden="false" customHeight="false" outlineLevel="0" collapsed="false">
      <c r="A558" s="8" t="n">
        <v>45191</v>
      </c>
      <c r="B558" s="9" t="n">
        <f aca="false">DAY(A558)</f>
        <v>22</v>
      </c>
      <c r="C558" s="9" t="n">
        <f aca="false">MONTH(A558)</f>
        <v>9</v>
      </c>
      <c r="D558" s="9" t="n">
        <f aca="false">YEAR(A558)</f>
        <v>2023</v>
      </c>
      <c r="E558" s="9" t="n">
        <f aca="false">WEEKDAY(A558,2)</f>
        <v>5</v>
      </c>
      <c r="F558" s="10" t="n">
        <f aca="false">WEEKNUM(A558,2) - WEEKNUM(DATE(YEAR(A558),MONTH(A558),1),2) + 1</f>
        <v>4</v>
      </c>
      <c r="G558" s="10"/>
      <c r="H558" s="11" t="n">
        <v>1420</v>
      </c>
      <c r="I558" s="12" t="s">
        <v>20</v>
      </c>
      <c r="J558" s="22" t="s">
        <v>58</v>
      </c>
      <c r="K558" s="12"/>
      <c r="L558" s="9" t="n">
        <f aca="false">L557+H558</f>
        <v>51817.32</v>
      </c>
      <c r="M558" s="10" t="str">
        <f aca="false">VLOOKUP(J558,RECATALOGANDO!A:C,2,0)</f>
        <v>SERVICIO DE LABORATORIO</v>
      </c>
      <c r="N558" s="12" t="str">
        <f aca="false">VLOOKUP(M558,RECATALOGANDO!B:C,2,0)</f>
        <v>VENTA DE SERVICIO</v>
      </c>
      <c r="O558" s="2" t="s">
        <v>39</v>
      </c>
    </row>
    <row r="559" customFormat="false" ht="13.8" hidden="false" customHeight="false" outlineLevel="0" collapsed="false">
      <c r="A559" s="8" t="n">
        <v>45191</v>
      </c>
      <c r="B559" s="9" t="n">
        <f aca="false">DAY(A559)</f>
        <v>22</v>
      </c>
      <c r="C559" s="9" t="n">
        <f aca="false">MONTH(A559)</f>
        <v>9</v>
      </c>
      <c r="D559" s="9" t="n">
        <f aca="false">YEAR(A559)</f>
        <v>2023</v>
      </c>
      <c r="E559" s="9" t="n">
        <f aca="false">WEEKDAY(A559,2)</f>
        <v>5</v>
      </c>
      <c r="F559" s="10" t="n">
        <f aca="false">WEEKNUM(A559,2) - WEEKNUM(DATE(YEAR(A559),MONTH(A559),1),2) + 1</f>
        <v>4</v>
      </c>
      <c r="G559" s="10"/>
      <c r="H559" s="11" t="n">
        <v>5190</v>
      </c>
      <c r="I559" s="12" t="s">
        <v>20</v>
      </c>
      <c r="J559" s="22" t="s">
        <v>41</v>
      </c>
      <c r="K559" s="12"/>
      <c r="L559" s="9" t="n">
        <f aca="false">L558+H559</f>
        <v>57007.32</v>
      </c>
      <c r="M559" s="10" t="str">
        <f aca="false">VLOOKUP(J559,RECATALOGANDO!A:C,2,0)</f>
        <v>HONORARIOS QUIRURGICOS</v>
      </c>
      <c r="N559" s="12" t="str">
        <f aca="false">VLOOKUP(M559,RECATALOGANDO!B:C,2,0)</f>
        <v>VENTA DE SERVICIO</v>
      </c>
      <c r="O559" s="2" t="s">
        <v>39</v>
      </c>
    </row>
    <row r="560" customFormat="false" ht="13.8" hidden="false" customHeight="false" outlineLevel="0" collapsed="false">
      <c r="A560" s="8" t="n">
        <v>45192</v>
      </c>
      <c r="B560" s="9" t="n">
        <f aca="false">DAY(A560)</f>
        <v>23</v>
      </c>
      <c r="C560" s="9" t="n">
        <f aca="false">MONTH(A560)</f>
        <v>9</v>
      </c>
      <c r="D560" s="9" t="n">
        <f aca="false">YEAR(A560)</f>
        <v>2023</v>
      </c>
      <c r="E560" s="9" t="n">
        <f aca="false">WEEKDAY(A560,2)</f>
        <v>6</v>
      </c>
      <c r="F560" s="10" t="n">
        <f aca="false">WEEKNUM(A560,2) - WEEKNUM(DATE(YEAR(A560),MONTH(A560),1),2) + 1</f>
        <v>4</v>
      </c>
      <c r="G560" s="10"/>
      <c r="H560" s="11" t="n">
        <v>575.89</v>
      </c>
      <c r="I560" s="12" t="s">
        <v>15</v>
      </c>
      <c r="J560" s="22" t="s">
        <v>45</v>
      </c>
      <c r="K560" s="12"/>
      <c r="L560" s="9" t="n">
        <f aca="false">L559+H560</f>
        <v>57583.21</v>
      </c>
      <c r="M560" s="10" t="str">
        <f aca="false">VLOOKUP(J560,RECATALOGANDO!A:C,2,0)</f>
        <v>VENTA DE MEDICAMENTO</v>
      </c>
      <c r="N560" s="12" t="str">
        <f aca="false">VLOOKUP(M560,RECATALOGANDO!B:C,2,0)</f>
        <v>VENTA DE PRODUCTO</v>
      </c>
      <c r="O560" s="2" t="s">
        <v>39</v>
      </c>
    </row>
    <row r="561" customFormat="false" ht="13.8" hidden="false" customHeight="false" outlineLevel="0" collapsed="false">
      <c r="A561" s="8" t="n">
        <v>45194</v>
      </c>
      <c r="B561" s="9" t="n">
        <f aca="false">DAY(A561)</f>
        <v>25</v>
      </c>
      <c r="C561" s="9" t="n">
        <f aca="false">MONTH(A561)</f>
        <v>9</v>
      </c>
      <c r="D561" s="9" t="n">
        <f aca="false">YEAR(A561)</f>
        <v>2023</v>
      </c>
      <c r="E561" s="9" t="n">
        <f aca="false">WEEKDAY(A561,2)</f>
        <v>1</v>
      </c>
      <c r="F561" s="10" t="n">
        <f aca="false">WEEKNUM(A561,2) - WEEKNUM(DATE(YEAR(A561),MONTH(A561),1),2) + 1</f>
        <v>5</v>
      </c>
      <c r="G561" s="10"/>
      <c r="H561" s="11" t="n">
        <v>150</v>
      </c>
      <c r="I561" s="12" t="s">
        <v>20</v>
      </c>
      <c r="J561" s="22" t="s">
        <v>45</v>
      </c>
      <c r="K561" s="12"/>
      <c r="L561" s="9" t="n">
        <f aca="false">L560+H561</f>
        <v>57733.21</v>
      </c>
      <c r="M561" s="10" t="str">
        <f aca="false">VLOOKUP(J561,RECATALOGANDO!A:C,2,0)</f>
        <v>VENTA DE MEDICAMENTO</v>
      </c>
      <c r="N561" s="12" t="str">
        <f aca="false">VLOOKUP(M561,RECATALOGANDO!B:C,2,0)</f>
        <v>VENTA DE PRODUCTO</v>
      </c>
      <c r="O561" s="2" t="s">
        <v>39</v>
      </c>
    </row>
    <row r="562" customFormat="false" ht="13.8" hidden="false" customHeight="false" outlineLevel="0" collapsed="false">
      <c r="A562" s="8" t="n">
        <v>45194</v>
      </c>
      <c r="B562" s="9" t="n">
        <f aca="false">DAY(A562)</f>
        <v>25</v>
      </c>
      <c r="C562" s="9" t="n">
        <f aca="false">MONTH(A562)</f>
        <v>9</v>
      </c>
      <c r="D562" s="9" t="n">
        <f aca="false">YEAR(A562)</f>
        <v>2023</v>
      </c>
      <c r="E562" s="9" t="n">
        <f aca="false">WEEKDAY(A562,2)</f>
        <v>1</v>
      </c>
      <c r="F562" s="10" t="n">
        <f aca="false">WEEKNUM(A562,2) - WEEKNUM(DATE(YEAR(A562),MONTH(A562),1),2) + 1</f>
        <v>5</v>
      </c>
      <c r="G562" s="10"/>
      <c r="H562" s="11" t="n">
        <v>663.72</v>
      </c>
      <c r="I562" s="12" t="s">
        <v>15</v>
      </c>
      <c r="J562" s="22" t="s">
        <v>51</v>
      </c>
      <c r="K562" s="12"/>
      <c r="L562" s="9" t="n">
        <f aca="false">L561+H562</f>
        <v>58396.93</v>
      </c>
      <c r="M562" s="10" t="str">
        <f aca="false">VLOOKUP(J562,RECATALOGANDO!A:C,2,0)</f>
        <v>VENTA DE ALIMENTO</v>
      </c>
      <c r="N562" s="12" t="str">
        <f aca="false">VLOOKUP(M562,RECATALOGANDO!B:C,2,0)</f>
        <v>VENTA DE PRODUCTO</v>
      </c>
      <c r="O562" s="2" t="s">
        <v>39</v>
      </c>
    </row>
    <row r="563" customFormat="false" ht="13.8" hidden="false" customHeight="false" outlineLevel="0" collapsed="false">
      <c r="A563" s="8" t="n">
        <v>45194</v>
      </c>
      <c r="B563" s="9" t="n">
        <f aca="false">DAY(A563)</f>
        <v>25</v>
      </c>
      <c r="C563" s="9" t="n">
        <f aca="false">MONTH(A563)</f>
        <v>9</v>
      </c>
      <c r="D563" s="9" t="n">
        <f aca="false">YEAR(A563)</f>
        <v>2023</v>
      </c>
      <c r="E563" s="9" t="n">
        <f aca="false">WEEKDAY(A563,2)</f>
        <v>1</v>
      </c>
      <c r="F563" s="10" t="n">
        <f aca="false">WEEKNUM(A563,2) - WEEKNUM(DATE(YEAR(A563),MONTH(A563),1),2) + 1</f>
        <v>5</v>
      </c>
      <c r="G563" s="10"/>
      <c r="H563" s="11" t="n">
        <v>790</v>
      </c>
      <c r="I563" s="12" t="s">
        <v>20</v>
      </c>
      <c r="J563" s="22" t="s">
        <v>51</v>
      </c>
      <c r="K563" s="12"/>
      <c r="L563" s="9" t="n">
        <f aca="false">L562+H563</f>
        <v>59186.93</v>
      </c>
      <c r="M563" s="10" t="str">
        <f aca="false">VLOOKUP(J563,RECATALOGANDO!A:C,2,0)</f>
        <v>VENTA DE ALIMENTO</v>
      </c>
      <c r="N563" s="12" t="str">
        <f aca="false">VLOOKUP(M563,RECATALOGANDO!B:C,2,0)</f>
        <v>VENTA DE PRODUCTO</v>
      </c>
      <c r="O563" s="2" t="s">
        <v>39</v>
      </c>
    </row>
    <row r="564" customFormat="false" ht="13.8" hidden="false" customHeight="false" outlineLevel="0" collapsed="false">
      <c r="A564" s="8" t="n">
        <v>45194</v>
      </c>
      <c r="B564" s="9" t="n">
        <f aca="false">DAY(A564)</f>
        <v>25</v>
      </c>
      <c r="C564" s="9" t="n">
        <f aca="false">MONTH(A564)</f>
        <v>9</v>
      </c>
      <c r="D564" s="9" t="n">
        <f aca="false">YEAR(A564)</f>
        <v>2023</v>
      </c>
      <c r="E564" s="9" t="n">
        <f aca="false">WEEKDAY(A564,2)</f>
        <v>1</v>
      </c>
      <c r="F564" s="10" t="n">
        <f aca="false">WEEKNUM(A564,2) - WEEKNUM(DATE(YEAR(A564),MONTH(A564),1),2) + 1</f>
        <v>5</v>
      </c>
      <c r="G564" s="10"/>
      <c r="H564" s="11" t="n">
        <v>1065</v>
      </c>
      <c r="I564" s="12" t="s">
        <v>15</v>
      </c>
      <c r="J564" s="22" t="s">
        <v>58</v>
      </c>
      <c r="K564" s="12"/>
      <c r="L564" s="9" t="n">
        <f aca="false">L563+H564</f>
        <v>60251.93</v>
      </c>
      <c r="M564" s="10" t="str">
        <f aca="false">VLOOKUP(J564,RECATALOGANDO!A:C,2,0)</f>
        <v>SERVICIO DE LABORATORIO</v>
      </c>
      <c r="N564" s="12" t="str">
        <f aca="false">VLOOKUP(M564,RECATALOGANDO!B:C,2,0)</f>
        <v>VENTA DE SERVICIO</v>
      </c>
      <c r="O564" s="2" t="s">
        <v>39</v>
      </c>
    </row>
    <row r="565" customFormat="false" ht="13.8" hidden="false" customHeight="false" outlineLevel="0" collapsed="false">
      <c r="A565" s="8" t="n">
        <v>45194</v>
      </c>
      <c r="B565" s="9" t="n">
        <f aca="false">DAY(A565)</f>
        <v>25</v>
      </c>
      <c r="C565" s="9" t="n">
        <f aca="false">MONTH(A565)</f>
        <v>9</v>
      </c>
      <c r="D565" s="9" t="n">
        <f aca="false">YEAR(A565)</f>
        <v>2023</v>
      </c>
      <c r="E565" s="9" t="n">
        <f aca="false">WEEKDAY(A565,2)</f>
        <v>1</v>
      </c>
      <c r="F565" s="10" t="n">
        <f aca="false">WEEKNUM(A565,2) - WEEKNUM(DATE(YEAR(A565),MONTH(A565),1),2) + 1</f>
        <v>5</v>
      </c>
      <c r="G565" s="10"/>
      <c r="H565" s="11" t="n">
        <v>5600</v>
      </c>
      <c r="I565" s="12" t="s">
        <v>20</v>
      </c>
      <c r="J565" s="22" t="s">
        <v>58</v>
      </c>
      <c r="K565" s="12"/>
      <c r="L565" s="9" t="n">
        <f aca="false">L564+H565</f>
        <v>65851.93</v>
      </c>
      <c r="M565" s="10" t="str">
        <f aca="false">VLOOKUP(J565,RECATALOGANDO!A:C,2,0)</f>
        <v>SERVICIO DE LABORATORIO</v>
      </c>
      <c r="N565" s="12" t="str">
        <f aca="false">VLOOKUP(M565,RECATALOGANDO!B:C,2,0)</f>
        <v>VENTA DE SERVICIO</v>
      </c>
      <c r="O565" s="2" t="s">
        <v>39</v>
      </c>
    </row>
    <row r="566" customFormat="false" ht="13.8" hidden="false" customHeight="false" outlineLevel="0" collapsed="false">
      <c r="A566" s="8" t="n">
        <v>45195</v>
      </c>
      <c r="B566" s="9" t="n">
        <f aca="false">DAY(A566)</f>
        <v>26</v>
      </c>
      <c r="C566" s="9" t="n">
        <f aca="false">MONTH(A566)</f>
        <v>9</v>
      </c>
      <c r="D566" s="9" t="n">
        <f aca="false">YEAR(A566)</f>
        <v>2023</v>
      </c>
      <c r="E566" s="9" t="n">
        <f aca="false">WEEKDAY(A566,2)</f>
        <v>2</v>
      </c>
      <c r="F566" s="10" t="n">
        <f aca="false">WEEKNUM(A566,2) - WEEKNUM(DATE(YEAR(A566),MONTH(A566),1),2) + 1</f>
        <v>5</v>
      </c>
      <c r="G566" s="10"/>
      <c r="H566" s="11" t="n">
        <v>980</v>
      </c>
      <c r="I566" s="12" t="s">
        <v>20</v>
      </c>
      <c r="J566" s="12" t="s">
        <v>62</v>
      </c>
      <c r="K566" s="12"/>
      <c r="L566" s="9" t="n">
        <f aca="false">L565+H566</f>
        <v>66831.93</v>
      </c>
      <c r="M566" s="10" t="str">
        <f aca="false">VLOOKUP(J566,RECATALOGANDO!A:C,2,0)</f>
        <v>SERVICIO DE IMAGEN</v>
      </c>
      <c r="N566" s="12" t="str">
        <f aca="false">VLOOKUP(M566,RECATALOGANDO!B:C,2,0)</f>
        <v>VENTA DE SERVICIO</v>
      </c>
      <c r="O566" s="2" t="s">
        <v>39</v>
      </c>
    </row>
    <row r="567" customFormat="false" ht="13.8" hidden="false" customHeight="false" outlineLevel="0" collapsed="false">
      <c r="A567" s="8" t="n">
        <v>45197</v>
      </c>
      <c r="B567" s="9" t="n">
        <f aca="false">DAY(A567)</f>
        <v>28</v>
      </c>
      <c r="C567" s="9" t="n">
        <f aca="false">MONTH(A567)</f>
        <v>9</v>
      </c>
      <c r="D567" s="9" t="n">
        <f aca="false">YEAR(A567)</f>
        <v>2023</v>
      </c>
      <c r="E567" s="9" t="n">
        <f aca="false">WEEKDAY(A567,2)</f>
        <v>4</v>
      </c>
      <c r="F567" s="10" t="n">
        <f aca="false">WEEKNUM(A567,2) - WEEKNUM(DATE(YEAR(A567),MONTH(A567),1),2) + 1</f>
        <v>5</v>
      </c>
      <c r="G567" s="10"/>
      <c r="H567" s="11" t="n">
        <v>120</v>
      </c>
      <c r="I567" s="12" t="s">
        <v>20</v>
      </c>
      <c r="J567" s="22" t="s">
        <v>45</v>
      </c>
      <c r="K567" s="12"/>
      <c r="L567" s="9" t="n">
        <f aca="false">L566+H567</f>
        <v>66951.93</v>
      </c>
      <c r="M567" s="10" t="str">
        <f aca="false">VLOOKUP(J567,RECATALOGANDO!A:C,2,0)</f>
        <v>VENTA DE MEDICAMENTO</v>
      </c>
      <c r="N567" s="12" t="str">
        <f aca="false">VLOOKUP(M567,RECATALOGANDO!B:C,2,0)</f>
        <v>VENTA DE PRODUCTO</v>
      </c>
      <c r="O567" s="2" t="s">
        <v>39</v>
      </c>
    </row>
    <row r="568" customFormat="false" ht="13.8" hidden="false" customHeight="false" outlineLevel="0" collapsed="false">
      <c r="A568" s="8" t="n">
        <v>45198</v>
      </c>
      <c r="B568" s="9" t="n">
        <f aca="false">DAY(A568)</f>
        <v>29</v>
      </c>
      <c r="C568" s="9" t="n">
        <f aca="false">MONTH(A568)</f>
        <v>9</v>
      </c>
      <c r="D568" s="9" t="n">
        <f aca="false">YEAR(A568)</f>
        <v>2023</v>
      </c>
      <c r="E568" s="9" t="n">
        <f aca="false">WEEKDAY(A568,2)</f>
        <v>5</v>
      </c>
      <c r="F568" s="10" t="n">
        <f aca="false">WEEKNUM(A568,2) - WEEKNUM(DATE(YEAR(A568),MONTH(A568),1),2) + 1</f>
        <v>5</v>
      </c>
      <c r="G568" s="10" t="n">
        <v>2</v>
      </c>
      <c r="H568" s="11" t="n">
        <v>360</v>
      </c>
      <c r="I568" s="12" t="s">
        <v>20</v>
      </c>
      <c r="J568" s="22" t="s">
        <v>53</v>
      </c>
      <c r="K568" s="12"/>
      <c r="L568" s="9" t="n">
        <f aca="false">L567+H568</f>
        <v>67311.93</v>
      </c>
      <c r="M568" s="10" t="str">
        <f aca="false">VLOOKUP(J568,RECATALOGANDO!A:C,2,0)</f>
        <v>SERVICIO DE GROOMING</v>
      </c>
      <c r="N568" s="12" t="str">
        <f aca="false">VLOOKUP(M568,RECATALOGANDO!B:C,2,0)</f>
        <v>VENTA DE SERVICIO</v>
      </c>
      <c r="O568" s="2" t="s">
        <v>39</v>
      </c>
    </row>
    <row r="569" customFormat="false" ht="13.8" hidden="false" customHeight="false" outlineLevel="0" collapsed="false">
      <c r="A569" s="8" t="n">
        <v>45198</v>
      </c>
      <c r="B569" s="9" t="n">
        <f aca="false">DAY(A569)</f>
        <v>29</v>
      </c>
      <c r="C569" s="9" t="n">
        <f aca="false">MONTH(A569)</f>
        <v>9</v>
      </c>
      <c r="D569" s="9" t="n">
        <f aca="false">YEAR(A569)</f>
        <v>2023</v>
      </c>
      <c r="E569" s="9" t="n">
        <f aca="false">WEEKDAY(A569,2)</f>
        <v>5</v>
      </c>
      <c r="F569" s="10" t="n">
        <f aca="false">WEEKNUM(A569,2) - WEEKNUM(DATE(YEAR(A569),MONTH(A569),1),2) + 1</f>
        <v>5</v>
      </c>
      <c r="G569" s="10" t="n">
        <v>2</v>
      </c>
      <c r="H569" s="11" t="n">
        <v>3028.99</v>
      </c>
      <c r="I569" s="12" t="s">
        <v>15</v>
      </c>
      <c r="J569" s="22" t="s">
        <v>58</v>
      </c>
      <c r="K569" s="12"/>
      <c r="L569" s="9" t="n">
        <f aca="false">L568+H569</f>
        <v>70340.92</v>
      </c>
      <c r="M569" s="10" t="str">
        <f aca="false">VLOOKUP(J569,RECATALOGANDO!A:C,2,0)</f>
        <v>SERVICIO DE LABORATORIO</v>
      </c>
      <c r="N569" s="12" t="str">
        <f aca="false">VLOOKUP(M569,RECATALOGANDO!B:C,2,0)</f>
        <v>VENTA DE SERVICIO</v>
      </c>
      <c r="O569" s="2" t="s">
        <v>39</v>
      </c>
    </row>
    <row r="570" customFormat="false" ht="13.8" hidden="false" customHeight="false" outlineLevel="0" collapsed="false">
      <c r="A570" s="8" t="n">
        <v>45199</v>
      </c>
      <c r="B570" s="9" t="n">
        <f aca="false">DAY(A570)</f>
        <v>30</v>
      </c>
      <c r="C570" s="9" t="n">
        <f aca="false">MONTH(A570)</f>
        <v>9</v>
      </c>
      <c r="D570" s="9" t="n">
        <f aca="false">YEAR(A570)</f>
        <v>2023</v>
      </c>
      <c r="E570" s="9" t="n">
        <f aca="false">WEEKDAY(A570,2)</f>
        <v>6</v>
      </c>
      <c r="F570" s="10" t="n">
        <f aca="false">WEEKNUM(A570,2) - WEEKNUM(DATE(YEAR(A570),MONTH(A570),1),2) + 1</f>
        <v>5</v>
      </c>
      <c r="G570" s="10"/>
      <c r="H570" s="11" t="n">
        <v>1000</v>
      </c>
      <c r="I570" s="12" t="s">
        <v>15</v>
      </c>
      <c r="J570" s="22" t="s">
        <v>59</v>
      </c>
      <c r="K570" s="12"/>
      <c r="L570" s="9" t="n">
        <f aca="false">L569+H570</f>
        <v>71340.92</v>
      </c>
      <c r="M570" s="10" t="str">
        <f aca="false">VLOOKUP(J570,RECATALOGANDO!A:C,2,0)</f>
        <v>SERVICIO DE PENSION</v>
      </c>
      <c r="N570" s="12" t="str">
        <f aca="false">VLOOKUP(M570,RECATALOGANDO!B:C,2,0)</f>
        <v>VENTA DE SERVICIO</v>
      </c>
      <c r="O570" s="2" t="s">
        <v>39</v>
      </c>
    </row>
    <row r="571" customFormat="false" ht="13.8" hidden="false" customHeight="false" outlineLevel="0" collapsed="false">
      <c r="A571" s="8" t="n">
        <v>45200</v>
      </c>
      <c r="B571" s="9" t="n">
        <f aca="false">DAY(A571)</f>
        <v>1</v>
      </c>
      <c r="C571" s="9" t="n">
        <f aca="false">MONTH(A571)</f>
        <v>10</v>
      </c>
      <c r="D571" s="9" t="n">
        <f aca="false">YEAR(A571)</f>
        <v>2023</v>
      </c>
      <c r="E571" s="9" t="n">
        <f aca="false">WEEKDAY(A571,2)</f>
        <v>7</v>
      </c>
      <c r="F571" s="10" t="n">
        <f aca="false">WEEKNUM(A571,2) - WEEKNUM(DATE(YEAR(A571),MONTH(A571),1),2) + 1</f>
        <v>1</v>
      </c>
      <c r="G571" s="10"/>
      <c r="H571" s="11" t="n">
        <v>1592</v>
      </c>
      <c r="I571" s="12" t="s">
        <v>15</v>
      </c>
      <c r="J571" s="22" t="s">
        <v>58</v>
      </c>
      <c r="K571" s="12"/>
      <c r="L571" s="9" t="n">
        <f aca="false">H571</f>
        <v>1592</v>
      </c>
      <c r="M571" s="10" t="str">
        <f aca="false">VLOOKUP(J571,RECATALOGANDO!A:C,2,0)</f>
        <v>SERVICIO DE LABORATORIO</v>
      </c>
      <c r="N571" s="12" t="str">
        <f aca="false">VLOOKUP(M571,RECATALOGANDO!B:C,2,0)</f>
        <v>VENTA DE SERVICIO</v>
      </c>
      <c r="O571" s="2" t="s">
        <v>39</v>
      </c>
    </row>
    <row r="572" customFormat="false" ht="13.8" hidden="false" customHeight="false" outlineLevel="0" collapsed="false">
      <c r="A572" s="8" t="n">
        <v>45201</v>
      </c>
      <c r="B572" s="9" t="n">
        <f aca="false">DAY(A572)</f>
        <v>2</v>
      </c>
      <c r="C572" s="9" t="n">
        <f aca="false">MONTH(A572)</f>
        <v>10</v>
      </c>
      <c r="D572" s="9" t="n">
        <f aca="false">YEAR(A572)</f>
        <v>2023</v>
      </c>
      <c r="E572" s="9" t="n">
        <f aca="false">WEEKDAY(A572,2)</f>
        <v>1</v>
      </c>
      <c r="F572" s="10" t="n">
        <f aca="false">WEEKNUM(A572,2) - WEEKNUM(DATE(YEAR(A572),MONTH(A572),1),2) + 1</f>
        <v>2</v>
      </c>
      <c r="G572" s="10"/>
      <c r="H572" s="11" t="n">
        <v>640</v>
      </c>
      <c r="I572" s="12" t="s">
        <v>20</v>
      </c>
      <c r="J572" s="22" t="s">
        <v>45</v>
      </c>
      <c r="K572" s="12"/>
      <c r="L572" s="9" t="n">
        <f aca="false">L571+H572</f>
        <v>2232</v>
      </c>
      <c r="M572" s="10" t="str">
        <f aca="false">VLOOKUP(J572,RECATALOGANDO!A:C,2,0)</f>
        <v>VENTA DE MEDICAMENTO</v>
      </c>
      <c r="N572" s="12" t="str">
        <f aca="false">VLOOKUP(M572,RECATALOGANDO!B:C,2,0)</f>
        <v>VENTA DE PRODUCTO</v>
      </c>
      <c r="O572" s="2" t="s">
        <v>39</v>
      </c>
    </row>
    <row r="573" customFormat="false" ht="13.8" hidden="false" customHeight="false" outlineLevel="0" collapsed="false">
      <c r="A573" s="8" t="n">
        <v>45201</v>
      </c>
      <c r="B573" s="9" t="n">
        <f aca="false">DAY(A573)</f>
        <v>2</v>
      </c>
      <c r="C573" s="9" t="n">
        <f aca="false">MONTH(A573)</f>
        <v>10</v>
      </c>
      <c r="D573" s="9" t="n">
        <f aca="false">YEAR(A573)</f>
        <v>2023</v>
      </c>
      <c r="E573" s="9" t="n">
        <f aca="false">WEEKDAY(A573,2)</f>
        <v>1</v>
      </c>
      <c r="F573" s="10" t="n">
        <f aca="false">WEEKNUM(A573,2) - WEEKNUM(DATE(YEAR(A573),MONTH(A573),1),2) + 1</f>
        <v>2</v>
      </c>
      <c r="G573" s="10"/>
      <c r="H573" s="11" t="n">
        <v>1400</v>
      </c>
      <c r="I573" s="12" t="s">
        <v>20</v>
      </c>
      <c r="J573" s="22" t="s">
        <v>58</v>
      </c>
      <c r="K573" s="12"/>
      <c r="L573" s="9" t="n">
        <f aca="false">L572+H573</f>
        <v>3632</v>
      </c>
      <c r="M573" s="10" t="str">
        <f aca="false">VLOOKUP(J573,RECATALOGANDO!A:C,2,0)</f>
        <v>SERVICIO DE LABORATORIO</v>
      </c>
      <c r="N573" s="12" t="str">
        <f aca="false">VLOOKUP(M573,RECATALOGANDO!B:C,2,0)</f>
        <v>VENTA DE SERVICIO</v>
      </c>
      <c r="O573" s="2" t="s">
        <v>39</v>
      </c>
    </row>
    <row r="574" customFormat="false" ht="13.8" hidden="false" customHeight="false" outlineLevel="0" collapsed="false">
      <c r="A574" s="8" t="n">
        <v>45202</v>
      </c>
      <c r="B574" s="9" t="n">
        <f aca="false">DAY(A574)</f>
        <v>3</v>
      </c>
      <c r="C574" s="9" t="n">
        <f aca="false">MONTH(A574)</f>
        <v>10</v>
      </c>
      <c r="D574" s="9" t="n">
        <f aca="false">YEAR(A574)</f>
        <v>2023</v>
      </c>
      <c r="E574" s="9" t="n">
        <f aca="false">WEEKDAY(A574,2)</f>
        <v>2</v>
      </c>
      <c r="F574" s="10" t="n">
        <f aca="false">WEEKNUM(A574,2) - WEEKNUM(DATE(YEAR(A574),MONTH(A574),1),2) + 1</f>
        <v>2</v>
      </c>
      <c r="G574" s="10"/>
      <c r="H574" s="11" t="n">
        <v>1530</v>
      </c>
      <c r="I574" s="12" t="s">
        <v>20</v>
      </c>
      <c r="J574" s="22" t="s">
        <v>51</v>
      </c>
      <c r="K574" s="12"/>
      <c r="L574" s="9" t="n">
        <f aca="false">L573+H574</f>
        <v>5162</v>
      </c>
      <c r="M574" s="10" t="str">
        <f aca="false">VLOOKUP(J574,RECATALOGANDO!A:C,2,0)</f>
        <v>VENTA DE ALIMENTO</v>
      </c>
      <c r="N574" s="12" t="str">
        <f aca="false">VLOOKUP(M574,RECATALOGANDO!B:C,2,0)</f>
        <v>VENTA DE PRODUCTO</v>
      </c>
      <c r="O574" s="2" t="s">
        <v>39</v>
      </c>
    </row>
    <row r="575" customFormat="false" ht="13.8" hidden="false" customHeight="false" outlineLevel="0" collapsed="false">
      <c r="A575" s="8" t="n">
        <v>45202</v>
      </c>
      <c r="B575" s="9" t="n">
        <f aca="false">DAY(A575)</f>
        <v>3</v>
      </c>
      <c r="C575" s="9" t="n">
        <f aca="false">MONTH(A575)</f>
        <v>10</v>
      </c>
      <c r="D575" s="9" t="n">
        <f aca="false">YEAR(A575)</f>
        <v>2023</v>
      </c>
      <c r="E575" s="9" t="n">
        <f aca="false">WEEKDAY(A575,2)</f>
        <v>2</v>
      </c>
      <c r="F575" s="10" t="n">
        <f aca="false">WEEKNUM(A575,2) - WEEKNUM(DATE(YEAR(A575),MONTH(A575),1),2) + 1</f>
        <v>2</v>
      </c>
      <c r="G575" s="10"/>
      <c r="H575" s="11" t="n">
        <v>1046</v>
      </c>
      <c r="I575" s="12" t="s">
        <v>15</v>
      </c>
      <c r="J575" s="22" t="s">
        <v>44</v>
      </c>
      <c r="K575" s="12"/>
      <c r="L575" s="9" t="n">
        <f aca="false">L574+H575</f>
        <v>6208</v>
      </c>
      <c r="M575" s="10" t="str">
        <f aca="false">VLOOKUP(J575,RECATALOGANDO!A:C,2,0)</f>
        <v>HONORARIOS MEDICOS</v>
      </c>
      <c r="N575" s="12" t="str">
        <f aca="false">VLOOKUP(M575,RECATALOGANDO!B:C,2,0)</f>
        <v>VENTA DE SERVICIO</v>
      </c>
      <c r="O575" s="2" t="s">
        <v>39</v>
      </c>
    </row>
    <row r="576" customFormat="false" ht="13.8" hidden="false" customHeight="false" outlineLevel="0" collapsed="false">
      <c r="A576" s="8" t="n">
        <v>45203</v>
      </c>
      <c r="B576" s="9" t="n">
        <f aca="false">DAY(A576)</f>
        <v>4</v>
      </c>
      <c r="C576" s="9" t="n">
        <f aca="false">MONTH(A576)</f>
        <v>10</v>
      </c>
      <c r="D576" s="9" t="n">
        <f aca="false">YEAR(A576)</f>
        <v>2023</v>
      </c>
      <c r="E576" s="9" t="n">
        <f aca="false">WEEKDAY(A576,2)</f>
        <v>3</v>
      </c>
      <c r="F576" s="10" t="n">
        <f aca="false">WEEKNUM(A576,2) - WEEKNUM(DATE(YEAR(A576),MONTH(A576),1),2) + 1</f>
        <v>2</v>
      </c>
      <c r="G576" s="10"/>
      <c r="H576" s="11" t="n">
        <v>350</v>
      </c>
      <c r="I576" s="12" t="s">
        <v>20</v>
      </c>
      <c r="J576" s="22" t="s">
        <v>45</v>
      </c>
      <c r="K576" s="12"/>
      <c r="L576" s="9" t="n">
        <f aca="false">L575+H576</f>
        <v>6558</v>
      </c>
      <c r="M576" s="10" t="str">
        <f aca="false">VLOOKUP(J576,RECATALOGANDO!A:C,2,0)</f>
        <v>VENTA DE MEDICAMENTO</v>
      </c>
      <c r="N576" s="12" t="str">
        <f aca="false">VLOOKUP(M576,RECATALOGANDO!B:C,2,0)</f>
        <v>VENTA DE PRODUCTO</v>
      </c>
      <c r="O576" s="2" t="s">
        <v>39</v>
      </c>
    </row>
    <row r="577" customFormat="false" ht="13.8" hidden="false" customHeight="false" outlineLevel="0" collapsed="false">
      <c r="A577" s="8" t="n">
        <v>45203</v>
      </c>
      <c r="B577" s="9" t="n">
        <f aca="false">DAY(A577)</f>
        <v>4</v>
      </c>
      <c r="C577" s="9" t="n">
        <f aca="false">MONTH(A577)</f>
        <v>10</v>
      </c>
      <c r="D577" s="9" t="n">
        <f aca="false">YEAR(A577)</f>
        <v>2023</v>
      </c>
      <c r="E577" s="9" t="n">
        <f aca="false">WEEKDAY(A577,2)</f>
        <v>3</v>
      </c>
      <c r="F577" s="10" t="n">
        <f aca="false">WEEKNUM(A577,2) - WEEKNUM(DATE(YEAR(A577),MONTH(A577),1),2) + 1</f>
        <v>2</v>
      </c>
      <c r="G577" s="10"/>
      <c r="H577" s="11" t="n">
        <v>730</v>
      </c>
      <c r="I577" s="12" t="s">
        <v>20</v>
      </c>
      <c r="J577" s="22" t="s">
        <v>51</v>
      </c>
      <c r="K577" s="12"/>
      <c r="L577" s="9" t="n">
        <f aca="false">L576+H577</f>
        <v>7288</v>
      </c>
      <c r="M577" s="10" t="str">
        <f aca="false">VLOOKUP(J577,RECATALOGANDO!A:C,2,0)</f>
        <v>VENTA DE ALIMENTO</v>
      </c>
      <c r="N577" s="12" t="str">
        <f aca="false">VLOOKUP(M577,RECATALOGANDO!B:C,2,0)</f>
        <v>VENTA DE PRODUCTO</v>
      </c>
      <c r="O577" s="2" t="s">
        <v>39</v>
      </c>
    </row>
    <row r="578" customFormat="false" ht="13.8" hidden="false" customHeight="false" outlineLevel="0" collapsed="false">
      <c r="A578" s="8" t="n">
        <v>45204</v>
      </c>
      <c r="B578" s="9" t="n">
        <f aca="false">DAY(A578)</f>
        <v>5</v>
      </c>
      <c r="C578" s="9" t="n">
        <f aca="false">MONTH(A578)</f>
        <v>10</v>
      </c>
      <c r="D578" s="9" t="n">
        <f aca="false">YEAR(A578)</f>
        <v>2023</v>
      </c>
      <c r="E578" s="9" t="n">
        <f aca="false">WEEKDAY(A578,2)</f>
        <v>4</v>
      </c>
      <c r="F578" s="10" t="n">
        <f aca="false">WEEKNUM(A578,2) - WEEKNUM(DATE(YEAR(A578),MONTH(A578),1),2) + 1</f>
        <v>2</v>
      </c>
      <c r="G578" s="10"/>
      <c r="H578" s="11" t="n">
        <v>1077</v>
      </c>
      <c r="I578" s="12" t="s">
        <v>20</v>
      </c>
      <c r="J578" s="22" t="s">
        <v>45</v>
      </c>
      <c r="K578" s="12"/>
      <c r="L578" s="9" t="n">
        <f aca="false">L577+H578</f>
        <v>8365</v>
      </c>
      <c r="M578" s="10" t="str">
        <f aca="false">VLOOKUP(J578,RECATALOGANDO!A:C,2,0)</f>
        <v>VENTA DE MEDICAMENTO</v>
      </c>
      <c r="N578" s="12" t="str">
        <f aca="false">VLOOKUP(M578,RECATALOGANDO!B:C,2,0)</f>
        <v>VENTA DE PRODUCTO</v>
      </c>
      <c r="O578" s="2" t="s">
        <v>39</v>
      </c>
    </row>
    <row r="579" customFormat="false" ht="13.8" hidden="false" customHeight="false" outlineLevel="0" collapsed="false">
      <c r="A579" s="8" t="n">
        <v>45205</v>
      </c>
      <c r="B579" s="9" t="n">
        <f aca="false">DAY(A579)</f>
        <v>6</v>
      </c>
      <c r="C579" s="9" t="n">
        <f aca="false">MONTH(A579)</f>
        <v>10</v>
      </c>
      <c r="D579" s="9" t="n">
        <f aca="false">YEAR(A579)</f>
        <v>2023</v>
      </c>
      <c r="E579" s="9" t="n">
        <f aca="false">WEEKDAY(A579,2)</f>
        <v>5</v>
      </c>
      <c r="F579" s="10" t="n">
        <f aca="false">WEEKNUM(A579,2) - WEEKNUM(DATE(YEAR(A579),MONTH(A579),1),2) + 1</f>
        <v>2</v>
      </c>
      <c r="G579" s="10"/>
      <c r="H579" s="11" t="n">
        <v>300</v>
      </c>
      <c r="I579" s="12" t="s">
        <v>20</v>
      </c>
      <c r="J579" s="12" t="s">
        <v>59</v>
      </c>
      <c r="K579" s="12"/>
      <c r="L579" s="9" t="n">
        <f aca="false">L578+H579</f>
        <v>8665</v>
      </c>
      <c r="M579" s="10" t="str">
        <f aca="false">VLOOKUP(J579,RECATALOGANDO!A:C,2,0)</f>
        <v>SERVICIO DE PENSION</v>
      </c>
      <c r="N579" s="12" t="str">
        <f aca="false">VLOOKUP(M579,RECATALOGANDO!B:C,2,0)</f>
        <v>VENTA DE SERVICIO</v>
      </c>
      <c r="O579" s="2" t="s">
        <v>39</v>
      </c>
    </row>
    <row r="580" customFormat="false" ht="13.8" hidden="false" customHeight="false" outlineLevel="0" collapsed="false">
      <c r="A580" s="8" t="n">
        <v>45206</v>
      </c>
      <c r="B580" s="9" t="n">
        <f aca="false">DAY(A580)</f>
        <v>7</v>
      </c>
      <c r="C580" s="9" t="n">
        <f aca="false">MONTH(A580)</f>
        <v>10</v>
      </c>
      <c r="D580" s="9" t="n">
        <f aca="false">YEAR(A580)</f>
        <v>2023</v>
      </c>
      <c r="E580" s="9" t="n">
        <f aca="false">WEEKDAY(A580,2)</f>
        <v>6</v>
      </c>
      <c r="F580" s="10" t="n">
        <f aca="false">WEEKNUM(A580,2) - WEEKNUM(DATE(YEAR(A580),MONTH(A580),1),2) + 1</f>
        <v>2</v>
      </c>
      <c r="G580" s="10"/>
      <c r="H580" s="11" t="n">
        <v>684</v>
      </c>
      <c r="I580" s="12" t="s">
        <v>15</v>
      </c>
      <c r="J580" s="22" t="s">
        <v>45</v>
      </c>
      <c r="K580" s="12"/>
      <c r="L580" s="9" t="n">
        <f aca="false">L579+H580</f>
        <v>9349</v>
      </c>
      <c r="M580" s="10" t="str">
        <f aca="false">VLOOKUP(J580,RECATALOGANDO!A:C,2,0)</f>
        <v>VENTA DE MEDICAMENTO</v>
      </c>
      <c r="N580" s="12" t="str">
        <f aca="false">VLOOKUP(M580,RECATALOGANDO!B:C,2,0)</f>
        <v>VENTA DE PRODUCTO</v>
      </c>
      <c r="O580" s="2" t="s">
        <v>39</v>
      </c>
    </row>
    <row r="581" customFormat="false" ht="13.8" hidden="false" customHeight="false" outlineLevel="0" collapsed="false">
      <c r="A581" s="8" t="n">
        <v>45207</v>
      </c>
      <c r="B581" s="9" t="n">
        <f aca="false">DAY(A581)</f>
        <v>8</v>
      </c>
      <c r="C581" s="9" t="n">
        <f aca="false">MONTH(A581)</f>
        <v>10</v>
      </c>
      <c r="D581" s="9" t="n">
        <f aca="false">YEAR(A581)</f>
        <v>2023</v>
      </c>
      <c r="E581" s="9" t="n">
        <f aca="false">WEEKDAY(A581,2)</f>
        <v>7</v>
      </c>
      <c r="F581" s="10" t="n">
        <f aca="false">WEEKNUM(A581,2) - WEEKNUM(DATE(YEAR(A581),MONTH(A581),1),2) + 1</f>
        <v>2</v>
      </c>
      <c r="G581" s="10"/>
      <c r="H581" s="11" t="n">
        <v>780</v>
      </c>
      <c r="I581" s="12" t="s">
        <v>15</v>
      </c>
      <c r="J581" s="22" t="s">
        <v>51</v>
      </c>
      <c r="K581" s="12"/>
      <c r="L581" s="9" t="n">
        <f aca="false">L580+H581</f>
        <v>10129</v>
      </c>
      <c r="M581" s="10" t="str">
        <f aca="false">VLOOKUP(J581,RECATALOGANDO!A:C,2,0)</f>
        <v>VENTA DE ALIMENTO</v>
      </c>
      <c r="N581" s="12" t="str">
        <f aca="false">VLOOKUP(M581,RECATALOGANDO!B:C,2,0)</f>
        <v>VENTA DE PRODUCTO</v>
      </c>
      <c r="O581" s="2" t="s">
        <v>39</v>
      </c>
    </row>
    <row r="582" customFormat="false" ht="13.8" hidden="false" customHeight="false" outlineLevel="0" collapsed="false">
      <c r="A582" s="8" t="n">
        <v>45208</v>
      </c>
      <c r="B582" s="9" t="n">
        <f aca="false">DAY(A582)</f>
        <v>9</v>
      </c>
      <c r="C582" s="9" t="n">
        <f aca="false">MONTH(A582)</f>
        <v>10</v>
      </c>
      <c r="D582" s="9" t="n">
        <f aca="false">YEAR(A582)</f>
        <v>2023</v>
      </c>
      <c r="E582" s="9" t="n">
        <f aca="false">WEEKDAY(A582,2)</f>
        <v>1</v>
      </c>
      <c r="F582" s="10" t="n">
        <f aca="false">WEEKNUM(A582,2) - WEEKNUM(DATE(YEAR(A582),MONTH(A582),1),2) + 1</f>
        <v>3</v>
      </c>
      <c r="G582" s="10"/>
      <c r="H582" s="11" t="n">
        <v>2880</v>
      </c>
      <c r="I582" s="12" t="s">
        <v>20</v>
      </c>
      <c r="J582" s="22" t="s">
        <v>45</v>
      </c>
      <c r="K582" s="12"/>
      <c r="L582" s="9" t="n">
        <f aca="false">L581+H582</f>
        <v>13009</v>
      </c>
      <c r="M582" s="10" t="str">
        <f aca="false">VLOOKUP(J582,RECATALOGANDO!A:C,2,0)</f>
        <v>VENTA DE MEDICAMENTO</v>
      </c>
      <c r="N582" s="12" t="str">
        <f aca="false">VLOOKUP(M582,RECATALOGANDO!B:C,2,0)</f>
        <v>VENTA DE PRODUCTO</v>
      </c>
      <c r="O582" s="2" t="s">
        <v>39</v>
      </c>
    </row>
    <row r="583" customFormat="false" ht="13.8" hidden="false" customHeight="false" outlineLevel="0" collapsed="false">
      <c r="A583" s="8" t="n">
        <v>45209</v>
      </c>
      <c r="B583" s="9" t="n">
        <f aca="false">DAY(A583)</f>
        <v>10</v>
      </c>
      <c r="C583" s="9" t="n">
        <f aca="false">MONTH(A583)</f>
        <v>10</v>
      </c>
      <c r="D583" s="9" t="n">
        <f aca="false">YEAR(A583)</f>
        <v>2023</v>
      </c>
      <c r="E583" s="9" t="n">
        <f aca="false">WEEKDAY(A583,2)</f>
        <v>2</v>
      </c>
      <c r="F583" s="10" t="n">
        <f aca="false">WEEKNUM(A583,2) - WEEKNUM(DATE(YEAR(A583),MONTH(A583),1),2) + 1</f>
        <v>3</v>
      </c>
      <c r="G583" s="10"/>
      <c r="H583" s="11" t="n">
        <v>1179.59</v>
      </c>
      <c r="I583" s="12" t="s">
        <v>15</v>
      </c>
      <c r="J583" s="12" t="s">
        <v>53</v>
      </c>
      <c r="K583" s="12"/>
      <c r="L583" s="9" t="n">
        <f aca="false">L582+H583</f>
        <v>14188.59</v>
      </c>
      <c r="M583" s="10" t="str">
        <f aca="false">VLOOKUP(J583,RECATALOGANDO!A:C,2,0)</f>
        <v>SERVICIO DE GROOMING</v>
      </c>
      <c r="N583" s="12" t="str">
        <f aca="false">VLOOKUP(M583,RECATALOGANDO!B:C,2,0)</f>
        <v>VENTA DE SERVICIO</v>
      </c>
      <c r="O583" s="2" t="s">
        <v>39</v>
      </c>
    </row>
    <row r="584" customFormat="false" ht="13.8" hidden="false" customHeight="false" outlineLevel="0" collapsed="false">
      <c r="A584" s="8" t="n">
        <v>45209</v>
      </c>
      <c r="B584" s="9" t="n">
        <f aca="false">DAY(A584)</f>
        <v>10</v>
      </c>
      <c r="C584" s="9" t="n">
        <f aca="false">MONTH(A584)</f>
        <v>10</v>
      </c>
      <c r="D584" s="9" t="n">
        <f aca="false">YEAR(A584)</f>
        <v>2023</v>
      </c>
      <c r="E584" s="9" t="n">
        <f aca="false">WEEKDAY(A584,2)</f>
        <v>2</v>
      </c>
      <c r="F584" s="10" t="n">
        <f aca="false">WEEKNUM(A584,2) - WEEKNUM(DATE(YEAR(A584),MONTH(A584),1),2) + 1</f>
        <v>3</v>
      </c>
      <c r="G584" s="10"/>
      <c r="H584" s="11" t="n">
        <v>7000</v>
      </c>
      <c r="I584" s="12" t="s">
        <v>20</v>
      </c>
      <c r="J584" s="22" t="s">
        <v>41</v>
      </c>
      <c r="K584" s="12"/>
      <c r="L584" s="9" t="n">
        <f aca="false">L583+H584</f>
        <v>21188.59</v>
      </c>
      <c r="M584" s="10" t="str">
        <f aca="false">VLOOKUP(J584,RECATALOGANDO!A:C,2,0)</f>
        <v>HONORARIOS QUIRURGICOS</v>
      </c>
      <c r="N584" s="12" t="str">
        <f aca="false">VLOOKUP(M584,RECATALOGANDO!B:C,2,0)</f>
        <v>VENTA DE SERVICIO</v>
      </c>
      <c r="O584" s="2" t="s">
        <v>39</v>
      </c>
    </row>
    <row r="585" customFormat="false" ht="13.8" hidden="false" customHeight="false" outlineLevel="0" collapsed="false">
      <c r="A585" s="8" t="n">
        <v>45210</v>
      </c>
      <c r="B585" s="9" t="n">
        <f aca="false">DAY(A585)</f>
        <v>11</v>
      </c>
      <c r="C585" s="9" t="n">
        <f aca="false">MONTH(A585)</f>
        <v>10</v>
      </c>
      <c r="D585" s="9" t="n">
        <f aca="false">YEAR(A585)</f>
        <v>2023</v>
      </c>
      <c r="E585" s="9" t="n">
        <f aca="false">WEEKDAY(A585,2)</f>
        <v>3</v>
      </c>
      <c r="F585" s="10" t="n">
        <f aca="false">WEEKNUM(A585,2) - WEEKNUM(DATE(YEAR(A585),MONTH(A585),1),2) + 1</f>
        <v>3</v>
      </c>
      <c r="G585" s="10"/>
      <c r="H585" s="11" t="n">
        <v>160</v>
      </c>
      <c r="I585" s="12" t="s">
        <v>20</v>
      </c>
      <c r="J585" s="12" t="s">
        <v>53</v>
      </c>
      <c r="K585" s="12"/>
      <c r="L585" s="9" t="n">
        <f aca="false">L584+H585</f>
        <v>21348.59</v>
      </c>
      <c r="M585" s="10" t="str">
        <f aca="false">VLOOKUP(J585,RECATALOGANDO!A:C,2,0)</f>
        <v>SERVICIO DE GROOMING</v>
      </c>
      <c r="N585" s="12" t="str">
        <f aca="false">VLOOKUP(M585,RECATALOGANDO!B:C,2,0)</f>
        <v>VENTA DE SERVICIO</v>
      </c>
      <c r="O585" s="2" t="s">
        <v>39</v>
      </c>
    </row>
    <row r="586" customFormat="false" ht="13.8" hidden="false" customHeight="false" outlineLevel="0" collapsed="false">
      <c r="A586" s="8" t="n">
        <v>45211</v>
      </c>
      <c r="B586" s="9" t="n">
        <f aca="false">DAY(A586)</f>
        <v>12</v>
      </c>
      <c r="C586" s="9" t="n">
        <f aca="false">MONTH(A586)</f>
        <v>10</v>
      </c>
      <c r="D586" s="9" t="n">
        <f aca="false">YEAR(A586)</f>
        <v>2023</v>
      </c>
      <c r="E586" s="9" t="n">
        <f aca="false">WEEKDAY(A586,2)</f>
        <v>4</v>
      </c>
      <c r="F586" s="10" t="n">
        <f aca="false">WEEKNUM(A586,2) - WEEKNUM(DATE(YEAR(A586),MONTH(A586),1),2) + 1</f>
        <v>3</v>
      </c>
      <c r="G586" s="10"/>
      <c r="H586" s="11" t="n">
        <v>1400</v>
      </c>
      <c r="I586" s="12" t="s">
        <v>20</v>
      </c>
      <c r="J586" s="12" t="s">
        <v>45</v>
      </c>
      <c r="K586" s="12"/>
      <c r="L586" s="9" t="n">
        <f aca="false">L585+H586</f>
        <v>22748.59</v>
      </c>
      <c r="M586" s="10" t="str">
        <f aca="false">VLOOKUP(J586,RECATALOGANDO!A:C,2,0)</f>
        <v>VENTA DE MEDICAMENTO</v>
      </c>
      <c r="N586" s="12" t="str">
        <f aca="false">VLOOKUP(M586,RECATALOGANDO!B:C,2,0)</f>
        <v>VENTA DE PRODUCTO</v>
      </c>
      <c r="O586" s="2" t="s">
        <v>39</v>
      </c>
    </row>
    <row r="587" customFormat="false" ht="13.8" hidden="false" customHeight="false" outlineLevel="0" collapsed="false">
      <c r="A587" s="8" t="n">
        <v>45211</v>
      </c>
      <c r="B587" s="9" t="n">
        <f aca="false">DAY(A587)</f>
        <v>12</v>
      </c>
      <c r="C587" s="9" t="n">
        <f aca="false">MONTH(A587)</f>
        <v>10</v>
      </c>
      <c r="D587" s="9" t="n">
        <f aca="false">YEAR(A587)</f>
        <v>2023</v>
      </c>
      <c r="E587" s="9" t="n">
        <f aca="false">WEEKDAY(A587,2)</f>
        <v>4</v>
      </c>
      <c r="F587" s="10" t="n">
        <f aca="false">WEEKNUM(A587,2) - WEEKNUM(DATE(YEAR(A587),MONTH(A587),1),2) + 1</f>
        <v>3</v>
      </c>
      <c r="G587" s="10"/>
      <c r="H587" s="11" t="n">
        <v>229</v>
      </c>
      <c r="I587" s="12" t="s">
        <v>15</v>
      </c>
      <c r="J587" s="12" t="s">
        <v>53</v>
      </c>
      <c r="K587" s="12"/>
      <c r="L587" s="9" t="n">
        <f aca="false">L586+H587</f>
        <v>22977.59</v>
      </c>
      <c r="M587" s="10" t="str">
        <f aca="false">VLOOKUP(J587,RECATALOGANDO!A:C,2,0)</f>
        <v>SERVICIO DE GROOMING</v>
      </c>
      <c r="N587" s="12" t="str">
        <f aca="false">VLOOKUP(M587,RECATALOGANDO!B:C,2,0)</f>
        <v>VENTA DE SERVICIO</v>
      </c>
      <c r="O587" s="2" t="s">
        <v>39</v>
      </c>
    </row>
    <row r="588" customFormat="false" ht="13.8" hidden="false" customHeight="false" outlineLevel="0" collapsed="false">
      <c r="A588" s="8" t="n">
        <v>45213</v>
      </c>
      <c r="B588" s="9" t="n">
        <f aca="false">DAY(A588)</f>
        <v>14</v>
      </c>
      <c r="C588" s="9" t="n">
        <f aca="false">MONTH(A588)</f>
        <v>10</v>
      </c>
      <c r="D588" s="9" t="n">
        <f aca="false">YEAR(A588)</f>
        <v>2023</v>
      </c>
      <c r="E588" s="9" t="n">
        <f aca="false">WEEKDAY(A588,2)</f>
        <v>6</v>
      </c>
      <c r="F588" s="10" t="n">
        <f aca="false">WEEKNUM(A588,2) - WEEKNUM(DATE(YEAR(A588),MONTH(A588),1),2) + 1</f>
        <v>3</v>
      </c>
      <c r="G588" s="10"/>
      <c r="H588" s="11" t="n">
        <v>112</v>
      </c>
      <c r="I588" s="12" t="s">
        <v>15</v>
      </c>
      <c r="J588" s="12" t="s">
        <v>53</v>
      </c>
      <c r="K588" s="12"/>
      <c r="L588" s="9" t="n">
        <f aca="false">L587+H588</f>
        <v>23089.59</v>
      </c>
      <c r="M588" s="10" t="str">
        <f aca="false">VLOOKUP(J588,RECATALOGANDO!A:C,2,0)</f>
        <v>SERVICIO DE GROOMING</v>
      </c>
      <c r="N588" s="12" t="str">
        <f aca="false">VLOOKUP(M588,RECATALOGANDO!B:C,2,0)</f>
        <v>VENTA DE SERVICIO</v>
      </c>
      <c r="O588" s="2" t="s">
        <v>39</v>
      </c>
    </row>
    <row r="589" customFormat="false" ht="13.8" hidden="false" customHeight="false" outlineLevel="0" collapsed="false">
      <c r="A589" s="8" t="n">
        <v>45215</v>
      </c>
      <c r="B589" s="9" t="n">
        <f aca="false">DAY(A589)</f>
        <v>16</v>
      </c>
      <c r="C589" s="9" t="n">
        <f aca="false">MONTH(A589)</f>
        <v>10</v>
      </c>
      <c r="D589" s="9" t="n">
        <f aca="false">YEAR(A589)</f>
        <v>2023</v>
      </c>
      <c r="E589" s="9" t="n">
        <f aca="false">WEEKDAY(A589,2)</f>
        <v>1</v>
      </c>
      <c r="F589" s="10" t="n">
        <f aca="false">WEEKNUM(A589,2) - WEEKNUM(DATE(YEAR(A589),MONTH(A589),1),2) + 1</f>
        <v>4</v>
      </c>
      <c r="G589" s="10"/>
      <c r="H589" s="11" t="n">
        <v>740</v>
      </c>
      <c r="I589" s="12" t="s">
        <v>20</v>
      </c>
      <c r="J589" s="22" t="s">
        <v>53</v>
      </c>
      <c r="K589" s="12"/>
      <c r="L589" s="9" t="n">
        <f aca="false">L588+H589</f>
        <v>23829.59</v>
      </c>
      <c r="M589" s="10" t="str">
        <f aca="false">VLOOKUP(J589,RECATALOGANDO!A:C,2,0)</f>
        <v>SERVICIO DE GROOMING</v>
      </c>
      <c r="N589" s="12" t="str">
        <f aca="false">VLOOKUP(M589,RECATALOGANDO!B:C,2,0)</f>
        <v>VENTA DE SERVICIO</v>
      </c>
      <c r="O589" s="2" t="s">
        <v>39</v>
      </c>
    </row>
    <row r="590" customFormat="false" ht="13.8" hidden="false" customHeight="false" outlineLevel="0" collapsed="false">
      <c r="A590" s="8" t="n">
        <v>45215</v>
      </c>
      <c r="B590" s="9" t="n">
        <f aca="false">DAY(A590)</f>
        <v>16</v>
      </c>
      <c r="C590" s="9" t="n">
        <f aca="false">MONTH(A590)</f>
        <v>10</v>
      </c>
      <c r="D590" s="9" t="n">
        <f aca="false">YEAR(A590)</f>
        <v>2023</v>
      </c>
      <c r="E590" s="9" t="n">
        <f aca="false">WEEKDAY(A590,2)</f>
        <v>1</v>
      </c>
      <c r="F590" s="10" t="n">
        <f aca="false">WEEKNUM(A590,2) - WEEKNUM(DATE(YEAR(A590),MONTH(A590),1),2) + 1</f>
        <v>4</v>
      </c>
      <c r="G590" s="10"/>
      <c r="H590" s="11" t="n">
        <v>850</v>
      </c>
      <c r="I590" s="12" t="s">
        <v>20</v>
      </c>
      <c r="J590" s="22" t="s">
        <v>58</v>
      </c>
      <c r="K590" s="12"/>
      <c r="L590" s="9" t="n">
        <f aca="false">L589+H590</f>
        <v>24679.59</v>
      </c>
      <c r="M590" s="10" t="str">
        <f aca="false">VLOOKUP(J590,RECATALOGANDO!A:C,2,0)</f>
        <v>SERVICIO DE LABORATORIO</v>
      </c>
      <c r="N590" s="12" t="str">
        <f aca="false">VLOOKUP(M590,RECATALOGANDO!B:C,2,0)</f>
        <v>VENTA DE SERVICIO</v>
      </c>
      <c r="O590" s="2" t="s">
        <v>39</v>
      </c>
    </row>
    <row r="591" customFormat="false" ht="13.8" hidden="false" customHeight="false" outlineLevel="0" collapsed="false">
      <c r="A591" s="8" t="n">
        <v>45215</v>
      </c>
      <c r="B591" s="9" t="n">
        <f aca="false">DAY(A591)</f>
        <v>16</v>
      </c>
      <c r="C591" s="9" t="n">
        <f aca="false">MONTH(A591)</f>
        <v>10</v>
      </c>
      <c r="D591" s="9" t="n">
        <f aca="false">YEAR(A591)</f>
        <v>2023</v>
      </c>
      <c r="E591" s="9" t="n">
        <f aca="false">WEEKDAY(A591,2)</f>
        <v>1</v>
      </c>
      <c r="F591" s="10" t="n">
        <f aca="false">WEEKNUM(A591,2) - WEEKNUM(DATE(YEAR(A591),MONTH(A591),1),2) + 1</f>
        <v>4</v>
      </c>
      <c r="G591" s="10"/>
      <c r="H591" s="11" t="n">
        <v>3500</v>
      </c>
      <c r="I591" s="12" t="s">
        <v>20</v>
      </c>
      <c r="J591" s="22" t="s">
        <v>41</v>
      </c>
      <c r="K591" s="12"/>
      <c r="L591" s="9" t="n">
        <f aca="false">L590+H591</f>
        <v>28179.59</v>
      </c>
      <c r="M591" s="10" t="str">
        <f aca="false">VLOOKUP(J591,RECATALOGANDO!A:C,2,0)</f>
        <v>HONORARIOS QUIRURGICOS</v>
      </c>
      <c r="N591" s="12" t="str">
        <f aca="false">VLOOKUP(M591,RECATALOGANDO!B:C,2,0)</f>
        <v>VENTA DE SERVICIO</v>
      </c>
      <c r="O591" s="2" t="s">
        <v>39</v>
      </c>
    </row>
    <row r="592" customFormat="false" ht="13.8" hidden="false" customHeight="false" outlineLevel="0" collapsed="false">
      <c r="A592" s="8" t="n">
        <v>45218</v>
      </c>
      <c r="B592" s="9" t="n">
        <f aca="false">DAY(A592)</f>
        <v>19</v>
      </c>
      <c r="C592" s="9" t="n">
        <f aca="false">MONTH(A592)</f>
        <v>10</v>
      </c>
      <c r="D592" s="9" t="n">
        <f aca="false">YEAR(A592)</f>
        <v>2023</v>
      </c>
      <c r="E592" s="9" t="n">
        <f aca="false">WEEKDAY(A592,2)</f>
        <v>4</v>
      </c>
      <c r="F592" s="10" t="n">
        <f aca="false">WEEKNUM(A592,2) - WEEKNUM(DATE(YEAR(A592),MONTH(A592),1),2) + 1</f>
        <v>4</v>
      </c>
      <c r="G592" s="10"/>
      <c r="H592" s="11" t="n">
        <v>290</v>
      </c>
      <c r="I592" s="12" t="s">
        <v>20</v>
      </c>
      <c r="J592" s="12" t="s">
        <v>45</v>
      </c>
      <c r="K592" s="12"/>
      <c r="L592" s="9" t="n">
        <f aca="false">L591+H592</f>
        <v>28469.59</v>
      </c>
      <c r="M592" s="10" t="str">
        <f aca="false">VLOOKUP(J592,RECATALOGANDO!A:C,2,0)</f>
        <v>VENTA DE MEDICAMENTO</v>
      </c>
      <c r="N592" s="12" t="str">
        <f aca="false">VLOOKUP(M592,RECATALOGANDO!B:C,2,0)</f>
        <v>VENTA DE PRODUCTO</v>
      </c>
      <c r="O592" s="2" t="s">
        <v>39</v>
      </c>
    </row>
    <row r="593" customFormat="false" ht="13.8" hidden="false" customHeight="false" outlineLevel="0" collapsed="false">
      <c r="A593" s="8" t="n">
        <v>45218</v>
      </c>
      <c r="B593" s="9" t="n">
        <f aca="false">DAY(A593)</f>
        <v>19</v>
      </c>
      <c r="C593" s="9" t="n">
        <f aca="false">MONTH(A593)</f>
        <v>10</v>
      </c>
      <c r="D593" s="9" t="n">
        <f aca="false">YEAR(A593)</f>
        <v>2023</v>
      </c>
      <c r="E593" s="9" t="n">
        <f aca="false">WEEKDAY(A593,2)</f>
        <v>4</v>
      </c>
      <c r="F593" s="10" t="n">
        <f aca="false">WEEKNUM(A593,2) - WEEKNUM(DATE(YEAR(A593),MONTH(A593),1),2) + 1</f>
        <v>4</v>
      </c>
      <c r="G593" s="10"/>
      <c r="H593" s="11" t="n">
        <v>317</v>
      </c>
      <c r="I593" s="12" t="s">
        <v>15</v>
      </c>
      <c r="J593" s="22" t="s">
        <v>53</v>
      </c>
      <c r="K593" s="12"/>
      <c r="L593" s="9" t="n">
        <f aca="false">L592+H593</f>
        <v>28786.59</v>
      </c>
      <c r="M593" s="10" t="str">
        <f aca="false">VLOOKUP(J593,RECATALOGANDO!A:C,2,0)</f>
        <v>SERVICIO DE GROOMING</v>
      </c>
      <c r="N593" s="12" t="str">
        <f aca="false">VLOOKUP(M593,RECATALOGANDO!B:C,2,0)</f>
        <v>VENTA DE SERVICIO</v>
      </c>
      <c r="O593" s="2" t="s">
        <v>39</v>
      </c>
    </row>
    <row r="594" customFormat="false" ht="13.8" hidden="false" customHeight="false" outlineLevel="0" collapsed="false">
      <c r="A594" s="8" t="n">
        <v>45218</v>
      </c>
      <c r="B594" s="9" t="n">
        <f aca="false">DAY(A594)</f>
        <v>19</v>
      </c>
      <c r="C594" s="9" t="n">
        <f aca="false">MONTH(A594)</f>
        <v>10</v>
      </c>
      <c r="D594" s="9" t="n">
        <f aca="false">YEAR(A594)</f>
        <v>2023</v>
      </c>
      <c r="E594" s="9" t="n">
        <f aca="false">WEEKDAY(A594,2)</f>
        <v>4</v>
      </c>
      <c r="F594" s="10" t="n">
        <f aca="false">WEEKNUM(A594,2) - WEEKNUM(DATE(YEAR(A594),MONTH(A594),1),2) + 1</f>
        <v>4</v>
      </c>
      <c r="G594" s="10"/>
      <c r="H594" s="11" t="n">
        <v>2000</v>
      </c>
      <c r="I594" s="12" t="s">
        <v>20</v>
      </c>
      <c r="J594" s="22" t="s">
        <v>58</v>
      </c>
      <c r="K594" s="12"/>
      <c r="L594" s="9" t="n">
        <f aca="false">L593+H594</f>
        <v>30786.59</v>
      </c>
      <c r="M594" s="10" t="str">
        <f aca="false">VLOOKUP(J594,RECATALOGANDO!A:C,2,0)</f>
        <v>SERVICIO DE LABORATORIO</v>
      </c>
      <c r="N594" s="12" t="str">
        <f aca="false">VLOOKUP(M594,RECATALOGANDO!B:C,2,0)</f>
        <v>VENTA DE SERVICIO</v>
      </c>
      <c r="O594" s="2" t="s">
        <v>39</v>
      </c>
    </row>
    <row r="595" customFormat="false" ht="13.8" hidden="false" customHeight="false" outlineLevel="0" collapsed="false">
      <c r="A595" s="8" t="n">
        <v>45218</v>
      </c>
      <c r="B595" s="9" t="n">
        <f aca="false">DAY(A595)</f>
        <v>19</v>
      </c>
      <c r="C595" s="9" t="n">
        <f aca="false">MONTH(A595)</f>
        <v>10</v>
      </c>
      <c r="D595" s="9" t="n">
        <f aca="false">YEAR(A595)</f>
        <v>2023</v>
      </c>
      <c r="E595" s="9" t="n">
        <f aca="false">WEEKDAY(A595,2)</f>
        <v>4</v>
      </c>
      <c r="F595" s="10" t="n">
        <f aca="false">WEEKNUM(A595,2) - WEEKNUM(DATE(YEAR(A595),MONTH(A595),1),2) + 1</f>
        <v>4</v>
      </c>
      <c r="G595" s="10"/>
      <c r="H595" s="11" t="n">
        <v>3400</v>
      </c>
      <c r="I595" s="12" t="s">
        <v>20</v>
      </c>
      <c r="J595" s="22" t="s">
        <v>41</v>
      </c>
      <c r="K595" s="12"/>
      <c r="L595" s="9" t="n">
        <f aca="false">L594+H595</f>
        <v>34186.59</v>
      </c>
      <c r="M595" s="10" t="str">
        <f aca="false">VLOOKUP(J595,RECATALOGANDO!A:C,2,0)</f>
        <v>HONORARIOS QUIRURGICOS</v>
      </c>
      <c r="N595" s="12" t="str">
        <f aca="false">VLOOKUP(M595,RECATALOGANDO!B:C,2,0)</f>
        <v>VENTA DE SERVICIO</v>
      </c>
      <c r="O595" s="2" t="s">
        <v>39</v>
      </c>
    </row>
    <row r="596" customFormat="false" ht="13.8" hidden="false" customHeight="false" outlineLevel="0" collapsed="false">
      <c r="A596" s="8" t="n">
        <v>45221</v>
      </c>
      <c r="B596" s="9" t="n">
        <f aca="false">DAY(A596)</f>
        <v>22</v>
      </c>
      <c r="C596" s="9" t="n">
        <f aca="false">MONTH(A596)</f>
        <v>10</v>
      </c>
      <c r="D596" s="9" t="n">
        <f aca="false">YEAR(A596)</f>
        <v>2023</v>
      </c>
      <c r="E596" s="9" t="n">
        <f aca="false">WEEKDAY(A596,2)</f>
        <v>7</v>
      </c>
      <c r="F596" s="10" t="n">
        <f aca="false">WEEKNUM(A596,2) - WEEKNUM(DATE(YEAR(A596),MONTH(A596),1),2) + 1</f>
        <v>4</v>
      </c>
      <c r="G596" s="10"/>
      <c r="H596" s="11" t="n">
        <v>3517</v>
      </c>
      <c r="I596" s="12" t="s">
        <v>15</v>
      </c>
      <c r="J596" s="12" t="s">
        <v>45</v>
      </c>
      <c r="K596" s="12"/>
      <c r="L596" s="9" t="n">
        <f aca="false">L595+H596</f>
        <v>37703.59</v>
      </c>
      <c r="M596" s="10" t="str">
        <f aca="false">VLOOKUP(J596,RECATALOGANDO!A:C,2,0)</f>
        <v>VENTA DE MEDICAMENTO</v>
      </c>
      <c r="N596" s="12" t="str">
        <f aca="false">VLOOKUP(M596,RECATALOGANDO!B:C,2,0)</f>
        <v>VENTA DE PRODUCTO</v>
      </c>
      <c r="O596" s="2" t="s">
        <v>39</v>
      </c>
    </row>
    <row r="597" customFormat="false" ht="13.8" hidden="false" customHeight="false" outlineLevel="0" collapsed="false">
      <c r="A597" s="8" t="n">
        <v>45222</v>
      </c>
      <c r="B597" s="9" t="n">
        <f aca="false">DAY(A597)</f>
        <v>23</v>
      </c>
      <c r="C597" s="9" t="n">
        <f aca="false">MONTH(A597)</f>
        <v>10</v>
      </c>
      <c r="D597" s="9" t="n">
        <f aca="false">YEAR(A597)</f>
        <v>2023</v>
      </c>
      <c r="E597" s="9" t="n">
        <f aca="false">WEEKDAY(A597,2)</f>
        <v>1</v>
      </c>
      <c r="F597" s="10" t="n">
        <f aca="false">WEEKNUM(A597,2) - WEEKNUM(DATE(YEAR(A597),MONTH(A597),1),2) + 1</f>
        <v>5</v>
      </c>
      <c r="G597" s="10"/>
      <c r="H597" s="11" t="n">
        <v>2973</v>
      </c>
      <c r="I597" s="12" t="s">
        <v>20</v>
      </c>
      <c r="J597" s="22" t="s">
        <v>51</v>
      </c>
      <c r="K597" s="12"/>
      <c r="L597" s="9" t="n">
        <f aca="false">L596+H597</f>
        <v>40676.59</v>
      </c>
      <c r="M597" s="10" t="str">
        <f aca="false">VLOOKUP(J597,RECATALOGANDO!A:C,2,0)</f>
        <v>VENTA DE ALIMENTO</v>
      </c>
      <c r="N597" s="12" t="str">
        <f aca="false">VLOOKUP(M597,RECATALOGANDO!B:C,2,0)</f>
        <v>VENTA DE PRODUCTO</v>
      </c>
      <c r="O597" s="2" t="s">
        <v>39</v>
      </c>
    </row>
    <row r="598" customFormat="false" ht="13.8" hidden="false" customHeight="false" outlineLevel="0" collapsed="false">
      <c r="A598" s="8" t="n">
        <v>45222</v>
      </c>
      <c r="B598" s="9" t="n">
        <f aca="false">DAY(A598)</f>
        <v>23</v>
      </c>
      <c r="C598" s="9" t="n">
        <f aca="false">MONTH(A598)</f>
        <v>10</v>
      </c>
      <c r="D598" s="9" t="n">
        <f aca="false">YEAR(A598)</f>
        <v>2023</v>
      </c>
      <c r="E598" s="9" t="n">
        <f aca="false">WEEKDAY(A598,2)</f>
        <v>1</v>
      </c>
      <c r="F598" s="10" t="n">
        <f aca="false">WEEKNUM(A598,2) - WEEKNUM(DATE(YEAR(A598),MONTH(A598),1),2) + 1</f>
        <v>5</v>
      </c>
      <c r="G598" s="10"/>
      <c r="H598" s="11" t="n">
        <v>190</v>
      </c>
      <c r="I598" s="12" t="s">
        <v>20</v>
      </c>
      <c r="J598" s="22" t="s">
        <v>53</v>
      </c>
      <c r="K598" s="12"/>
      <c r="L598" s="9" t="n">
        <f aca="false">L597+H598</f>
        <v>40866.59</v>
      </c>
      <c r="M598" s="10" t="str">
        <f aca="false">VLOOKUP(J598,RECATALOGANDO!A:C,2,0)</f>
        <v>SERVICIO DE GROOMING</v>
      </c>
      <c r="N598" s="12" t="str">
        <f aca="false">VLOOKUP(M598,RECATALOGANDO!B:C,2,0)</f>
        <v>VENTA DE SERVICIO</v>
      </c>
      <c r="O598" s="2" t="s">
        <v>39</v>
      </c>
    </row>
    <row r="599" customFormat="false" ht="13.8" hidden="false" customHeight="false" outlineLevel="0" collapsed="false">
      <c r="A599" s="8" t="n">
        <v>45222</v>
      </c>
      <c r="B599" s="9" t="n">
        <f aca="false">DAY(A599)</f>
        <v>23</v>
      </c>
      <c r="C599" s="9" t="n">
        <f aca="false">MONTH(A599)</f>
        <v>10</v>
      </c>
      <c r="D599" s="9" t="n">
        <f aca="false">YEAR(A599)</f>
        <v>2023</v>
      </c>
      <c r="E599" s="9" t="n">
        <f aca="false">WEEKDAY(A599,2)</f>
        <v>1</v>
      </c>
      <c r="F599" s="10" t="n">
        <f aca="false">WEEKNUM(A599,2) - WEEKNUM(DATE(YEAR(A599),MONTH(A599),1),2) + 1</f>
        <v>5</v>
      </c>
      <c r="G599" s="10"/>
      <c r="H599" s="11" t="n">
        <v>290</v>
      </c>
      <c r="I599" s="12" t="s">
        <v>20</v>
      </c>
      <c r="J599" s="22" t="s">
        <v>53</v>
      </c>
      <c r="K599" s="12"/>
      <c r="L599" s="9" t="n">
        <f aca="false">L598+H599</f>
        <v>41156.59</v>
      </c>
      <c r="M599" s="10" t="str">
        <f aca="false">VLOOKUP(J599,RECATALOGANDO!A:C,2,0)</f>
        <v>SERVICIO DE GROOMING</v>
      </c>
      <c r="N599" s="12" t="str">
        <f aca="false">VLOOKUP(M599,RECATALOGANDO!B:C,2,0)</f>
        <v>VENTA DE SERVICIO</v>
      </c>
      <c r="O599" s="2" t="s">
        <v>39</v>
      </c>
    </row>
    <row r="600" customFormat="false" ht="13.8" hidden="false" customHeight="false" outlineLevel="0" collapsed="false">
      <c r="A600" s="8" t="n">
        <v>45222</v>
      </c>
      <c r="B600" s="9" t="n">
        <f aca="false">DAY(A600)</f>
        <v>23</v>
      </c>
      <c r="C600" s="9" t="n">
        <f aca="false">MONTH(A600)</f>
        <v>10</v>
      </c>
      <c r="D600" s="9" t="n">
        <f aca="false">YEAR(A600)</f>
        <v>2023</v>
      </c>
      <c r="E600" s="9" t="n">
        <f aca="false">WEEKDAY(A600,2)</f>
        <v>1</v>
      </c>
      <c r="F600" s="10" t="n">
        <f aca="false">WEEKNUM(A600,2) - WEEKNUM(DATE(YEAR(A600),MONTH(A600),1),2) + 1</f>
        <v>5</v>
      </c>
      <c r="G600" s="10"/>
      <c r="H600" s="11" t="n">
        <v>1635</v>
      </c>
      <c r="I600" s="12" t="s">
        <v>20</v>
      </c>
      <c r="J600" s="22" t="s">
        <v>58</v>
      </c>
      <c r="K600" s="12"/>
      <c r="L600" s="9" t="n">
        <f aca="false">L599+H600</f>
        <v>42791.59</v>
      </c>
      <c r="M600" s="10" t="str">
        <f aca="false">VLOOKUP(J600,RECATALOGANDO!A:C,2,0)</f>
        <v>SERVICIO DE LABORATORIO</v>
      </c>
      <c r="N600" s="12" t="str">
        <f aca="false">VLOOKUP(M600,RECATALOGANDO!B:C,2,0)</f>
        <v>VENTA DE SERVICIO</v>
      </c>
      <c r="O600" s="2" t="s">
        <v>39</v>
      </c>
    </row>
    <row r="601" customFormat="false" ht="13.8" hidden="false" customHeight="false" outlineLevel="0" collapsed="false">
      <c r="A601" s="8" t="n">
        <v>45222</v>
      </c>
      <c r="B601" s="9" t="n">
        <f aca="false">DAY(A601)</f>
        <v>23</v>
      </c>
      <c r="C601" s="9" t="n">
        <f aca="false">MONTH(A601)</f>
        <v>10</v>
      </c>
      <c r="D601" s="9" t="n">
        <f aca="false">YEAR(A601)</f>
        <v>2023</v>
      </c>
      <c r="E601" s="9" t="n">
        <f aca="false">WEEKDAY(A601,2)</f>
        <v>1</v>
      </c>
      <c r="F601" s="10" t="n">
        <f aca="false">WEEKNUM(A601,2) - WEEKNUM(DATE(YEAR(A601),MONTH(A601),1),2) + 1</f>
        <v>5</v>
      </c>
      <c r="G601" s="10"/>
      <c r="H601" s="11" t="n">
        <v>1898</v>
      </c>
      <c r="I601" s="12" t="s">
        <v>20</v>
      </c>
      <c r="J601" s="12" t="s">
        <v>44</v>
      </c>
      <c r="K601" s="12"/>
      <c r="L601" s="9" t="n">
        <f aca="false">L600+H601</f>
        <v>44689.59</v>
      </c>
      <c r="M601" s="10" t="str">
        <f aca="false">VLOOKUP(J601,RECATALOGANDO!A:C,2,0)</f>
        <v>HONORARIOS MEDICOS</v>
      </c>
      <c r="N601" s="12" t="str">
        <f aca="false">VLOOKUP(M601,RECATALOGANDO!B:C,2,0)</f>
        <v>VENTA DE SERVICIO</v>
      </c>
      <c r="O601" s="2" t="s">
        <v>39</v>
      </c>
    </row>
    <row r="602" customFormat="false" ht="13.8" hidden="false" customHeight="false" outlineLevel="0" collapsed="false">
      <c r="A602" s="8" t="n">
        <v>45223</v>
      </c>
      <c r="B602" s="9" t="n">
        <f aca="false">DAY(A602)</f>
        <v>24</v>
      </c>
      <c r="C602" s="9" t="n">
        <f aca="false">MONTH(A602)</f>
        <v>10</v>
      </c>
      <c r="D602" s="9" t="n">
        <f aca="false">YEAR(A602)</f>
        <v>2023</v>
      </c>
      <c r="E602" s="9" t="n">
        <f aca="false">WEEKDAY(A602,2)</f>
        <v>2</v>
      </c>
      <c r="F602" s="10" t="n">
        <f aca="false">WEEKNUM(A602,2) - WEEKNUM(DATE(YEAR(A602),MONTH(A602),1),2) + 1</f>
        <v>5</v>
      </c>
      <c r="G602" s="10"/>
      <c r="H602" s="11" t="n">
        <v>240</v>
      </c>
      <c r="I602" s="12" t="s">
        <v>20</v>
      </c>
      <c r="J602" s="12" t="s">
        <v>44</v>
      </c>
      <c r="K602" s="12"/>
      <c r="L602" s="9" t="n">
        <f aca="false">L601+H602</f>
        <v>44929.59</v>
      </c>
      <c r="M602" s="10" t="str">
        <f aca="false">VLOOKUP(J602,RECATALOGANDO!A:C,2,0)</f>
        <v>HONORARIOS MEDICOS</v>
      </c>
      <c r="N602" s="12" t="str">
        <f aca="false">VLOOKUP(M602,RECATALOGANDO!B:C,2,0)</f>
        <v>VENTA DE SERVICIO</v>
      </c>
      <c r="O602" s="2" t="s">
        <v>39</v>
      </c>
    </row>
    <row r="603" customFormat="false" ht="13.8" hidden="false" customHeight="false" outlineLevel="0" collapsed="false">
      <c r="A603" s="8" t="n">
        <v>45223</v>
      </c>
      <c r="B603" s="9" t="n">
        <f aca="false">DAY(A603)</f>
        <v>24</v>
      </c>
      <c r="C603" s="9" t="n">
        <f aca="false">MONTH(A603)</f>
        <v>10</v>
      </c>
      <c r="D603" s="9" t="n">
        <f aca="false">YEAR(A603)</f>
        <v>2023</v>
      </c>
      <c r="E603" s="9" t="n">
        <f aca="false">WEEKDAY(A603,2)</f>
        <v>2</v>
      </c>
      <c r="F603" s="10" t="n">
        <f aca="false">WEEKNUM(A603,2) - WEEKNUM(DATE(YEAR(A603),MONTH(A603),1),2) + 1</f>
        <v>5</v>
      </c>
      <c r="G603" s="10"/>
      <c r="H603" s="11" t="n">
        <v>843</v>
      </c>
      <c r="I603" s="12" t="s">
        <v>15</v>
      </c>
      <c r="J603" s="12" t="s">
        <v>44</v>
      </c>
      <c r="K603" s="12"/>
      <c r="L603" s="9" t="n">
        <f aca="false">L602+H603</f>
        <v>45772.59</v>
      </c>
      <c r="M603" s="10" t="str">
        <f aca="false">VLOOKUP(J603,RECATALOGANDO!A:C,2,0)</f>
        <v>HONORARIOS MEDICOS</v>
      </c>
      <c r="N603" s="12" t="str">
        <f aca="false">VLOOKUP(M603,RECATALOGANDO!B:C,2,0)</f>
        <v>VENTA DE SERVICIO</v>
      </c>
      <c r="O603" s="2" t="s">
        <v>39</v>
      </c>
    </row>
    <row r="604" customFormat="false" ht="13.8" hidden="false" customHeight="false" outlineLevel="0" collapsed="false">
      <c r="A604" s="8" t="n">
        <v>45224</v>
      </c>
      <c r="B604" s="9" t="n">
        <f aca="false">DAY(A604)</f>
        <v>25</v>
      </c>
      <c r="C604" s="9" t="n">
        <f aca="false">MONTH(A604)</f>
        <v>10</v>
      </c>
      <c r="D604" s="9" t="n">
        <f aca="false">YEAR(A604)</f>
        <v>2023</v>
      </c>
      <c r="E604" s="9" t="n">
        <f aca="false">WEEKDAY(A604,2)</f>
        <v>3</v>
      </c>
      <c r="F604" s="10" t="n">
        <f aca="false">WEEKNUM(A604,2) - WEEKNUM(DATE(YEAR(A604),MONTH(A604),1),2) + 1</f>
        <v>5</v>
      </c>
      <c r="G604" s="10"/>
      <c r="H604" s="11" t="n">
        <v>500</v>
      </c>
      <c r="I604" s="12" t="s">
        <v>20</v>
      </c>
      <c r="J604" s="12" t="s">
        <v>45</v>
      </c>
      <c r="K604" s="12"/>
      <c r="L604" s="9" t="n">
        <f aca="false">L603+H604</f>
        <v>46272.59</v>
      </c>
      <c r="M604" s="10" t="str">
        <f aca="false">VLOOKUP(J604,RECATALOGANDO!A:C,2,0)</f>
        <v>VENTA DE MEDICAMENTO</v>
      </c>
      <c r="N604" s="12" t="str">
        <f aca="false">VLOOKUP(M604,RECATALOGANDO!B:C,2,0)</f>
        <v>VENTA DE PRODUCTO</v>
      </c>
      <c r="O604" s="2" t="s">
        <v>39</v>
      </c>
    </row>
    <row r="605" customFormat="false" ht="13.8" hidden="false" customHeight="false" outlineLevel="0" collapsed="false">
      <c r="A605" s="8" t="n">
        <v>45224</v>
      </c>
      <c r="B605" s="9" t="n">
        <f aca="false">DAY(A605)</f>
        <v>25</v>
      </c>
      <c r="C605" s="9" t="n">
        <f aca="false">MONTH(A605)</f>
        <v>10</v>
      </c>
      <c r="D605" s="9" t="n">
        <f aca="false">YEAR(A605)</f>
        <v>2023</v>
      </c>
      <c r="E605" s="9" t="n">
        <f aca="false">WEEKDAY(A605,2)</f>
        <v>3</v>
      </c>
      <c r="F605" s="10" t="n">
        <f aca="false">WEEKNUM(A605,2) - WEEKNUM(DATE(YEAR(A605),MONTH(A605),1),2) + 1</f>
        <v>5</v>
      </c>
      <c r="G605" s="10"/>
      <c r="H605" s="11" t="n">
        <v>2310</v>
      </c>
      <c r="I605" s="12" t="s">
        <v>20</v>
      </c>
      <c r="J605" s="12" t="s">
        <v>45</v>
      </c>
      <c r="K605" s="12"/>
      <c r="L605" s="9" t="n">
        <f aca="false">L604+H605</f>
        <v>48582.59</v>
      </c>
      <c r="M605" s="10" t="str">
        <f aca="false">VLOOKUP(J605,RECATALOGANDO!A:C,2,0)</f>
        <v>VENTA DE MEDICAMENTO</v>
      </c>
      <c r="N605" s="12" t="str">
        <f aca="false">VLOOKUP(M605,RECATALOGANDO!B:C,2,0)</f>
        <v>VENTA DE PRODUCTO</v>
      </c>
      <c r="O605" s="2" t="s">
        <v>39</v>
      </c>
    </row>
    <row r="606" customFormat="false" ht="13.8" hidden="false" customHeight="false" outlineLevel="0" collapsed="false">
      <c r="A606" s="8" t="n">
        <v>45226</v>
      </c>
      <c r="B606" s="9" t="n">
        <f aca="false">DAY(A606)</f>
        <v>27</v>
      </c>
      <c r="C606" s="9" t="n">
        <f aca="false">MONTH(A606)</f>
        <v>10</v>
      </c>
      <c r="D606" s="9" t="n">
        <f aca="false">YEAR(A606)</f>
        <v>2023</v>
      </c>
      <c r="E606" s="9" t="n">
        <f aca="false">WEEKDAY(A606,2)</f>
        <v>5</v>
      </c>
      <c r="F606" s="10" t="n">
        <f aca="false">WEEKNUM(A606,2) - WEEKNUM(DATE(YEAR(A606),MONTH(A606),1),2) + 1</f>
        <v>5</v>
      </c>
      <c r="G606" s="10"/>
      <c r="H606" s="11" t="n">
        <v>1920</v>
      </c>
      <c r="I606" s="12" t="s">
        <v>20</v>
      </c>
      <c r="J606" s="22" t="s">
        <v>58</v>
      </c>
      <c r="K606" s="12"/>
      <c r="L606" s="9" t="n">
        <f aca="false">L605+H606</f>
        <v>50502.59</v>
      </c>
      <c r="M606" s="10" t="str">
        <f aca="false">VLOOKUP(J606,RECATALOGANDO!A:C,2,0)</f>
        <v>SERVICIO DE LABORATORIO</v>
      </c>
      <c r="N606" s="12" t="str">
        <f aca="false">VLOOKUP(M606,RECATALOGANDO!B:C,2,0)</f>
        <v>VENTA DE SERVICIO</v>
      </c>
      <c r="O606" s="2" t="s">
        <v>39</v>
      </c>
    </row>
    <row r="607" customFormat="false" ht="13.8" hidden="false" customHeight="false" outlineLevel="0" collapsed="false">
      <c r="A607" s="8" t="n">
        <v>45226</v>
      </c>
      <c r="B607" s="9" t="n">
        <f aca="false">DAY(A607)</f>
        <v>27</v>
      </c>
      <c r="C607" s="9" t="n">
        <f aca="false">MONTH(A607)</f>
        <v>10</v>
      </c>
      <c r="D607" s="9" t="n">
        <f aca="false">YEAR(A607)</f>
        <v>2023</v>
      </c>
      <c r="E607" s="9" t="n">
        <f aca="false">WEEKDAY(A607,2)</f>
        <v>5</v>
      </c>
      <c r="F607" s="10" t="n">
        <f aca="false">WEEKNUM(A607,2) - WEEKNUM(DATE(YEAR(A607),MONTH(A607),1),2) + 1</f>
        <v>5</v>
      </c>
      <c r="G607" s="10"/>
      <c r="H607" s="11" t="n">
        <v>2450</v>
      </c>
      <c r="I607" s="12" t="s">
        <v>20</v>
      </c>
      <c r="J607" s="12" t="s">
        <v>63</v>
      </c>
      <c r="K607" s="12"/>
      <c r="L607" s="9" t="n">
        <f aca="false">L606+H607</f>
        <v>52952.59</v>
      </c>
      <c r="M607" s="10" t="str">
        <f aca="false">VLOOKUP(J607,RECATALOGANDO!A:C,2,0)</f>
        <v>SERVICIO DE CREMACION</v>
      </c>
      <c r="N607" s="12" t="str">
        <f aca="false">VLOOKUP(M607,RECATALOGANDO!B:C,2,0)</f>
        <v>VENTA DE SERVICIO</v>
      </c>
      <c r="O607" s="2" t="s">
        <v>39</v>
      </c>
    </row>
    <row r="608" customFormat="false" ht="13.8" hidden="false" customHeight="false" outlineLevel="0" collapsed="false">
      <c r="A608" s="8" t="n">
        <v>45227</v>
      </c>
      <c r="B608" s="9" t="n">
        <f aca="false">DAY(A608)</f>
        <v>28</v>
      </c>
      <c r="C608" s="9" t="n">
        <f aca="false">MONTH(A608)</f>
        <v>10</v>
      </c>
      <c r="D608" s="9" t="n">
        <f aca="false">YEAR(A608)</f>
        <v>2023</v>
      </c>
      <c r="E608" s="9" t="n">
        <f aca="false">WEEKDAY(A608,2)</f>
        <v>6</v>
      </c>
      <c r="F608" s="10" t="n">
        <f aca="false">WEEKNUM(A608,2) - WEEKNUM(DATE(YEAR(A608),MONTH(A608),1),2) + 1</f>
        <v>5</v>
      </c>
      <c r="G608" s="10"/>
      <c r="H608" s="11" t="n">
        <v>1771</v>
      </c>
      <c r="I608" s="12" t="s">
        <v>15</v>
      </c>
      <c r="J608" s="22" t="s">
        <v>59</v>
      </c>
      <c r="K608" s="12"/>
      <c r="L608" s="9" t="n">
        <f aca="false">L607+H608</f>
        <v>54723.59</v>
      </c>
      <c r="M608" s="10" t="str">
        <f aca="false">VLOOKUP(J608,RECATALOGANDO!A:C,2,0)</f>
        <v>SERVICIO DE PENSION</v>
      </c>
      <c r="N608" s="12" t="str">
        <f aca="false">VLOOKUP(M608,RECATALOGANDO!B:C,2,0)</f>
        <v>VENTA DE SERVICIO</v>
      </c>
      <c r="O608" s="2" t="s">
        <v>39</v>
      </c>
    </row>
    <row r="609" customFormat="false" ht="13.8" hidden="false" customHeight="false" outlineLevel="0" collapsed="false">
      <c r="A609" s="8" t="n">
        <v>45228</v>
      </c>
      <c r="B609" s="9" t="n">
        <f aca="false">DAY(A609)</f>
        <v>29</v>
      </c>
      <c r="C609" s="9" t="n">
        <f aca="false">MONTH(A609)</f>
        <v>10</v>
      </c>
      <c r="D609" s="9" t="n">
        <f aca="false">YEAR(A609)</f>
        <v>2023</v>
      </c>
      <c r="E609" s="9" t="n">
        <f aca="false">WEEKDAY(A609,2)</f>
        <v>7</v>
      </c>
      <c r="F609" s="10" t="n">
        <f aca="false">WEEKNUM(A609,2) - WEEKNUM(DATE(YEAR(A609),MONTH(A609),1),2) + 1</f>
        <v>5</v>
      </c>
      <c r="G609" s="10"/>
      <c r="H609" s="11" t="n">
        <v>1061</v>
      </c>
      <c r="I609" s="12" t="s">
        <v>15</v>
      </c>
      <c r="J609" s="22" t="s">
        <v>44</v>
      </c>
      <c r="K609" s="12"/>
      <c r="L609" s="9" t="n">
        <f aca="false">L608+H609</f>
        <v>55784.59</v>
      </c>
      <c r="M609" s="10" t="str">
        <f aca="false">VLOOKUP(J609,RECATALOGANDO!A:C,2,0)</f>
        <v>HONORARIOS MEDICOS</v>
      </c>
      <c r="N609" s="12" t="str">
        <f aca="false">VLOOKUP(M609,RECATALOGANDO!B:C,2,0)</f>
        <v>VENTA DE SERVICIO</v>
      </c>
      <c r="O609" s="2" t="s">
        <v>39</v>
      </c>
    </row>
    <row r="610" customFormat="false" ht="13.8" hidden="false" customHeight="false" outlineLevel="0" collapsed="false">
      <c r="A610" s="8" t="n">
        <v>45229</v>
      </c>
      <c r="B610" s="9" t="n">
        <f aca="false">DAY(A610)</f>
        <v>30</v>
      </c>
      <c r="C610" s="9" t="n">
        <f aca="false">MONTH(A610)</f>
        <v>10</v>
      </c>
      <c r="D610" s="9" t="n">
        <f aca="false">YEAR(A610)</f>
        <v>2023</v>
      </c>
      <c r="E610" s="9" t="n">
        <f aca="false">WEEKDAY(A610,2)</f>
        <v>1</v>
      </c>
      <c r="F610" s="10" t="n">
        <f aca="false">WEEKNUM(A610,2) - WEEKNUM(DATE(YEAR(A610),MONTH(A610),1),2) + 1</f>
        <v>6</v>
      </c>
      <c r="G610" s="10" t="n">
        <v>2</v>
      </c>
      <c r="H610" s="11" t="n">
        <v>1860</v>
      </c>
      <c r="I610" s="12" t="s">
        <v>20</v>
      </c>
      <c r="J610" s="12" t="s">
        <v>45</v>
      </c>
      <c r="K610" s="12"/>
      <c r="L610" s="9" t="n">
        <f aca="false">L609+H610</f>
        <v>57644.59</v>
      </c>
      <c r="M610" s="10" t="str">
        <f aca="false">VLOOKUP(J610,RECATALOGANDO!A:C,2,0)</f>
        <v>VENTA DE MEDICAMENTO</v>
      </c>
      <c r="N610" s="12" t="str">
        <f aca="false">VLOOKUP(M610,RECATALOGANDO!B:C,2,0)</f>
        <v>VENTA DE PRODUCTO</v>
      </c>
      <c r="O610" s="2" t="s">
        <v>39</v>
      </c>
    </row>
    <row r="611" customFormat="false" ht="13.8" hidden="false" customHeight="false" outlineLevel="0" collapsed="false">
      <c r="A611" s="8" t="n">
        <v>45229</v>
      </c>
      <c r="B611" s="9" t="n">
        <f aca="false">DAY(A611)</f>
        <v>30</v>
      </c>
      <c r="C611" s="9" t="n">
        <f aca="false">MONTH(A611)</f>
        <v>10</v>
      </c>
      <c r="D611" s="9" t="n">
        <f aca="false">YEAR(A611)</f>
        <v>2023</v>
      </c>
      <c r="E611" s="9" t="n">
        <f aca="false">WEEKDAY(A611,2)</f>
        <v>1</v>
      </c>
      <c r="F611" s="10" t="n">
        <f aca="false">WEEKNUM(A611,2) - WEEKNUM(DATE(YEAR(A611),MONTH(A611),1),2) + 1</f>
        <v>6</v>
      </c>
      <c r="G611" s="10" t="n">
        <v>2</v>
      </c>
      <c r="H611" s="11" t="n">
        <v>370</v>
      </c>
      <c r="I611" s="12" t="s">
        <v>20</v>
      </c>
      <c r="J611" s="22" t="s">
        <v>53</v>
      </c>
      <c r="K611" s="12"/>
      <c r="L611" s="9" t="n">
        <f aca="false">L610+H611</f>
        <v>58014.59</v>
      </c>
      <c r="M611" s="10" t="str">
        <f aca="false">VLOOKUP(J611,RECATALOGANDO!A:C,2,0)</f>
        <v>SERVICIO DE GROOMING</v>
      </c>
      <c r="N611" s="12" t="str">
        <f aca="false">VLOOKUP(M611,RECATALOGANDO!B:C,2,0)</f>
        <v>VENTA DE SERVICIO</v>
      </c>
      <c r="O611" s="2" t="s">
        <v>39</v>
      </c>
    </row>
    <row r="612" customFormat="false" ht="13.8" hidden="false" customHeight="false" outlineLevel="0" collapsed="false">
      <c r="A612" s="8" t="n">
        <v>45229</v>
      </c>
      <c r="B612" s="9" t="n">
        <f aca="false">DAY(A612)</f>
        <v>30</v>
      </c>
      <c r="C612" s="9" t="n">
        <f aca="false">MONTH(A612)</f>
        <v>10</v>
      </c>
      <c r="D612" s="9" t="n">
        <f aca="false">YEAR(A612)</f>
        <v>2023</v>
      </c>
      <c r="E612" s="9" t="n">
        <f aca="false">WEEKDAY(A612,2)</f>
        <v>1</v>
      </c>
      <c r="F612" s="10" t="n">
        <f aca="false">WEEKNUM(A612,2) - WEEKNUM(DATE(YEAR(A612),MONTH(A612),1),2) + 1</f>
        <v>6</v>
      </c>
      <c r="G612" s="10" t="n">
        <v>2</v>
      </c>
      <c r="H612" s="11" t="n">
        <v>2900</v>
      </c>
      <c r="I612" s="12" t="s">
        <v>20</v>
      </c>
      <c r="J612" s="22" t="s">
        <v>58</v>
      </c>
      <c r="K612" s="12"/>
      <c r="L612" s="9" t="n">
        <f aca="false">L611+H612</f>
        <v>60914.59</v>
      </c>
      <c r="M612" s="10" t="str">
        <f aca="false">VLOOKUP(J612,RECATALOGANDO!A:C,2,0)</f>
        <v>SERVICIO DE LABORATORIO</v>
      </c>
      <c r="N612" s="12" t="str">
        <f aca="false">VLOOKUP(M612,RECATALOGANDO!B:C,2,0)</f>
        <v>VENTA DE SERVICIO</v>
      </c>
      <c r="O612" s="2" t="s">
        <v>39</v>
      </c>
    </row>
    <row r="613" customFormat="false" ht="13.8" hidden="false" customHeight="false" outlineLevel="0" collapsed="false">
      <c r="A613" s="8" t="n">
        <v>45230</v>
      </c>
      <c r="B613" s="9" t="n">
        <f aca="false">DAY(A613)</f>
        <v>31</v>
      </c>
      <c r="C613" s="9" t="n">
        <f aca="false">MONTH(A613)</f>
        <v>10</v>
      </c>
      <c r="D613" s="9" t="n">
        <f aca="false">YEAR(A613)</f>
        <v>2023</v>
      </c>
      <c r="E613" s="9" t="n">
        <f aca="false">WEEKDAY(A613,2)</f>
        <v>2</v>
      </c>
      <c r="F613" s="10" t="n">
        <f aca="false">WEEKNUM(A613,2) - WEEKNUM(DATE(YEAR(A613),MONTH(A613),1),2) + 1</f>
        <v>6</v>
      </c>
      <c r="G613" s="10"/>
      <c r="H613" s="11" t="n">
        <v>1400</v>
      </c>
      <c r="I613" s="12" t="s">
        <v>20</v>
      </c>
      <c r="J613" s="22" t="s">
        <v>51</v>
      </c>
      <c r="K613" s="12"/>
      <c r="L613" s="9" t="n">
        <f aca="false">L612+H613</f>
        <v>62314.59</v>
      </c>
      <c r="M613" s="10" t="str">
        <f aca="false">VLOOKUP(J613,RECATALOGANDO!A:C,2,0)</f>
        <v>VENTA DE ALIMENTO</v>
      </c>
      <c r="N613" s="12" t="str">
        <f aca="false">VLOOKUP(M613,RECATALOGANDO!B:C,2,0)</f>
        <v>VENTA DE PRODUCTO</v>
      </c>
      <c r="O613" s="2" t="s">
        <v>39</v>
      </c>
    </row>
    <row r="614" customFormat="false" ht="13.8" hidden="false" customHeight="false" outlineLevel="0" collapsed="false">
      <c r="A614" s="8" t="n">
        <v>45230</v>
      </c>
      <c r="B614" s="9" t="n">
        <f aca="false">DAY(A614)</f>
        <v>31</v>
      </c>
      <c r="C614" s="9" t="n">
        <f aca="false">MONTH(A614)</f>
        <v>10</v>
      </c>
      <c r="D614" s="9" t="n">
        <f aca="false">YEAR(A614)</f>
        <v>2023</v>
      </c>
      <c r="E614" s="9" t="n">
        <f aca="false">WEEKDAY(A614,2)</f>
        <v>2</v>
      </c>
      <c r="F614" s="10" t="n">
        <f aca="false">WEEKNUM(A614,2) - WEEKNUM(DATE(YEAR(A614),MONTH(A614),1),2) + 1</f>
        <v>6</v>
      </c>
      <c r="G614" s="10"/>
      <c r="H614" s="11" t="n">
        <v>2000</v>
      </c>
      <c r="I614" s="12" t="s">
        <v>20</v>
      </c>
      <c r="J614" s="22" t="s">
        <v>51</v>
      </c>
      <c r="K614" s="12"/>
      <c r="L614" s="9" t="n">
        <f aca="false">L613+H614</f>
        <v>64314.59</v>
      </c>
      <c r="M614" s="10" t="str">
        <f aca="false">VLOOKUP(J614,RECATALOGANDO!A:C,2,0)</f>
        <v>VENTA DE ALIMENTO</v>
      </c>
      <c r="N614" s="12" t="str">
        <f aca="false">VLOOKUP(M614,RECATALOGANDO!B:C,2,0)</f>
        <v>VENTA DE PRODUCTO</v>
      </c>
      <c r="O614" s="2" t="s">
        <v>39</v>
      </c>
    </row>
    <row r="615" customFormat="false" ht="13.8" hidden="false" customHeight="false" outlineLevel="0" collapsed="false">
      <c r="A615" s="8" t="n">
        <v>45230</v>
      </c>
      <c r="B615" s="9" t="n">
        <f aca="false">DAY(A615)</f>
        <v>31</v>
      </c>
      <c r="C615" s="9" t="n">
        <f aca="false">MONTH(A615)</f>
        <v>10</v>
      </c>
      <c r="D615" s="9" t="n">
        <f aca="false">YEAR(A615)</f>
        <v>2023</v>
      </c>
      <c r="E615" s="9" t="n">
        <f aca="false">WEEKDAY(A615,2)</f>
        <v>2</v>
      </c>
      <c r="F615" s="10" t="n">
        <f aca="false">WEEKNUM(A615,2) - WEEKNUM(DATE(YEAR(A615),MONTH(A615),1),2) + 1</f>
        <v>6</v>
      </c>
      <c r="G615" s="10"/>
      <c r="H615" s="11" t="n">
        <v>846</v>
      </c>
      <c r="I615" s="12" t="s">
        <v>15</v>
      </c>
      <c r="J615" s="12" t="s">
        <v>63</v>
      </c>
      <c r="K615" s="12"/>
      <c r="L615" s="9" t="n">
        <f aca="false">L614+H615</f>
        <v>65160.59</v>
      </c>
      <c r="M615" s="10" t="str">
        <f aca="false">VLOOKUP(J615,RECATALOGANDO!A:C,2,0)</f>
        <v>SERVICIO DE CREMACION</v>
      </c>
      <c r="N615" s="12" t="str">
        <f aca="false">VLOOKUP(M615,RECATALOGANDO!B:C,2,0)</f>
        <v>VENTA DE SERVICIO</v>
      </c>
      <c r="O615" s="2" t="s">
        <v>39</v>
      </c>
    </row>
    <row r="616" customFormat="false" ht="13.8" hidden="false" customHeight="false" outlineLevel="0" collapsed="false">
      <c r="A616" s="8" t="n">
        <v>45231</v>
      </c>
      <c r="B616" s="9" t="n">
        <f aca="false">DAY(A616)</f>
        <v>1</v>
      </c>
      <c r="C616" s="9" t="n">
        <f aca="false">MONTH(A616)</f>
        <v>11</v>
      </c>
      <c r="D616" s="9" t="n">
        <f aca="false">YEAR(A616)</f>
        <v>2023</v>
      </c>
      <c r="E616" s="9" t="n">
        <f aca="false">WEEKDAY(A616,2)</f>
        <v>3</v>
      </c>
      <c r="F616" s="10" t="n">
        <f aca="false">WEEKNUM(A616,2) - WEEKNUM(DATE(YEAR(A616),MONTH(A616),1),2) + 1</f>
        <v>1</v>
      </c>
      <c r="G616" s="10"/>
      <c r="H616" s="11" t="n">
        <v>360</v>
      </c>
      <c r="I616" s="12" t="s">
        <v>20</v>
      </c>
      <c r="J616" s="12" t="s">
        <v>53</v>
      </c>
      <c r="K616" s="12"/>
      <c r="L616" s="9" t="n">
        <f aca="false">H616</f>
        <v>360</v>
      </c>
      <c r="M616" s="10" t="str">
        <f aca="false">VLOOKUP(J616,RECATALOGANDO!A:C,2,0)</f>
        <v>SERVICIO DE GROOMING</v>
      </c>
      <c r="N616" s="12" t="str">
        <f aca="false">VLOOKUP(M616,RECATALOGANDO!B:C,2,0)</f>
        <v>VENTA DE SERVICIO</v>
      </c>
      <c r="O616" s="2" t="s">
        <v>39</v>
      </c>
    </row>
    <row r="617" customFormat="false" ht="13.8" hidden="false" customHeight="false" outlineLevel="0" collapsed="false">
      <c r="A617" s="8" t="n">
        <v>45231</v>
      </c>
      <c r="B617" s="9" t="n">
        <f aca="false">DAY(A617)</f>
        <v>1</v>
      </c>
      <c r="C617" s="9" t="n">
        <f aca="false">MONTH(A617)</f>
        <v>11</v>
      </c>
      <c r="D617" s="9" t="n">
        <f aca="false">YEAR(A617)</f>
        <v>2023</v>
      </c>
      <c r="E617" s="9" t="n">
        <f aca="false">WEEKDAY(A617,2)</f>
        <v>3</v>
      </c>
      <c r="F617" s="10" t="n">
        <f aca="false">WEEKNUM(A617,2) - WEEKNUM(DATE(YEAR(A617),MONTH(A617),1),2) + 1</f>
        <v>1</v>
      </c>
      <c r="G617" s="10"/>
      <c r="H617" s="11" t="n">
        <v>1000</v>
      </c>
      <c r="I617" s="12" t="s">
        <v>15</v>
      </c>
      <c r="J617" s="22" t="s">
        <v>44</v>
      </c>
      <c r="K617" s="12"/>
      <c r="L617" s="9" t="n">
        <f aca="false">L616+H617</f>
        <v>1360</v>
      </c>
      <c r="M617" s="10" t="str">
        <f aca="false">VLOOKUP(J617,RECATALOGANDO!A:C,2,0)</f>
        <v>HONORARIOS MEDICOS</v>
      </c>
      <c r="N617" s="12" t="str">
        <f aca="false">VLOOKUP(M617,RECATALOGANDO!B:C,2,0)</f>
        <v>VENTA DE SERVICIO</v>
      </c>
      <c r="O617" s="2" t="s">
        <v>39</v>
      </c>
    </row>
    <row r="618" customFormat="false" ht="13.8" hidden="false" customHeight="false" outlineLevel="0" collapsed="false">
      <c r="A618" s="8" t="n">
        <v>45231</v>
      </c>
      <c r="B618" s="9" t="n">
        <f aca="false">DAY(A618)</f>
        <v>1</v>
      </c>
      <c r="C618" s="9" t="n">
        <f aca="false">MONTH(A618)</f>
        <v>11</v>
      </c>
      <c r="D618" s="9" t="n">
        <f aca="false">YEAR(A618)</f>
        <v>2023</v>
      </c>
      <c r="E618" s="9" t="n">
        <f aca="false">WEEKDAY(A618,2)</f>
        <v>3</v>
      </c>
      <c r="F618" s="10" t="n">
        <f aca="false">WEEKNUM(A618,2) - WEEKNUM(DATE(YEAR(A618),MONTH(A618),1),2) + 1</f>
        <v>1</v>
      </c>
      <c r="G618" s="10"/>
      <c r="H618" s="11" t="n">
        <v>1000</v>
      </c>
      <c r="I618" s="12" t="s">
        <v>15</v>
      </c>
      <c r="J618" s="22" t="s">
        <v>56</v>
      </c>
      <c r="K618" s="12"/>
      <c r="L618" s="9" t="n">
        <f aca="false">L617+H618</f>
        <v>2360</v>
      </c>
      <c r="M618" s="10" t="str">
        <f aca="false">VLOOKUP(J618,RECATALOGANDO!A:C,2,0)</f>
        <v>SERVICIO DE IMAGEN</v>
      </c>
      <c r="N618" s="12" t="str">
        <f aca="false">VLOOKUP(M618,RECATALOGANDO!B:C,2,0)</f>
        <v>VENTA DE SERVICIO</v>
      </c>
      <c r="O618" s="2" t="s">
        <v>39</v>
      </c>
    </row>
    <row r="619" customFormat="false" ht="13.8" hidden="false" customHeight="false" outlineLevel="0" collapsed="false">
      <c r="A619" s="8" t="n">
        <v>45231</v>
      </c>
      <c r="B619" s="9" t="n">
        <f aca="false">DAY(A619)</f>
        <v>1</v>
      </c>
      <c r="C619" s="9" t="n">
        <f aca="false">MONTH(A619)</f>
        <v>11</v>
      </c>
      <c r="D619" s="9" t="n">
        <f aca="false">YEAR(A619)</f>
        <v>2023</v>
      </c>
      <c r="E619" s="9" t="n">
        <f aca="false">WEEKDAY(A619,2)</f>
        <v>3</v>
      </c>
      <c r="F619" s="10" t="n">
        <f aca="false">WEEKNUM(A619,2) - WEEKNUM(DATE(YEAR(A619),MONTH(A619),1),2) + 1</f>
        <v>1</v>
      </c>
      <c r="G619" s="10"/>
      <c r="H619" s="11" t="n">
        <v>1700</v>
      </c>
      <c r="I619" s="12" t="s">
        <v>15</v>
      </c>
      <c r="J619" s="22" t="s">
        <v>58</v>
      </c>
      <c r="K619" s="12"/>
      <c r="L619" s="9" t="n">
        <f aca="false">L618+H619</f>
        <v>4060</v>
      </c>
      <c r="M619" s="10" t="str">
        <f aca="false">VLOOKUP(J619,RECATALOGANDO!A:C,2,0)</f>
        <v>SERVICIO DE LABORATORIO</v>
      </c>
      <c r="N619" s="12" t="str">
        <f aca="false">VLOOKUP(M619,RECATALOGANDO!B:C,2,0)</f>
        <v>VENTA DE SERVICIO</v>
      </c>
      <c r="O619" s="2" t="s">
        <v>39</v>
      </c>
    </row>
    <row r="620" customFormat="false" ht="13.8" hidden="false" customHeight="false" outlineLevel="0" collapsed="false">
      <c r="A620" s="8" t="n">
        <v>45233</v>
      </c>
      <c r="B620" s="9" t="n">
        <f aca="false">DAY(A620)</f>
        <v>3</v>
      </c>
      <c r="C620" s="9" t="n">
        <f aca="false">MONTH(A620)</f>
        <v>11</v>
      </c>
      <c r="D620" s="9" t="n">
        <f aca="false">YEAR(A620)</f>
        <v>2023</v>
      </c>
      <c r="E620" s="9" t="n">
        <f aca="false">WEEKDAY(A620,2)</f>
        <v>5</v>
      </c>
      <c r="F620" s="10" t="n">
        <f aca="false">WEEKNUM(A620,2) - WEEKNUM(DATE(YEAR(A620),MONTH(A620),1),2) + 1</f>
        <v>1</v>
      </c>
      <c r="G620" s="10"/>
      <c r="H620" s="11" t="n">
        <v>572</v>
      </c>
      <c r="I620" s="12" t="s">
        <v>20</v>
      </c>
      <c r="J620" s="12" t="s">
        <v>51</v>
      </c>
      <c r="K620" s="12"/>
      <c r="L620" s="9" t="n">
        <f aca="false">L619+H620</f>
        <v>4632</v>
      </c>
      <c r="M620" s="10" t="str">
        <f aca="false">VLOOKUP(J620,RECATALOGANDO!A:C,2,0)</f>
        <v>VENTA DE ALIMENTO</v>
      </c>
      <c r="N620" s="12" t="str">
        <f aca="false">VLOOKUP(M620,RECATALOGANDO!B:C,2,0)</f>
        <v>VENTA DE PRODUCTO</v>
      </c>
      <c r="O620" s="2" t="s">
        <v>39</v>
      </c>
    </row>
    <row r="621" customFormat="false" ht="13.8" hidden="false" customHeight="false" outlineLevel="0" collapsed="false">
      <c r="A621" s="8" t="n">
        <v>45233</v>
      </c>
      <c r="B621" s="9" t="n">
        <f aca="false">DAY(A621)</f>
        <v>3</v>
      </c>
      <c r="C621" s="9" t="n">
        <f aca="false">MONTH(A621)</f>
        <v>11</v>
      </c>
      <c r="D621" s="9" t="n">
        <f aca="false">YEAR(A621)</f>
        <v>2023</v>
      </c>
      <c r="E621" s="9" t="n">
        <f aca="false">WEEKDAY(A621,2)</f>
        <v>5</v>
      </c>
      <c r="F621" s="10" t="n">
        <f aca="false">WEEKNUM(A621,2) - WEEKNUM(DATE(YEAR(A621),MONTH(A621),1),2) + 1</f>
        <v>1</v>
      </c>
      <c r="G621" s="10"/>
      <c r="H621" s="11" t="n">
        <v>700</v>
      </c>
      <c r="I621" s="12" t="s">
        <v>15</v>
      </c>
      <c r="J621" s="22" t="s">
        <v>45</v>
      </c>
      <c r="K621" s="12"/>
      <c r="L621" s="9" t="n">
        <f aca="false">L620+H621</f>
        <v>5332</v>
      </c>
      <c r="M621" s="10" t="str">
        <f aca="false">VLOOKUP(J621,RECATALOGANDO!A:C,2,0)</f>
        <v>VENTA DE MEDICAMENTO</v>
      </c>
      <c r="N621" s="12" t="str">
        <f aca="false">VLOOKUP(M621,RECATALOGANDO!B:C,2,0)</f>
        <v>VENTA DE PRODUCTO</v>
      </c>
      <c r="O621" s="2" t="s">
        <v>39</v>
      </c>
    </row>
    <row r="622" customFormat="false" ht="13.8" hidden="false" customHeight="false" outlineLevel="0" collapsed="false">
      <c r="A622" s="8" t="n">
        <v>45233</v>
      </c>
      <c r="B622" s="9" t="n">
        <f aca="false">DAY(A622)</f>
        <v>3</v>
      </c>
      <c r="C622" s="9" t="n">
        <f aca="false">MONTH(A622)</f>
        <v>11</v>
      </c>
      <c r="D622" s="9" t="n">
        <f aca="false">YEAR(A622)</f>
        <v>2023</v>
      </c>
      <c r="E622" s="9" t="n">
        <f aca="false">WEEKDAY(A622,2)</f>
        <v>5</v>
      </c>
      <c r="F622" s="10" t="n">
        <f aca="false">WEEKNUM(A622,2) - WEEKNUM(DATE(YEAR(A622),MONTH(A622),1),2) + 1</f>
        <v>1</v>
      </c>
      <c r="G622" s="10"/>
      <c r="H622" s="11" t="n">
        <v>290</v>
      </c>
      <c r="I622" s="12" t="s">
        <v>20</v>
      </c>
      <c r="J622" s="12" t="s">
        <v>53</v>
      </c>
      <c r="K622" s="12"/>
      <c r="L622" s="9" t="n">
        <f aca="false">L621+H622</f>
        <v>5622</v>
      </c>
      <c r="M622" s="10" t="str">
        <f aca="false">VLOOKUP(J622,RECATALOGANDO!A:C,2,0)</f>
        <v>SERVICIO DE GROOMING</v>
      </c>
      <c r="N622" s="12" t="str">
        <f aca="false">VLOOKUP(M622,RECATALOGANDO!B:C,2,0)</f>
        <v>VENTA DE SERVICIO</v>
      </c>
      <c r="O622" s="2" t="s">
        <v>39</v>
      </c>
    </row>
    <row r="623" customFormat="false" ht="13.8" hidden="false" customHeight="false" outlineLevel="0" collapsed="false">
      <c r="A623" s="8" t="n">
        <v>45233</v>
      </c>
      <c r="B623" s="9" t="n">
        <f aca="false">DAY(A623)</f>
        <v>3</v>
      </c>
      <c r="C623" s="9" t="n">
        <f aca="false">MONTH(A623)</f>
        <v>11</v>
      </c>
      <c r="D623" s="9" t="n">
        <f aca="false">YEAR(A623)</f>
        <v>2023</v>
      </c>
      <c r="E623" s="9" t="n">
        <f aca="false">WEEKDAY(A623,2)</f>
        <v>5</v>
      </c>
      <c r="F623" s="10" t="n">
        <f aca="false">WEEKNUM(A623,2) - WEEKNUM(DATE(YEAR(A623),MONTH(A623),1),2) + 1</f>
        <v>1</v>
      </c>
      <c r="G623" s="10"/>
      <c r="H623" s="11" t="n">
        <v>320</v>
      </c>
      <c r="I623" s="12" t="s">
        <v>20</v>
      </c>
      <c r="J623" s="22" t="s">
        <v>58</v>
      </c>
      <c r="K623" s="12"/>
      <c r="L623" s="9" t="n">
        <f aca="false">L622+H623</f>
        <v>5942</v>
      </c>
      <c r="M623" s="10" t="str">
        <f aca="false">VLOOKUP(J623,RECATALOGANDO!A:C,2,0)</f>
        <v>SERVICIO DE LABORATORIO</v>
      </c>
      <c r="N623" s="12" t="str">
        <f aca="false">VLOOKUP(M623,RECATALOGANDO!B:C,2,0)</f>
        <v>VENTA DE SERVICIO</v>
      </c>
      <c r="O623" s="2" t="s">
        <v>39</v>
      </c>
    </row>
    <row r="624" customFormat="false" ht="13.8" hidden="false" customHeight="false" outlineLevel="0" collapsed="false">
      <c r="A624" s="8" t="n">
        <v>45233</v>
      </c>
      <c r="B624" s="9" t="n">
        <f aca="false">DAY(A624)</f>
        <v>3</v>
      </c>
      <c r="C624" s="9" t="n">
        <f aca="false">MONTH(A624)</f>
        <v>11</v>
      </c>
      <c r="D624" s="9" t="n">
        <f aca="false">YEAR(A624)</f>
        <v>2023</v>
      </c>
      <c r="E624" s="9" t="n">
        <f aca="false">WEEKDAY(A624,2)</f>
        <v>5</v>
      </c>
      <c r="F624" s="10" t="n">
        <f aca="false">WEEKNUM(A624,2) - WEEKNUM(DATE(YEAR(A624),MONTH(A624),1),2) + 1</f>
        <v>1</v>
      </c>
      <c r="G624" s="10"/>
      <c r="H624" s="11" t="n">
        <v>3500</v>
      </c>
      <c r="I624" s="12" t="s">
        <v>15</v>
      </c>
      <c r="J624" s="22" t="s">
        <v>44</v>
      </c>
      <c r="K624" s="12"/>
      <c r="L624" s="9" t="n">
        <f aca="false">L623+H624</f>
        <v>9442</v>
      </c>
      <c r="M624" s="10" t="str">
        <f aca="false">VLOOKUP(J624,RECATALOGANDO!A:C,2,0)</f>
        <v>HONORARIOS MEDICOS</v>
      </c>
      <c r="N624" s="12" t="str">
        <f aca="false">VLOOKUP(M624,RECATALOGANDO!B:C,2,0)</f>
        <v>VENTA DE SERVICIO</v>
      </c>
      <c r="O624" s="2" t="s">
        <v>39</v>
      </c>
    </row>
    <row r="625" customFormat="false" ht="13.8" hidden="false" customHeight="false" outlineLevel="0" collapsed="false">
      <c r="A625" s="8" t="n">
        <v>45234</v>
      </c>
      <c r="B625" s="9" t="n">
        <f aca="false">DAY(A625)</f>
        <v>4</v>
      </c>
      <c r="C625" s="9" t="n">
        <f aca="false">MONTH(A625)</f>
        <v>11</v>
      </c>
      <c r="D625" s="9" t="n">
        <f aca="false">YEAR(A625)</f>
        <v>2023</v>
      </c>
      <c r="E625" s="9" t="n">
        <f aca="false">WEEKDAY(A625,2)</f>
        <v>6</v>
      </c>
      <c r="F625" s="10" t="n">
        <f aca="false">WEEKNUM(A625,2) - WEEKNUM(DATE(YEAR(A625),MONTH(A625),1),2) + 1</f>
        <v>1</v>
      </c>
      <c r="G625" s="10"/>
      <c r="H625" s="11" t="n">
        <v>1209</v>
      </c>
      <c r="I625" s="12" t="s">
        <v>15</v>
      </c>
      <c r="J625" s="22" t="s">
        <v>45</v>
      </c>
      <c r="K625" s="12"/>
      <c r="L625" s="9" t="n">
        <f aca="false">L624+H625</f>
        <v>10651</v>
      </c>
      <c r="M625" s="10" t="str">
        <f aca="false">VLOOKUP(J625,RECATALOGANDO!A:C,2,0)</f>
        <v>VENTA DE MEDICAMENTO</v>
      </c>
      <c r="N625" s="12" t="str">
        <f aca="false">VLOOKUP(M625,RECATALOGANDO!B:C,2,0)</f>
        <v>VENTA DE PRODUCTO</v>
      </c>
      <c r="O625" s="2" t="s">
        <v>39</v>
      </c>
    </row>
    <row r="626" customFormat="false" ht="13.8" hidden="false" customHeight="false" outlineLevel="0" collapsed="false">
      <c r="A626" s="8" t="n">
        <v>45236</v>
      </c>
      <c r="B626" s="9" t="n">
        <f aca="false">DAY(A626)</f>
        <v>6</v>
      </c>
      <c r="C626" s="9" t="n">
        <f aca="false">MONTH(A626)</f>
        <v>11</v>
      </c>
      <c r="D626" s="9" t="n">
        <f aca="false">YEAR(A626)</f>
        <v>2023</v>
      </c>
      <c r="E626" s="9" t="n">
        <f aca="false">WEEKDAY(A626,2)</f>
        <v>1</v>
      </c>
      <c r="F626" s="10" t="n">
        <f aca="false">WEEKNUM(A626,2) - WEEKNUM(DATE(YEAR(A626),MONTH(A626),1),2) + 1</f>
        <v>2</v>
      </c>
      <c r="G626" s="10"/>
      <c r="H626" s="11" t="n">
        <v>420</v>
      </c>
      <c r="I626" s="12" t="s">
        <v>20</v>
      </c>
      <c r="J626" s="22" t="s">
        <v>58</v>
      </c>
      <c r="K626" s="12"/>
      <c r="L626" s="9" t="n">
        <f aca="false">L625+H626</f>
        <v>11071</v>
      </c>
      <c r="M626" s="10" t="str">
        <f aca="false">VLOOKUP(J626,RECATALOGANDO!A:C,2,0)</f>
        <v>SERVICIO DE LABORATORIO</v>
      </c>
      <c r="N626" s="12" t="str">
        <f aca="false">VLOOKUP(M626,RECATALOGANDO!B:C,2,0)</f>
        <v>VENTA DE SERVICIO</v>
      </c>
      <c r="O626" s="2" t="s">
        <v>39</v>
      </c>
    </row>
    <row r="627" customFormat="false" ht="13.8" hidden="false" customHeight="false" outlineLevel="0" collapsed="false">
      <c r="A627" s="8" t="n">
        <v>45237</v>
      </c>
      <c r="B627" s="9" t="n">
        <f aca="false">DAY(A627)</f>
        <v>7</v>
      </c>
      <c r="C627" s="9" t="n">
        <f aca="false">MONTH(A627)</f>
        <v>11</v>
      </c>
      <c r="D627" s="9" t="n">
        <f aca="false">YEAR(A627)</f>
        <v>2023</v>
      </c>
      <c r="E627" s="9" t="n">
        <f aca="false">WEEKDAY(A627,2)</f>
        <v>2</v>
      </c>
      <c r="F627" s="10" t="n">
        <f aca="false">WEEKNUM(A627,2) - WEEKNUM(DATE(YEAR(A627),MONTH(A627),1),2) + 1</f>
        <v>2</v>
      </c>
      <c r="G627" s="10"/>
      <c r="H627" s="11" t="n">
        <v>2432</v>
      </c>
      <c r="I627" s="12" t="s">
        <v>20</v>
      </c>
      <c r="J627" s="22" t="s">
        <v>51</v>
      </c>
      <c r="K627" s="12"/>
      <c r="L627" s="9" t="n">
        <f aca="false">L626+H627</f>
        <v>13503</v>
      </c>
      <c r="M627" s="10" t="str">
        <f aca="false">VLOOKUP(J627,RECATALOGANDO!A:C,2,0)</f>
        <v>VENTA DE ALIMENTO</v>
      </c>
      <c r="N627" s="12" t="str">
        <f aca="false">VLOOKUP(M627,RECATALOGANDO!B:C,2,0)</f>
        <v>VENTA DE PRODUCTO</v>
      </c>
      <c r="O627" s="2" t="s">
        <v>39</v>
      </c>
    </row>
    <row r="628" customFormat="false" ht="13.8" hidden="false" customHeight="false" outlineLevel="0" collapsed="false">
      <c r="A628" s="8" t="n">
        <v>45237</v>
      </c>
      <c r="B628" s="9" t="n">
        <f aca="false">DAY(A628)</f>
        <v>7</v>
      </c>
      <c r="C628" s="9" t="n">
        <f aca="false">MONTH(A628)</f>
        <v>11</v>
      </c>
      <c r="D628" s="9" t="n">
        <f aca="false">YEAR(A628)</f>
        <v>2023</v>
      </c>
      <c r="E628" s="9" t="n">
        <f aca="false">WEEKDAY(A628,2)</f>
        <v>2</v>
      </c>
      <c r="F628" s="10" t="n">
        <f aca="false">WEEKNUM(A628,2) - WEEKNUM(DATE(YEAR(A628),MONTH(A628),1),2) + 1</f>
        <v>2</v>
      </c>
      <c r="G628" s="10"/>
      <c r="H628" s="11" t="n">
        <v>375</v>
      </c>
      <c r="I628" s="12" t="s">
        <v>15</v>
      </c>
      <c r="J628" s="12" t="s">
        <v>53</v>
      </c>
      <c r="K628" s="12"/>
      <c r="L628" s="9" t="n">
        <f aca="false">L627+H628</f>
        <v>13878</v>
      </c>
      <c r="M628" s="10" t="str">
        <f aca="false">VLOOKUP(J628,RECATALOGANDO!A:C,2,0)</f>
        <v>SERVICIO DE GROOMING</v>
      </c>
      <c r="N628" s="12" t="str">
        <f aca="false">VLOOKUP(M628,RECATALOGANDO!B:C,2,0)</f>
        <v>VENTA DE SERVICIO</v>
      </c>
      <c r="O628" s="2" t="s">
        <v>39</v>
      </c>
    </row>
    <row r="629" customFormat="false" ht="13.8" hidden="false" customHeight="false" outlineLevel="0" collapsed="false">
      <c r="A629" s="8" t="n">
        <v>45238</v>
      </c>
      <c r="B629" s="9" t="n">
        <f aca="false">DAY(A629)</f>
        <v>8</v>
      </c>
      <c r="C629" s="9" t="n">
        <f aca="false">MONTH(A629)</f>
        <v>11</v>
      </c>
      <c r="D629" s="9" t="n">
        <f aca="false">YEAR(A629)</f>
        <v>2023</v>
      </c>
      <c r="E629" s="9" t="n">
        <f aca="false">WEEKDAY(A629,2)</f>
        <v>3</v>
      </c>
      <c r="F629" s="10" t="n">
        <f aca="false">WEEKNUM(A629,2) - WEEKNUM(DATE(YEAR(A629),MONTH(A629),1),2) + 1</f>
        <v>2</v>
      </c>
      <c r="G629" s="10"/>
      <c r="H629" s="11" t="n">
        <v>270</v>
      </c>
      <c r="I629" s="12" t="s">
        <v>20</v>
      </c>
      <c r="J629" s="12" t="s">
        <v>53</v>
      </c>
      <c r="K629" s="12"/>
      <c r="L629" s="9" t="n">
        <f aca="false">L628+H629</f>
        <v>14148</v>
      </c>
      <c r="M629" s="10" t="str">
        <f aca="false">VLOOKUP(J629,RECATALOGANDO!A:C,2,0)</f>
        <v>SERVICIO DE GROOMING</v>
      </c>
      <c r="N629" s="12" t="str">
        <f aca="false">VLOOKUP(M629,RECATALOGANDO!B:C,2,0)</f>
        <v>VENTA DE SERVICIO</v>
      </c>
      <c r="O629" s="2" t="s">
        <v>39</v>
      </c>
    </row>
    <row r="630" customFormat="false" ht="13.8" hidden="false" customHeight="false" outlineLevel="0" collapsed="false">
      <c r="A630" s="8" t="n">
        <v>45238</v>
      </c>
      <c r="B630" s="9" t="n">
        <f aca="false">DAY(A630)</f>
        <v>8</v>
      </c>
      <c r="C630" s="9" t="n">
        <f aca="false">MONTH(A630)</f>
        <v>11</v>
      </c>
      <c r="D630" s="9" t="n">
        <f aca="false">YEAR(A630)</f>
        <v>2023</v>
      </c>
      <c r="E630" s="9" t="n">
        <f aca="false">WEEKDAY(A630,2)</f>
        <v>3</v>
      </c>
      <c r="F630" s="10" t="n">
        <f aca="false">WEEKNUM(A630,2) - WEEKNUM(DATE(YEAR(A630),MONTH(A630),1),2) + 1</f>
        <v>2</v>
      </c>
      <c r="G630" s="10"/>
      <c r="H630" s="11" t="n">
        <v>1439</v>
      </c>
      <c r="I630" s="12" t="s">
        <v>15</v>
      </c>
      <c r="J630" s="22" t="s">
        <v>44</v>
      </c>
      <c r="K630" s="12"/>
      <c r="L630" s="9" t="n">
        <f aca="false">L629+H630</f>
        <v>15587</v>
      </c>
      <c r="M630" s="10" t="str">
        <f aca="false">VLOOKUP(J630,RECATALOGANDO!A:C,2,0)</f>
        <v>HONORARIOS MEDICOS</v>
      </c>
      <c r="N630" s="12" t="str">
        <f aca="false">VLOOKUP(M630,RECATALOGANDO!B:C,2,0)</f>
        <v>VENTA DE SERVICIO</v>
      </c>
      <c r="O630" s="2" t="s">
        <v>39</v>
      </c>
    </row>
    <row r="631" customFormat="false" ht="13.8" hidden="false" customHeight="false" outlineLevel="0" collapsed="false">
      <c r="A631" s="8" t="n">
        <v>45239</v>
      </c>
      <c r="B631" s="9" t="n">
        <f aca="false">DAY(A631)</f>
        <v>9</v>
      </c>
      <c r="C631" s="9" t="n">
        <f aca="false">MONTH(A631)</f>
        <v>11</v>
      </c>
      <c r="D631" s="9" t="n">
        <f aca="false">YEAR(A631)</f>
        <v>2023</v>
      </c>
      <c r="E631" s="9" t="n">
        <f aca="false">WEEKDAY(A631,2)</f>
        <v>4</v>
      </c>
      <c r="F631" s="10" t="n">
        <f aca="false">WEEKNUM(A631,2) - WEEKNUM(DATE(YEAR(A631),MONTH(A631),1),2) + 1</f>
        <v>2</v>
      </c>
      <c r="G631" s="10"/>
      <c r="H631" s="11" t="n">
        <v>590</v>
      </c>
      <c r="I631" s="12" t="s">
        <v>20</v>
      </c>
      <c r="J631" s="12" t="s">
        <v>51</v>
      </c>
      <c r="K631" s="12"/>
      <c r="L631" s="9" t="n">
        <f aca="false">L630+H631</f>
        <v>16177</v>
      </c>
      <c r="M631" s="10" t="str">
        <f aca="false">VLOOKUP(J631,RECATALOGANDO!A:C,2,0)</f>
        <v>VENTA DE ALIMENTO</v>
      </c>
      <c r="N631" s="12" t="str">
        <f aca="false">VLOOKUP(M631,RECATALOGANDO!B:C,2,0)</f>
        <v>VENTA DE PRODUCTO</v>
      </c>
      <c r="O631" s="2" t="s">
        <v>39</v>
      </c>
    </row>
    <row r="632" customFormat="false" ht="13.8" hidden="false" customHeight="false" outlineLevel="0" collapsed="false">
      <c r="A632" s="8" t="n">
        <v>45239</v>
      </c>
      <c r="B632" s="9" t="n">
        <f aca="false">DAY(A632)</f>
        <v>9</v>
      </c>
      <c r="C632" s="9" t="n">
        <f aca="false">MONTH(A632)</f>
        <v>11</v>
      </c>
      <c r="D632" s="9" t="n">
        <f aca="false">YEAR(A632)</f>
        <v>2023</v>
      </c>
      <c r="E632" s="9" t="n">
        <f aca="false">WEEKDAY(A632,2)</f>
        <v>4</v>
      </c>
      <c r="F632" s="10" t="n">
        <f aca="false">WEEKNUM(A632,2) - WEEKNUM(DATE(YEAR(A632),MONTH(A632),1),2) + 1</f>
        <v>2</v>
      </c>
      <c r="G632" s="10"/>
      <c r="H632" s="11" t="n">
        <v>866</v>
      </c>
      <c r="I632" s="12" t="s">
        <v>15</v>
      </c>
      <c r="J632" s="22" t="s">
        <v>58</v>
      </c>
      <c r="K632" s="12"/>
      <c r="L632" s="9" t="n">
        <f aca="false">L631+H632</f>
        <v>17043</v>
      </c>
      <c r="M632" s="10" t="str">
        <f aca="false">VLOOKUP(J632,RECATALOGANDO!A:C,2,0)</f>
        <v>SERVICIO DE LABORATORIO</v>
      </c>
      <c r="N632" s="12" t="str">
        <f aca="false">VLOOKUP(M632,RECATALOGANDO!B:C,2,0)</f>
        <v>VENTA DE SERVICIO</v>
      </c>
      <c r="O632" s="2" t="s">
        <v>39</v>
      </c>
    </row>
    <row r="633" customFormat="false" ht="13.8" hidden="false" customHeight="false" outlineLevel="0" collapsed="false">
      <c r="A633" s="8" t="n">
        <v>45240</v>
      </c>
      <c r="B633" s="9" t="n">
        <f aca="false">DAY(A633)</f>
        <v>10</v>
      </c>
      <c r="C633" s="9" t="n">
        <f aca="false">MONTH(A633)</f>
        <v>11</v>
      </c>
      <c r="D633" s="9" t="n">
        <f aca="false">YEAR(A633)</f>
        <v>2023</v>
      </c>
      <c r="E633" s="9" t="n">
        <f aca="false">WEEKDAY(A633,2)</f>
        <v>5</v>
      </c>
      <c r="F633" s="10" t="n">
        <f aca="false">WEEKNUM(A633,2) - WEEKNUM(DATE(YEAR(A633),MONTH(A633),1),2) + 1</f>
        <v>2</v>
      </c>
      <c r="G633" s="10"/>
      <c r="H633" s="11" t="n">
        <v>1128</v>
      </c>
      <c r="I633" s="12" t="s">
        <v>20</v>
      </c>
      <c r="J633" s="22" t="s">
        <v>58</v>
      </c>
      <c r="K633" s="12"/>
      <c r="L633" s="9" t="n">
        <f aca="false">L632+H633</f>
        <v>18171</v>
      </c>
      <c r="M633" s="10" t="str">
        <f aca="false">VLOOKUP(J633,RECATALOGANDO!A:C,2,0)</f>
        <v>SERVICIO DE LABORATORIO</v>
      </c>
      <c r="N633" s="12" t="str">
        <f aca="false">VLOOKUP(M633,RECATALOGANDO!B:C,2,0)</f>
        <v>VENTA DE SERVICIO</v>
      </c>
      <c r="O633" s="2" t="s">
        <v>39</v>
      </c>
    </row>
    <row r="634" customFormat="false" ht="13.8" hidden="false" customHeight="false" outlineLevel="0" collapsed="false">
      <c r="A634" s="8" t="n">
        <v>45243</v>
      </c>
      <c r="B634" s="9" t="n">
        <f aca="false">DAY(A634)</f>
        <v>13</v>
      </c>
      <c r="C634" s="9" t="n">
        <f aca="false">MONTH(A634)</f>
        <v>11</v>
      </c>
      <c r="D634" s="9" t="n">
        <f aca="false">YEAR(A634)</f>
        <v>2023</v>
      </c>
      <c r="E634" s="9" t="n">
        <f aca="false">WEEKDAY(A634,2)</f>
        <v>1</v>
      </c>
      <c r="F634" s="10" t="n">
        <f aca="false">WEEKNUM(A634,2) - WEEKNUM(DATE(YEAR(A634),MONTH(A634),1),2) + 1</f>
        <v>3</v>
      </c>
      <c r="G634" s="10"/>
      <c r="H634" s="11" t="n">
        <v>300</v>
      </c>
      <c r="I634" s="12" t="s">
        <v>15</v>
      </c>
      <c r="J634" s="12" t="s">
        <v>53</v>
      </c>
      <c r="K634" s="12"/>
      <c r="L634" s="9" t="n">
        <f aca="false">L633+H634</f>
        <v>18471</v>
      </c>
      <c r="M634" s="10" t="str">
        <f aca="false">VLOOKUP(J634,RECATALOGANDO!A:C,2,0)</f>
        <v>SERVICIO DE GROOMING</v>
      </c>
      <c r="N634" s="12" t="str">
        <f aca="false">VLOOKUP(M634,RECATALOGANDO!B:C,2,0)</f>
        <v>VENTA DE SERVICIO</v>
      </c>
      <c r="O634" s="2" t="s">
        <v>39</v>
      </c>
    </row>
    <row r="635" customFormat="false" ht="13.8" hidden="false" customHeight="false" outlineLevel="0" collapsed="false">
      <c r="A635" s="8" t="n">
        <v>45243</v>
      </c>
      <c r="B635" s="9" t="n">
        <f aca="false">DAY(A635)</f>
        <v>13</v>
      </c>
      <c r="C635" s="9" t="n">
        <f aca="false">MONTH(A635)</f>
        <v>11</v>
      </c>
      <c r="D635" s="9" t="n">
        <f aca="false">YEAR(A635)</f>
        <v>2023</v>
      </c>
      <c r="E635" s="9" t="n">
        <f aca="false">WEEKDAY(A635,2)</f>
        <v>1</v>
      </c>
      <c r="F635" s="10" t="n">
        <f aca="false">WEEKNUM(A635,2) - WEEKNUM(DATE(YEAR(A635),MONTH(A635),1),2) + 1</f>
        <v>3</v>
      </c>
      <c r="G635" s="10"/>
      <c r="H635" s="11" t="n">
        <v>2050</v>
      </c>
      <c r="I635" s="12" t="s">
        <v>20</v>
      </c>
      <c r="J635" s="22" t="s">
        <v>44</v>
      </c>
      <c r="K635" s="12"/>
      <c r="L635" s="9" t="n">
        <f aca="false">L634+H635</f>
        <v>20521</v>
      </c>
      <c r="M635" s="10" t="str">
        <f aca="false">VLOOKUP(J635,RECATALOGANDO!A:C,2,0)</f>
        <v>HONORARIOS MEDICOS</v>
      </c>
      <c r="N635" s="12" t="str">
        <f aca="false">VLOOKUP(M635,RECATALOGANDO!B:C,2,0)</f>
        <v>VENTA DE SERVICIO</v>
      </c>
      <c r="O635" s="2" t="s">
        <v>39</v>
      </c>
    </row>
    <row r="636" customFormat="false" ht="13.8" hidden="false" customHeight="false" outlineLevel="0" collapsed="false">
      <c r="A636" s="8" t="n">
        <v>45244</v>
      </c>
      <c r="B636" s="9" t="n">
        <f aca="false">DAY(A636)</f>
        <v>14</v>
      </c>
      <c r="C636" s="9" t="n">
        <f aca="false">MONTH(A636)</f>
        <v>11</v>
      </c>
      <c r="D636" s="9" t="n">
        <f aca="false">YEAR(A636)</f>
        <v>2023</v>
      </c>
      <c r="E636" s="9" t="n">
        <f aca="false">WEEKDAY(A636,2)</f>
        <v>2</v>
      </c>
      <c r="F636" s="10" t="n">
        <f aca="false">WEEKNUM(A636,2) - WEEKNUM(DATE(YEAR(A636),MONTH(A636),1),2) + 1</f>
        <v>3</v>
      </c>
      <c r="G636" s="10"/>
      <c r="H636" s="11" t="n">
        <v>1900</v>
      </c>
      <c r="I636" s="12" t="s">
        <v>20</v>
      </c>
      <c r="J636" s="22" t="s">
        <v>56</v>
      </c>
      <c r="K636" s="12"/>
      <c r="L636" s="9" t="n">
        <f aca="false">L635+H636</f>
        <v>22421</v>
      </c>
      <c r="M636" s="10" t="str">
        <f aca="false">VLOOKUP(J636,RECATALOGANDO!A:C,2,0)</f>
        <v>SERVICIO DE IMAGEN</v>
      </c>
      <c r="N636" s="12" t="str">
        <f aca="false">VLOOKUP(M636,RECATALOGANDO!B:C,2,0)</f>
        <v>VENTA DE SERVICIO</v>
      </c>
      <c r="O636" s="2" t="s">
        <v>39</v>
      </c>
    </row>
    <row r="637" customFormat="false" ht="13.8" hidden="false" customHeight="false" outlineLevel="0" collapsed="false">
      <c r="A637" s="8" t="n">
        <v>45246</v>
      </c>
      <c r="B637" s="9" t="n">
        <f aca="false">DAY(A637)</f>
        <v>16</v>
      </c>
      <c r="C637" s="9" t="n">
        <f aca="false">MONTH(A637)</f>
        <v>11</v>
      </c>
      <c r="D637" s="9" t="n">
        <f aca="false">YEAR(A637)</f>
        <v>2023</v>
      </c>
      <c r="E637" s="9" t="n">
        <f aca="false">WEEKDAY(A637,2)</f>
        <v>4</v>
      </c>
      <c r="F637" s="10" t="n">
        <f aca="false">WEEKNUM(A637,2) - WEEKNUM(DATE(YEAR(A637),MONTH(A637),1),2) + 1</f>
        <v>3</v>
      </c>
      <c r="G637" s="10"/>
      <c r="H637" s="11" t="n">
        <v>576</v>
      </c>
      <c r="I637" s="12" t="s">
        <v>20</v>
      </c>
      <c r="J637" s="12" t="s">
        <v>51</v>
      </c>
      <c r="K637" s="12"/>
      <c r="L637" s="9" t="n">
        <f aca="false">L636+H637</f>
        <v>22997</v>
      </c>
      <c r="M637" s="10" t="str">
        <f aca="false">VLOOKUP(J637,RECATALOGANDO!A:C,2,0)</f>
        <v>VENTA DE ALIMENTO</v>
      </c>
      <c r="N637" s="12" t="str">
        <f aca="false">VLOOKUP(M637,RECATALOGANDO!B:C,2,0)</f>
        <v>VENTA DE PRODUCTO</v>
      </c>
      <c r="O637" s="2" t="s">
        <v>39</v>
      </c>
    </row>
    <row r="638" customFormat="false" ht="13.8" hidden="false" customHeight="false" outlineLevel="0" collapsed="false">
      <c r="A638" s="8" t="n">
        <v>45247</v>
      </c>
      <c r="B638" s="9" t="n">
        <f aca="false">DAY(A638)</f>
        <v>17</v>
      </c>
      <c r="C638" s="9" t="n">
        <f aca="false">MONTH(A638)</f>
        <v>11</v>
      </c>
      <c r="D638" s="9" t="n">
        <f aca="false">YEAR(A638)</f>
        <v>2023</v>
      </c>
      <c r="E638" s="9" t="n">
        <f aca="false">WEEKDAY(A638,2)</f>
        <v>5</v>
      </c>
      <c r="F638" s="10" t="n">
        <f aca="false">WEEKNUM(A638,2) - WEEKNUM(DATE(YEAR(A638),MONTH(A638),1),2) + 1</f>
        <v>3</v>
      </c>
      <c r="G638" s="10"/>
      <c r="H638" s="11" t="n">
        <v>2312</v>
      </c>
      <c r="I638" s="12" t="s">
        <v>15</v>
      </c>
      <c r="J638" s="22" t="s">
        <v>41</v>
      </c>
      <c r="K638" s="12"/>
      <c r="L638" s="9" t="n">
        <f aca="false">L637+H638</f>
        <v>25309</v>
      </c>
      <c r="M638" s="10" t="str">
        <f aca="false">VLOOKUP(J638,RECATALOGANDO!A:C,2,0)</f>
        <v>HONORARIOS QUIRURGICOS</v>
      </c>
      <c r="N638" s="12" t="str">
        <f aca="false">VLOOKUP(M638,RECATALOGANDO!B:C,2,0)</f>
        <v>VENTA DE SERVICIO</v>
      </c>
      <c r="O638" s="2" t="s">
        <v>39</v>
      </c>
    </row>
    <row r="639" customFormat="false" ht="13.8" hidden="false" customHeight="false" outlineLevel="0" collapsed="false">
      <c r="A639" s="8" t="n">
        <v>45250</v>
      </c>
      <c r="B639" s="9" t="n">
        <f aca="false">DAY(A639)</f>
        <v>20</v>
      </c>
      <c r="C639" s="9" t="n">
        <f aca="false">MONTH(A639)</f>
        <v>11</v>
      </c>
      <c r="D639" s="9" t="n">
        <f aca="false">YEAR(A639)</f>
        <v>2023</v>
      </c>
      <c r="E639" s="9" t="n">
        <f aca="false">WEEKDAY(A639,2)</f>
        <v>1</v>
      </c>
      <c r="F639" s="10" t="n">
        <f aca="false">WEEKNUM(A639,2) - WEEKNUM(DATE(YEAR(A639),MONTH(A639),1),2) + 1</f>
        <v>4</v>
      </c>
      <c r="G639" s="10"/>
      <c r="H639" s="11" t="n">
        <v>1170</v>
      </c>
      <c r="I639" s="12" t="s">
        <v>15</v>
      </c>
      <c r="J639" s="22" t="s">
        <v>44</v>
      </c>
      <c r="K639" s="12"/>
      <c r="L639" s="9" t="n">
        <f aca="false">L638+H639</f>
        <v>26479</v>
      </c>
      <c r="M639" s="10" t="str">
        <f aca="false">VLOOKUP(J639,RECATALOGANDO!A:C,2,0)</f>
        <v>HONORARIOS MEDICOS</v>
      </c>
      <c r="N639" s="12" t="str">
        <f aca="false">VLOOKUP(M639,RECATALOGANDO!B:C,2,0)</f>
        <v>VENTA DE SERVICIO</v>
      </c>
      <c r="O639" s="2" t="s">
        <v>39</v>
      </c>
    </row>
    <row r="640" customFormat="false" ht="13.8" hidden="false" customHeight="false" outlineLevel="0" collapsed="false">
      <c r="A640" s="8" t="n">
        <v>45252</v>
      </c>
      <c r="B640" s="9" t="n">
        <f aca="false">DAY(A640)</f>
        <v>22</v>
      </c>
      <c r="C640" s="9" t="n">
        <f aca="false">MONTH(A640)</f>
        <v>11</v>
      </c>
      <c r="D640" s="9" t="n">
        <f aca="false">YEAR(A640)</f>
        <v>2023</v>
      </c>
      <c r="E640" s="9" t="n">
        <f aca="false">WEEKDAY(A640,2)</f>
        <v>3</v>
      </c>
      <c r="F640" s="10" t="n">
        <f aca="false">WEEKNUM(A640,2) - WEEKNUM(DATE(YEAR(A640),MONTH(A640),1),2) + 1</f>
        <v>4</v>
      </c>
      <c r="G640" s="10"/>
      <c r="H640" s="11" t="n">
        <v>5250</v>
      </c>
      <c r="I640" s="12" t="s">
        <v>15</v>
      </c>
      <c r="J640" s="22" t="s">
        <v>45</v>
      </c>
      <c r="K640" s="12"/>
      <c r="L640" s="9" t="n">
        <f aca="false">L639+H640</f>
        <v>31729</v>
      </c>
      <c r="M640" s="10" t="str">
        <f aca="false">VLOOKUP(J640,RECATALOGANDO!A:C,2,0)</f>
        <v>VENTA DE MEDICAMENTO</v>
      </c>
      <c r="N640" s="12" t="str">
        <f aca="false">VLOOKUP(M640,RECATALOGANDO!B:C,2,0)</f>
        <v>VENTA DE PRODUCTO</v>
      </c>
      <c r="O640" s="2" t="s">
        <v>39</v>
      </c>
    </row>
    <row r="641" customFormat="false" ht="13.8" hidden="false" customHeight="false" outlineLevel="0" collapsed="false">
      <c r="A641" s="8" t="n">
        <v>45252</v>
      </c>
      <c r="B641" s="9" t="n">
        <f aca="false">DAY(A641)</f>
        <v>22</v>
      </c>
      <c r="C641" s="9" t="n">
        <f aca="false">MONTH(A641)</f>
        <v>11</v>
      </c>
      <c r="D641" s="9" t="n">
        <f aca="false">YEAR(A641)</f>
        <v>2023</v>
      </c>
      <c r="E641" s="9" t="n">
        <f aca="false">WEEKDAY(A641,2)</f>
        <v>3</v>
      </c>
      <c r="F641" s="10" t="n">
        <f aca="false">WEEKNUM(A641,2) - WEEKNUM(DATE(YEAR(A641),MONTH(A641),1),2) + 1</f>
        <v>4</v>
      </c>
      <c r="G641" s="10"/>
      <c r="H641" s="11" t="n">
        <v>198</v>
      </c>
      <c r="I641" s="12" t="s">
        <v>15</v>
      </c>
      <c r="J641" s="12" t="s">
        <v>53</v>
      </c>
      <c r="K641" s="12"/>
      <c r="L641" s="9" t="n">
        <f aca="false">L640+H641</f>
        <v>31927</v>
      </c>
      <c r="M641" s="10" t="str">
        <f aca="false">VLOOKUP(J641,RECATALOGANDO!A:C,2,0)</f>
        <v>SERVICIO DE GROOMING</v>
      </c>
      <c r="N641" s="12" t="str">
        <f aca="false">VLOOKUP(M641,RECATALOGANDO!B:C,2,0)</f>
        <v>VENTA DE SERVICIO</v>
      </c>
      <c r="O641" s="2" t="s">
        <v>39</v>
      </c>
    </row>
    <row r="642" customFormat="false" ht="13.8" hidden="false" customHeight="false" outlineLevel="0" collapsed="false">
      <c r="A642" s="8" t="n">
        <v>45253</v>
      </c>
      <c r="B642" s="9" t="n">
        <f aca="false">DAY(A642)</f>
        <v>23</v>
      </c>
      <c r="C642" s="9" t="n">
        <f aca="false">MONTH(A642)</f>
        <v>11</v>
      </c>
      <c r="D642" s="9" t="n">
        <f aca="false">YEAR(A642)</f>
        <v>2023</v>
      </c>
      <c r="E642" s="9" t="n">
        <f aca="false">WEEKDAY(A642,2)</f>
        <v>4</v>
      </c>
      <c r="F642" s="10" t="n">
        <f aca="false">WEEKNUM(A642,2) - WEEKNUM(DATE(YEAR(A642),MONTH(A642),1),2) + 1</f>
        <v>4</v>
      </c>
      <c r="G642" s="10"/>
      <c r="H642" s="11" t="n">
        <v>190</v>
      </c>
      <c r="I642" s="12" t="s">
        <v>15</v>
      </c>
      <c r="J642" s="12" t="s">
        <v>53</v>
      </c>
      <c r="K642" s="12"/>
      <c r="L642" s="9" t="n">
        <f aca="false">L641+H642</f>
        <v>32117</v>
      </c>
      <c r="M642" s="10" t="str">
        <f aca="false">VLOOKUP(J642,RECATALOGANDO!A:C,2,0)</f>
        <v>SERVICIO DE GROOMING</v>
      </c>
      <c r="N642" s="12" t="str">
        <f aca="false">VLOOKUP(M642,RECATALOGANDO!B:C,2,0)</f>
        <v>VENTA DE SERVICIO</v>
      </c>
      <c r="O642" s="2" t="s">
        <v>39</v>
      </c>
    </row>
    <row r="643" customFormat="false" ht="13.8" hidden="false" customHeight="false" outlineLevel="0" collapsed="false">
      <c r="A643" s="8" t="n">
        <v>45253</v>
      </c>
      <c r="B643" s="9" t="n">
        <f aca="false">DAY(A643)</f>
        <v>23</v>
      </c>
      <c r="C643" s="9" t="n">
        <f aca="false">MONTH(A643)</f>
        <v>11</v>
      </c>
      <c r="D643" s="9" t="n">
        <f aca="false">YEAR(A643)</f>
        <v>2023</v>
      </c>
      <c r="E643" s="9" t="n">
        <f aca="false">WEEKDAY(A643,2)</f>
        <v>4</v>
      </c>
      <c r="F643" s="10" t="n">
        <f aca="false">WEEKNUM(A643,2) - WEEKNUM(DATE(YEAR(A643),MONTH(A643),1),2) + 1</f>
        <v>4</v>
      </c>
      <c r="G643" s="10"/>
      <c r="H643" s="11" t="n">
        <v>430</v>
      </c>
      <c r="I643" s="12" t="s">
        <v>15</v>
      </c>
      <c r="J643" s="12" t="s">
        <v>44</v>
      </c>
      <c r="K643" s="12"/>
      <c r="L643" s="9" t="n">
        <f aca="false">L642+H643</f>
        <v>32547</v>
      </c>
      <c r="M643" s="10" t="str">
        <f aca="false">VLOOKUP(J643,RECATALOGANDO!A:C,2,0)</f>
        <v>HONORARIOS MEDICOS</v>
      </c>
      <c r="N643" s="12" t="str">
        <f aca="false">VLOOKUP(M643,RECATALOGANDO!B:C,2,0)</f>
        <v>VENTA DE SERVICIO</v>
      </c>
      <c r="O643" s="2" t="s">
        <v>39</v>
      </c>
    </row>
    <row r="644" customFormat="false" ht="13.8" hidden="false" customHeight="false" outlineLevel="0" collapsed="false">
      <c r="A644" s="8" t="n">
        <v>45253</v>
      </c>
      <c r="B644" s="9" t="n">
        <f aca="false">DAY(A644)</f>
        <v>23</v>
      </c>
      <c r="C644" s="9" t="n">
        <f aca="false">MONTH(A644)</f>
        <v>11</v>
      </c>
      <c r="D644" s="9" t="n">
        <f aca="false">YEAR(A644)</f>
        <v>2023</v>
      </c>
      <c r="E644" s="9" t="n">
        <f aca="false">WEEKDAY(A644,2)</f>
        <v>4</v>
      </c>
      <c r="F644" s="10" t="n">
        <f aca="false">WEEKNUM(A644,2) - WEEKNUM(DATE(YEAR(A644),MONTH(A644),1),2) + 1</f>
        <v>4</v>
      </c>
      <c r="G644" s="10"/>
      <c r="H644" s="11" t="n">
        <v>1945</v>
      </c>
      <c r="I644" s="12" t="s">
        <v>20</v>
      </c>
      <c r="J644" s="22" t="s">
        <v>44</v>
      </c>
      <c r="K644" s="12"/>
      <c r="L644" s="9" t="n">
        <f aca="false">L643+H644</f>
        <v>34492</v>
      </c>
      <c r="M644" s="10" t="str">
        <f aca="false">VLOOKUP(J644,RECATALOGANDO!A:C,2,0)</f>
        <v>HONORARIOS MEDICOS</v>
      </c>
      <c r="N644" s="12" t="str">
        <f aca="false">VLOOKUP(M644,RECATALOGANDO!B:C,2,0)</f>
        <v>VENTA DE SERVICIO</v>
      </c>
      <c r="O644" s="2" t="s">
        <v>39</v>
      </c>
    </row>
    <row r="645" customFormat="false" ht="13.8" hidden="false" customHeight="false" outlineLevel="0" collapsed="false">
      <c r="A645" s="8" t="n">
        <v>45254</v>
      </c>
      <c r="B645" s="9" t="n">
        <f aca="false">DAY(A645)</f>
        <v>24</v>
      </c>
      <c r="C645" s="9" t="n">
        <f aca="false">MONTH(A645)</f>
        <v>11</v>
      </c>
      <c r="D645" s="9" t="n">
        <f aca="false">YEAR(A645)</f>
        <v>2023</v>
      </c>
      <c r="E645" s="9" t="n">
        <f aca="false">WEEKDAY(A645,2)</f>
        <v>5</v>
      </c>
      <c r="F645" s="10" t="n">
        <f aca="false">WEEKNUM(A645,2) - WEEKNUM(DATE(YEAR(A645),MONTH(A645),1),2) + 1</f>
        <v>4</v>
      </c>
      <c r="G645" s="10"/>
      <c r="H645" s="11" t="n">
        <v>1626</v>
      </c>
      <c r="I645" s="12" t="s">
        <v>20</v>
      </c>
      <c r="J645" s="22" t="s">
        <v>45</v>
      </c>
      <c r="K645" s="12"/>
      <c r="L645" s="9" t="n">
        <f aca="false">L644+H645</f>
        <v>36118</v>
      </c>
      <c r="M645" s="10" t="str">
        <f aca="false">VLOOKUP(J645,RECATALOGANDO!A:C,2,0)</f>
        <v>VENTA DE MEDICAMENTO</v>
      </c>
      <c r="N645" s="12" t="str">
        <f aca="false">VLOOKUP(M645,RECATALOGANDO!B:C,2,0)</f>
        <v>VENTA DE PRODUCTO</v>
      </c>
      <c r="O645" s="2" t="s">
        <v>39</v>
      </c>
    </row>
    <row r="646" customFormat="false" ht="13.8" hidden="false" customHeight="false" outlineLevel="0" collapsed="false">
      <c r="A646" s="8" t="n">
        <v>45255</v>
      </c>
      <c r="B646" s="9" t="n">
        <f aca="false">DAY(A646)</f>
        <v>25</v>
      </c>
      <c r="C646" s="9" t="n">
        <f aca="false">MONTH(A646)</f>
        <v>11</v>
      </c>
      <c r="D646" s="9" t="n">
        <f aca="false">YEAR(A646)</f>
        <v>2023</v>
      </c>
      <c r="E646" s="9" t="n">
        <f aca="false">WEEKDAY(A646,2)</f>
        <v>6</v>
      </c>
      <c r="F646" s="10" t="n">
        <f aca="false">WEEKNUM(A646,2) - WEEKNUM(DATE(YEAR(A646),MONTH(A646),1),2) + 1</f>
        <v>4</v>
      </c>
      <c r="G646" s="10"/>
      <c r="H646" s="11" t="n">
        <v>598</v>
      </c>
      <c r="I646" s="12" t="s">
        <v>15</v>
      </c>
      <c r="J646" s="22" t="s">
        <v>59</v>
      </c>
      <c r="K646" s="12"/>
      <c r="L646" s="9" t="n">
        <f aca="false">L645+H646</f>
        <v>36716</v>
      </c>
      <c r="M646" s="10" t="str">
        <f aca="false">VLOOKUP(J646,RECATALOGANDO!A:C,2,0)</f>
        <v>SERVICIO DE PENSION</v>
      </c>
      <c r="N646" s="12" t="str">
        <f aca="false">VLOOKUP(M646,RECATALOGANDO!B:C,2,0)</f>
        <v>VENTA DE SERVICIO</v>
      </c>
      <c r="O646" s="2" t="s">
        <v>39</v>
      </c>
    </row>
    <row r="647" customFormat="false" ht="13.8" hidden="false" customHeight="false" outlineLevel="0" collapsed="false">
      <c r="A647" s="8" t="n">
        <v>45256</v>
      </c>
      <c r="B647" s="9" t="n">
        <f aca="false">DAY(A647)</f>
        <v>26</v>
      </c>
      <c r="C647" s="9" t="n">
        <f aca="false">MONTH(A647)</f>
        <v>11</v>
      </c>
      <c r="D647" s="9" t="n">
        <f aca="false">YEAR(A647)</f>
        <v>2023</v>
      </c>
      <c r="E647" s="9" t="n">
        <f aca="false">WEEKDAY(A647,2)</f>
        <v>7</v>
      </c>
      <c r="F647" s="10" t="n">
        <f aca="false">WEEKNUM(A647,2) - WEEKNUM(DATE(YEAR(A647),MONTH(A647),1),2) + 1</f>
        <v>4</v>
      </c>
      <c r="G647" s="10"/>
      <c r="H647" s="11" t="n">
        <v>119</v>
      </c>
      <c r="I647" s="12" t="s">
        <v>15</v>
      </c>
      <c r="J647" s="12" t="s">
        <v>53</v>
      </c>
      <c r="K647" s="12"/>
      <c r="L647" s="9" t="n">
        <f aca="false">L646+H647</f>
        <v>36835</v>
      </c>
      <c r="M647" s="10" t="str">
        <f aca="false">VLOOKUP(J647,RECATALOGANDO!A:C,2,0)</f>
        <v>SERVICIO DE GROOMING</v>
      </c>
      <c r="N647" s="12" t="str">
        <f aca="false">VLOOKUP(M647,RECATALOGANDO!B:C,2,0)</f>
        <v>VENTA DE SERVICIO</v>
      </c>
      <c r="O647" s="2" t="s">
        <v>39</v>
      </c>
    </row>
    <row r="648" customFormat="false" ht="13.8" hidden="false" customHeight="false" outlineLevel="0" collapsed="false">
      <c r="A648" s="8" t="n">
        <v>45258</v>
      </c>
      <c r="B648" s="9" t="n">
        <f aca="false">DAY(A648)</f>
        <v>28</v>
      </c>
      <c r="C648" s="9" t="n">
        <f aca="false">MONTH(A648)</f>
        <v>11</v>
      </c>
      <c r="D648" s="9" t="n">
        <f aca="false">YEAR(A648)</f>
        <v>2023</v>
      </c>
      <c r="E648" s="9" t="n">
        <f aca="false">WEEKDAY(A648,2)</f>
        <v>2</v>
      </c>
      <c r="F648" s="10" t="n">
        <f aca="false">WEEKNUM(A648,2) - WEEKNUM(DATE(YEAR(A648),MONTH(A648),1),2) + 1</f>
        <v>5</v>
      </c>
      <c r="G648" s="10"/>
      <c r="H648" s="11" t="n">
        <v>863</v>
      </c>
      <c r="I648" s="12" t="s">
        <v>15</v>
      </c>
      <c r="J648" s="22" t="s">
        <v>59</v>
      </c>
      <c r="K648" s="12"/>
      <c r="L648" s="9" t="n">
        <f aca="false">L647+H648</f>
        <v>37698</v>
      </c>
      <c r="M648" s="10" t="str">
        <f aca="false">VLOOKUP(J648,RECATALOGANDO!A:C,2,0)</f>
        <v>SERVICIO DE PENSION</v>
      </c>
      <c r="N648" s="12" t="str">
        <f aca="false">VLOOKUP(M648,RECATALOGANDO!B:C,2,0)</f>
        <v>VENTA DE SERVICIO</v>
      </c>
      <c r="O648" s="2" t="s">
        <v>39</v>
      </c>
    </row>
    <row r="649" customFormat="false" ht="13.8" hidden="false" customHeight="false" outlineLevel="0" collapsed="false">
      <c r="A649" s="8" t="n">
        <v>45258</v>
      </c>
      <c r="B649" s="9" t="n">
        <f aca="false">DAY(A649)</f>
        <v>28</v>
      </c>
      <c r="C649" s="9" t="n">
        <f aca="false">MONTH(A649)</f>
        <v>11</v>
      </c>
      <c r="D649" s="9" t="n">
        <f aca="false">YEAR(A649)</f>
        <v>2023</v>
      </c>
      <c r="E649" s="9" t="n">
        <f aca="false">WEEKDAY(A649,2)</f>
        <v>2</v>
      </c>
      <c r="F649" s="10" t="n">
        <f aca="false">WEEKNUM(A649,2) - WEEKNUM(DATE(YEAR(A649),MONTH(A649),1),2) + 1</f>
        <v>5</v>
      </c>
      <c r="G649" s="10"/>
      <c r="H649" s="11" t="n">
        <v>1000</v>
      </c>
      <c r="I649" s="12" t="s">
        <v>15</v>
      </c>
      <c r="J649" s="22" t="s">
        <v>44</v>
      </c>
      <c r="K649" s="12"/>
      <c r="L649" s="9" t="n">
        <f aca="false">L648+H649</f>
        <v>38698</v>
      </c>
      <c r="M649" s="10" t="str">
        <f aca="false">VLOOKUP(J649,RECATALOGANDO!A:C,2,0)</f>
        <v>HONORARIOS MEDICOS</v>
      </c>
      <c r="N649" s="12" t="str">
        <f aca="false">VLOOKUP(M649,RECATALOGANDO!B:C,2,0)</f>
        <v>VENTA DE SERVICIO</v>
      </c>
      <c r="O649" s="2" t="s">
        <v>39</v>
      </c>
    </row>
    <row r="650" customFormat="false" ht="13.8" hidden="false" customHeight="false" outlineLevel="0" collapsed="false">
      <c r="A650" s="8" t="n">
        <v>45260</v>
      </c>
      <c r="B650" s="9" t="n">
        <f aca="false">DAY(A650)</f>
        <v>30</v>
      </c>
      <c r="C650" s="9" t="n">
        <f aca="false">MONTH(A650)</f>
        <v>11</v>
      </c>
      <c r="D650" s="9" t="n">
        <f aca="false">YEAR(A650)</f>
        <v>2023</v>
      </c>
      <c r="E650" s="9" t="n">
        <f aca="false">WEEKDAY(A650,2)</f>
        <v>4</v>
      </c>
      <c r="F650" s="10" t="n">
        <f aca="false">WEEKNUM(A650,2) - WEEKNUM(DATE(YEAR(A650),MONTH(A650),1),2) + 1</f>
        <v>5</v>
      </c>
      <c r="G650" s="10" t="n">
        <v>2</v>
      </c>
      <c r="H650" s="11" t="n">
        <v>680</v>
      </c>
      <c r="I650" s="12" t="s">
        <v>15</v>
      </c>
      <c r="J650" s="12" t="s">
        <v>51</v>
      </c>
      <c r="K650" s="12"/>
      <c r="L650" s="9" t="n">
        <f aca="false">L649+H650</f>
        <v>39378</v>
      </c>
      <c r="M650" s="10" t="str">
        <f aca="false">VLOOKUP(J650,RECATALOGANDO!A:C,2,0)</f>
        <v>VENTA DE ALIMENTO</v>
      </c>
      <c r="N650" s="12" t="str">
        <f aca="false">VLOOKUP(M650,RECATALOGANDO!B:C,2,0)</f>
        <v>VENTA DE PRODUCTO</v>
      </c>
      <c r="O650" s="2" t="s">
        <v>39</v>
      </c>
    </row>
    <row r="651" customFormat="false" ht="13.8" hidden="false" customHeight="false" outlineLevel="0" collapsed="false">
      <c r="A651" s="8" t="n">
        <v>45260</v>
      </c>
      <c r="B651" s="9" t="n">
        <f aca="false">DAY(A651)</f>
        <v>30</v>
      </c>
      <c r="C651" s="9" t="n">
        <f aca="false">MONTH(A651)</f>
        <v>11</v>
      </c>
      <c r="D651" s="9" t="n">
        <f aca="false">YEAR(A651)</f>
        <v>2023</v>
      </c>
      <c r="E651" s="9" t="n">
        <f aca="false">WEEKDAY(A651,2)</f>
        <v>4</v>
      </c>
      <c r="F651" s="10" t="n">
        <f aca="false">WEEKNUM(A651,2) - WEEKNUM(DATE(YEAR(A651),MONTH(A651),1),2) + 1</f>
        <v>5</v>
      </c>
      <c r="G651" s="10" t="n">
        <v>2</v>
      </c>
      <c r="H651" s="11" t="n">
        <v>191</v>
      </c>
      <c r="I651" s="12" t="s">
        <v>15</v>
      </c>
      <c r="J651" s="12" t="s">
        <v>53</v>
      </c>
      <c r="K651" s="12"/>
      <c r="L651" s="9" t="n">
        <f aca="false">L650+H651</f>
        <v>39569</v>
      </c>
      <c r="M651" s="10" t="str">
        <f aca="false">VLOOKUP(J651,RECATALOGANDO!A:C,2,0)</f>
        <v>SERVICIO DE GROOMING</v>
      </c>
      <c r="N651" s="12" t="str">
        <f aca="false">VLOOKUP(M651,RECATALOGANDO!B:C,2,0)</f>
        <v>VENTA DE SERVICIO</v>
      </c>
      <c r="O651" s="2" t="s">
        <v>39</v>
      </c>
    </row>
    <row r="652" customFormat="false" ht="13.8" hidden="false" customHeight="false" outlineLevel="0" collapsed="false">
      <c r="A652" s="8" t="n">
        <v>45261</v>
      </c>
      <c r="B652" s="9" t="n">
        <f aca="false">DAY(A652)</f>
        <v>1</v>
      </c>
      <c r="C652" s="9" t="n">
        <f aca="false">MONTH(A652)</f>
        <v>12</v>
      </c>
      <c r="D652" s="9" t="n">
        <f aca="false">YEAR(A652)</f>
        <v>2023</v>
      </c>
      <c r="E652" s="9" t="n">
        <f aca="false">WEEKDAY(A652,2)</f>
        <v>5</v>
      </c>
      <c r="F652" s="10" t="n">
        <f aca="false">WEEKNUM(A652,2) - WEEKNUM(DATE(YEAR(A652),MONTH(A652),1),2) + 1</f>
        <v>1</v>
      </c>
      <c r="G652" s="10"/>
      <c r="H652" s="11" t="n">
        <v>496.37</v>
      </c>
      <c r="I652" s="12" t="s">
        <v>15</v>
      </c>
      <c r="J652" s="12" t="s">
        <v>44</v>
      </c>
      <c r="K652" s="12"/>
      <c r="L652" s="9" t="n">
        <f aca="false">H652</f>
        <v>496.37</v>
      </c>
      <c r="M652" s="10" t="str">
        <f aca="false">VLOOKUP(J652,RECATALOGANDO!A:C,2,0)</f>
        <v>HONORARIOS MEDICOS</v>
      </c>
      <c r="N652" s="12" t="str">
        <f aca="false">VLOOKUP(M652,RECATALOGANDO!B:C,2,0)</f>
        <v>VENTA DE SERVICIO</v>
      </c>
      <c r="O652" s="2" t="s">
        <v>39</v>
      </c>
    </row>
    <row r="653" customFormat="false" ht="13.8" hidden="false" customHeight="false" outlineLevel="0" collapsed="false">
      <c r="A653" s="8" t="n">
        <v>45261</v>
      </c>
      <c r="B653" s="9" t="n">
        <f aca="false">DAY(A653)</f>
        <v>1</v>
      </c>
      <c r="C653" s="9" t="n">
        <f aca="false">MONTH(A653)</f>
        <v>12</v>
      </c>
      <c r="D653" s="9" t="n">
        <f aca="false">YEAR(A653)</f>
        <v>2023</v>
      </c>
      <c r="E653" s="9" t="n">
        <f aca="false">WEEKDAY(A653,2)</f>
        <v>5</v>
      </c>
      <c r="F653" s="10" t="n">
        <f aca="false">WEEKNUM(A653,2) - WEEKNUM(DATE(YEAR(A653),MONTH(A653),1),2) + 1</f>
        <v>1</v>
      </c>
      <c r="G653" s="10"/>
      <c r="H653" s="11" t="n">
        <v>980</v>
      </c>
      <c r="I653" s="12" t="s">
        <v>20</v>
      </c>
      <c r="J653" s="12" t="s">
        <v>44</v>
      </c>
      <c r="K653" s="12"/>
      <c r="L653" s="9" t="n">
        <f aca="false">L652+H653</f>
        <v>1476.37</v>
      </c>
      <c r="M653" s="10" t="str">
        <f aca="false">VLOOKUP(J653,RECATALOGANDO!A:C,2,0)</f>
        <v>HONORARIOS MEDICOS</v>
      </c>
      <c r="N653" s="12" t="str">
        <f aca="false">VLOOKUP(M653,RECATALOGANDO!B:C,2,0)</f>
        <v>VENTA DE SERVICIO</v>
      </c>
      <c r="O653" s="2" t="s">
        <v>39</v>
      </c>
    </row>
    <row r="654" customFormat="false" ht="13.8" hidden="false" customHeight="false" outlineLevel="0" collapsed="false">
      <c r="A654" s="8" t="n">
        <v>45261</v>
      </c>
      <c r="B654" s="9" t="n">
        <f aca="false">DAY(A654)</f>
        <v>1</v>
      </c>
      <c r="C654" s="9" t="n">
        <f aca="false">MONTH(A654)</f>
        <v>12</v>
      </c>
      <c r="D654" s="9" t="n">
        <f aca="false">YEAR(A654)</f>
        <v>2023</v>
      </c>
      <c r="E654" s="9" t="n">
        <f aca="false">WEEKDAY(A654,2)</f>
        <v>5</v>
      </c>
      <c r="F654" s="10" t="n">
        <f aca="false">WEEKNUM(A654,2) - WEEKNUM(DATE(YEAR(A654),MONTH(A654),1),2) + 1</f>
        <v>1</v>
      </c>
      <c r="G654" s="10"/>
      <c r="H654" s="11" t="n">
        <v>9350</v>
      </c>
      <c r="I654" s="12" t="s">
        <v>15</v>
      </c>
      <c r="J654" s="12" t="s">
        <v>64</v>
      </c>
      <c r="K654" s="12"/>
      <c r="L654" s="9" t="n">
        <f aca="false">L653+H654</f>
        <v>10826.37</v>
      </c>
      <c r="M654" s="10" t="str">
        <f aca="false">VLOOKUP(J654,RECATALOGANDO!A:C,2,0)</f>
        <v>HONORARIOS QUIRURGICOS</v>
      </c>
      <c r="N654" s="12" t="str">
        <f aca="false">VLOOKUP(M654,RECATALOGANDO!B:C,2,0)</f>
        <v>VENTA DE SERVICIO</v>
      </c>
      <c r="O654" s="2" t="s">
        <v>39</v>
      </c>
    </row>
    <row r="655" customFormat="false" ht="13.8" hidden="false" customHeight="false" outlineLevel="0" collapsed="false">
      <c r="A655" s="8" t="n">
        <v>45264</v>
      </c>
      <c r="B655" s="9" t="n">
        <f aca="false">DAY(A655)</f>
        <v>4</v>
      </c>
      <c r="C655" s="9" t="n">
        <f aca="false">MONTH(A655)</f>
        <v>12</v>
      </c>
      <c r="D655" s="9" t="n">
        <f aca="false">YEAR(A655)</f>
        <v>2023</v>
      </c>
      <c r="E655" s="9" t="n">
        <f aca="false">WEEKDAY(A655,2)</f>
        <v>1</v>
      </c>
      <c r="F655" s="10" t="n">
        <f aca="false">WEEKNUM(A655,2) - WEEKNUM(DATE(YEAR(A655),MONTH(A655),1),2) + 1</f>
        <v>2</v>
      </c>
      <c r="G655" s="10"/>
      <c r="H655" s="11" t="n">
        <v>1290</v>
      </c>
      <c r="I655" s="12" t="s">
        <v>20</v>
      </c>
      <c r="J655" s="12" t="s">
        <v>45</v>
      </c>
      <c r="K655" s="12"/>
      <c r="L655" s="9" t="n">
        <f aca="false">L654+H655</f>
        <v>12116.37</v>
      </c>
      <c r="M655" s="10" t="str">
        <f aca="false">VLOOKUP(J655,RECATALOGANDO!A:C,2,0)</f>
        <v>VENTA DE MEDICAMENTO</v>
      </c>
      <c r="N655" s="12" t="str">
        <f aca="false">VLOOKUP(M655,RECATALOGANDO!B:C,2,0)</f>
        <v>VENTA DE PRODUCTO</v>
      </c>
      <c r="O655" s="2" t="s">
        <v>39</v>
      </c>
    </row>
    <row r="656" customFormat="false" ht="13.8" hidden="false" customHeight="false" outlineLevel="0" collapsed="false">
      <c r="A656" s="8" t="n">
        <v>45264</v>
      </c>
      <c r="B656" s="9" t="n">
        <f aca="false">DAY(A656)</f>
        <v>4</v>
      </c>
      <c r="C656" s="9" t="n">
        <f aca="false">MONTH(A656)</f>
        <v>12</v>
      </c>
      <c r="D656" s="9" t="n">
        <f aca="false">YEAR(A656)</f>
        <v>2023</v>
      </c>
      <c r="E656" s="9" t="n">
        <f aca="false">WEEKDAY(A656,2)</f>
        <v>1</v>
      </c>
      <c r="F656" s="10" t="n">
        <f aca="false">WEEKNUM(A656,2) - WEEKNUM(DATE(YEAR(A656),MONTH(A656),1),2) + 1</f>
        <v>2</v>
      </c>
      <c r="G656" s="10"/>
      <c r="H656" s="11" t="n">
        <v>1320</v>
      </c>
      <c r="I656" s="12" t="s">
        <v>20</v>
      </c>
      <c r="J656" s="22" t="s">
        <v>45</v>
      </c>
      <c r="K656" s="12"/>
      <c r="L656" s="9" t="n">
        <f aca="false">L655+H656</f>
        <v>13436.37</v>
      </c>
      <c r="M656" s="10" t="str">
        <f aca="false">VLOOKUP(J656,RECATALOGANDO!A:C,2,0)</f>
        <v>VENTA DE MEDICAMENTO</v>
      </c>
      <c r="N656" s="12" t="str">
        <f aca="false">VLOOKUP(M656,RECATALOGANDO!B:C,2,0)</f>
        <v>VENTA DE PRODUCTO</v>
      </c>
      <c r="O656" s="2" t="s">
        <v>39</v>
      </c>
    </row>
    <row r="657" customFormat="false" ht="13.8" hidden="false" customHeight="false" outlineLevel="0" collapsed="false">
      <c r="A657" s="8" t="n">
        <v>45264</v>
      </c>
      <c r="B657" s="9" t="n">
        <f aca="false">DAY(A657)</f>
        <v>4</v>
      </c>
      <c r="C657" s="9" t="n">
        <f aca="false">MONTH(A657)</f>
        <v>12</v>
      </c>
      <c r="D657" s="9" t="n">
        <f aca="false">YEAR(A657)</f>
        <v>2023</v>
      </c>
      <c r="E657" s="9" t="n">
        <f aca="false">WEEKDAY(A657,2)</f>
        <v>1</v>
      </c>
      <c r="F657" s="10" t="n">
        <f aca="false">WEEKNUM(A657,2) - WEEKNUM(DATE(YEAR(A657),MONTH(A657),1),2) + 1</f>
        <v>2</v>
      </c>
      <c r="G657" s="10"/>
      <c r="H657" s="11" t="n">
        <v>3670</v>
      </c>
      <c r="I657" s="12" t="s">
        <v>20</v>
      </c>
      <c r="J657" s="12" t="s">
        <v>51</v>
      </c>
      <c r="K657" s="12"/>
      <c r="L657" s="9" t="n">
        <f aca="false">L656+H657</f>
        <v>17106.37</v>
      </c>
      <c r="M657" s="10" t="str">
        <f aca="false">VLOOKUP(J657,RECATALOGANDO!A:C,2,0)</f>
        <v>VENTA DE ALIMENTO</v>
      </c>
      <c r="N657" s="12" t="str">
        <f aca="false">VLOOKUP(M657,RECATALOGANDO!B:C,2,0)</f>
        <v>VENTA DE PRODUCTO</v>
      </c>
      <c r="O657" s="2" t="s">
        <v>39</v>
      </c>
    </row>
    <row r="658" customFormat="false" ht="13.8" hidden="false" customHeight="false" outlineLevel="0" collapsed="false">
      <c r="A658" s="8" t="n">
        <v>45265</v>
      </c>
      <c r="B658" s="9" t="n">
        <f aca="false">DAY(A658)</f>
        <v>5</v>
      </c>
      <c r="C658" s="9" t="n">
        <f aca="false">MONTH(A658)</f>
        <v>12</v>
      </c>
      <c r="D658" s="9" t="n">
        <f aca="false">YEAR(A658)</f>
        <v>2023</v>
      </c>
      <c r="E658" s="9" t="n">
        <f aca="false">WEEKDAY(A658,2)</f>
        <v>2</v>
      </c>
      <c r="F658" s="10" t="n">
        <f aca="false">WEEKNUM(A658,2) - WEEKNUM(DATE(YEAR(A658),MONTH(A658),1),2) + 1</f>
        <v>2</v>
      </c>
      <c r="G658" s="10"/>
      <c r="H658" s="11" t="n">
        <v>337.3</v>
      </c>
      <c r="I658" s="12" t="s">
        <v>15</v>
      </c>
      <c r="J658" s="12" t="s">
        <v>51</v>
      </c>
      <c r="K658" s="12"/>
      <c r="L658" s="9" t="n">
        <f aca="false">L657+H658</f>
        <v>17443.67</v>
      </c>
      <c r="M658" s="10" t="str">
        <f aca="false">VLOOKUP(J658,RECATALOGANDO!A:C,2,0)</f>
        <v>VENTA DE ALIMENTO</v>
      </c>
      <c r="N658" s="12" t="str">
        <f aca="false">VLOOKUP(M658,RECATALOGANDO!B:C,2,0)</f>
        <v>VENTA DE PRODUCTO</v>
      </c>
      <c r="O658" s="2" t="s">
        <v>39</v>
      </c>
    </row>
    <row r="659" customFormat="false" ht="13.8" hidden="false" customHeight="false" outlineLevel="0" collapsed="false">
      <c r="A659" s="8" t="n">
        <v>45265</v>
      </c>
      <c r="B659" s="9" t="n">
        <f aca="false">DAY(A659)</f>
        <v>5</v>
      </c>
      <c r="C659" s="9" t="n">
        <f aca="false">MONTH(A659)</f>
        <v>12</v>
      </c>
      <c r="D659" s="9" t="n">
        <f aca="false">YEAR(A659)</f>
        <v>2023</v>
      </c>
      <c r="E659" s="9" t="n">
        <f aca="false">WEEKDAY(A659,2)</f>
        <v>2</v>
      </c>
      <c r="F659" s="10" t="n">
        <f aca="false">WEEKNUM(A659,2) - WEEKNUM(DATE(YEAR(A659),MONTH(A659),1),2) + 1</f>
        <v>2</v>
      </c>
      <c r="G659" s="10"/>
      <c r="H659" s="11" t="n">
        <v>248</v>
      </c>
      <c r="I659" s="12" t="s">
        <v>20</v>
      </c>
      <c r="J659" s="12" t="s">
        <v>44</v>
      </c>
      <c r="K659" s="12"/>
      <c r="L659" s="9" t="n">
        <f aca="false">L658+H659</f>
        <v>17691.67</v>
      </c>
      <c r="M659" s="10" t="str">
        <f aca="false">VLOOKUP(J659,RECATALOGANDO!A:C,2,0)</f>
        <v>HONORARIOS MEDICOS</v>
      </c>
      <c r="N659" s="12" t="str">
        <f aca="false">VLOOKUP(M659,RECATALOGANDO!B:C,2,0)</f>
        <v>VENTA DE SERVICIO</v>
      </c>
      <c r="O659" s="2" t="s">
        <v>39</v>
      </c>
    </row>
    <row r="660" customFormat="false" ht="13.8" hidden="false" customHeight="false" outlineLevel="0" collapsed="false">
      <c r="A660" s="8" t="n">
        <v>45266</v>
      </c>
      <c r="B660" s="9" t="n">
        <f aca="false">DAY(A660)</f>
        <v>6</v>
      </c>
      <c r="C660" s="9" t="n">
        <f aca="false">MONTH(A660)</f>
        <v>12</v>
      </c>
      <c r="D660" s="9" t="n">
        <f aca="false">YEAR(A660)</f>
        <v>2023</v>
      </c>
      <c r="E660" s="9" t="n">
        <f aca="false">WEEKDAY(A660,2)</f>
        <v>3</v>
      </c>
      <c r="F660" s="10" t="n">
        <f aca="false">WEEKNUM(A660,2) - WEEKNUM(DATE(YEAR(A660),MONTH(A660),1),2) + 1</f>
        <v>2</v>
      </c>
      <c r="G660" s="10"/>
      <c r="H660" s="11" t="n">
        <v>996.57</v>
      </c>
      <c r="I660" s="12" t="s">
        <v>15</v>
      </c>
      <c r="J660" s="12" t="s">
        <v>65</v>
      </c>
      <c r="K660" s="12"/>
      <c r="L660" s="9" t="n">
        <f aca="false">L659+H660</f>
        <v>18688.24</v>
      </c>
      <c r="M660" s="10" t="str">
        <f aca="false">VLOOKUP(J660,RECATALOGANDO!A:C,2,0)</f>
        <v>SERVICIO DE LABORATORIO</v>
      </c>
      <c r="N660" s="12" t="str">
        <f aca="false">VLOOKUP(M660,RECATALOGANDO!B:C,2,0)</f>
        <v>VENTA DE SERVICIO</v>
      </c>
      <c r="O660" s="2" t="s">
        <v>39</v>
      </c>
    </row>
    <row r="661" customFormat="false" ht="13.8" hidden="false" customHeight="false" outlineLevel="0" collapsed="false">
      <c r="A661" s="8" t="n">
        <v>45267</v>
      </c>
      <c r="B661" s="9" t="n">
        <f aca="false">DAY(A661)</f>
        <v>7</v>
      </c>
      <c r="C661" s="9" t="n">
        <f aca="false">MONTH(A661)</f>
        <v>12</v>
      </c>
      <c r="D661" s="9" t="n">
        <f aca="false">YEAR(A661)</f>
        <v>2023</v>
      </c>
      <c r="E661" s="9" t="n">
        <f aca="false">WEEKDAY(A661,2)</f>
        <v>4</v>
      </c>
      <c r="F661" s="10" t="n">
        <f aca="false">WEEKNUM(A661,2) - WEEKNUM(DATE(YEAR(A661),MONTH(A661),1),2) + 1</f>
        <v>2</v>
      </c>
      <c r="G661" s="10"/>
      <c r="H661" s="11" t="n">
        <v>877</v>
      </c>
      <c r="I661" s="12" t="s">
        <v>20</v>
      </c>
      <c r="J661" s="12" t="s">
        <v>45</v>
      </c>
      <c r="K661" s="12"/>
      <c r="L661" s="9" t="n">
        <f aca="false">L660+H661</f>
        <v>19565.24</v>
      </c>
      <c r="M661" s="10" t="str">
        <f aca="false">VLOOKUP(J661,RECATALOGANDO!A:C,2,0)</f>
        <v>VENTA DE MEDICAMENTO</v>
      </c>
      <c r="N661" s="12" t="str">
        <f aca="false">VLOOKUP(M661,RECATALOGANDO!B:C,2,0)</f>
        <v>VENTA DE PRODUCTO</v>
      </c>
      <c r="O661" s="2" t="s">
        <v>39</v>
      </c>
    </row>
    <row r="662" customFormat="false" ht="13.8" hidden="false" customHeight="false" outlineLevel="0" collapsed="false">
      <c r="A662" s="8" t="n">
        <v>45268</v>
      </c>
      <c r="B662" s="9" t="n">
        <f aca="false">DAY(A662)</f>
        <v>8</v>
      </c>
      <c r="C662" s="9" t="n">
        <f aca="false">MONTH(A662)</f>
        <v>12</v>
      </c>
      <c r="D662" s="9" t="n">
        <f aca="false">YEAR(A662)</f>
        <v>2023</v>
      </c>
      <c r="E662" s="9" t="n">
        <f aca="false">WEEKDAY(A662,2)</f>
        <v>5</v>
      </c>
      <c r="F662" s="10" t="n">
        <f aca="false">WEEKNUM(A662,2) - WEEKNUM(DATE(YEAR(A662),MONTH(A662),1),2) + 1</f>
        <v>2</v>
      </c>
      <c r="G662" s="10"/>
      <c r="H662" s="11" t="n">
        <v>160</v>
      </c>
      <c r="I662" s="12" t="s">
        <v>20</v>
      </c>
      <c r="J662" s="12" t="s">
        <v>49</v>
      </c>
      <c r="K662" s="12"/>
      <c r="L662" s="9" t="n">
        <f aca="false">L661+H662</f>
        <v>19725.24</v>
      </c>
      <c r="M662" s="10" t="str">
        <f aca="false">VLOOKUP(J662,RECATALOGANDO!A:C,2,0)</f>
        <v>SERVICIO DE GROOMING</v>
      </c>
      <c r="N662" s="12" t="str">
        <f aca="false">VLOOKUP(M662,RECATALOGANDO!B:C,2,0)</f>
        <v>VENTA DE SERVICIO</v>
      </c>
      <c r="O662" s="2" t="s">
        <v>39</v>
      </c>
    </row>
    <row r="663" customFormat="false" ht="13.8" hidden="false" customHeight="false" outlineLevel="0" collapsed="false">
      <c r="A663" s="8" t="n">
        <v>45268</v>
      </c>
      <c r="B663" s="9" t="n">
        <f aca="false">DAY(A663)</f>
        <v>8</v>
      </c>
      <c r="C663" s="9" t="n">
        <f aca="false">MONTH(A663)</f>
        <v>12</v>
      </c>
      <c r="D663" s="9" t="n">
        <f aca="false">YEAR(A663)</f>
        <v>2023</v>
      </c>
      <c r="E663" s="9" t="n">
        <f aca="false">WEEKDAY(A663,2)</f>
        <v>5</v>
      </c>
      <c r="F663" s="10" t="n">
        <f aca="false">WEEKNUM(A663,2) - WEEKNUM(DATE(YEAR(A663),MONTH(A663),1),2) + 1</f>
        <v>2</v>
      </c>
      <c r="G663" s="10"/>
      <c r="H663" s="11" t="n">
        <v>1620</v>
      </c>
      <c r="I663" s="12" t="s">
        <v>15</v>
      </c>
      <c r="J663" s="12" t="s">
        <v>56</v>
      </c>
      <c r="K663" s="12"/>
      <c r="L663" s="9" t="n">
        <f aca="false">L662+H663</f>
        <v>21345.24</v>
      </c>
      <c r="M663" s="10" t="str">
        <f aca="false">VLOOKUP(J663,RECATALOGANDO!A:C,2,0)</f>
        <v>SERVICIO DE IMAGEN</v>
      </c>
      <c r="N663" s="12" t="str">
        <f aca="false">VLOOKUP(M663,RECATALOGANDO!B:C,2,0)</f>
        <v>VENTA DE SERVICIO</v>
      </c>
      <c r="O663" s="2" t="s">
        <v>39</v>
      </c>
    </row>
    <row r="664" customFormat="false" ht="13.8" hidden="false" customHeight="false" outlineLevel="0" collapsed="false">
      <c r="A664" s="8" t="n">
        <v>45269</v>
      </c>
      <c r="B664" s="9" t="n">
        <f aca="false">DAY(A664)</f>
        <v>9</v>
      </c>
      <c r="C664" s="9" t="n">
        <f aca="false">MONTH(A664)</f>
        <v>12</v>
      </c>
      <c r="D664" s="9" t="n">
        <f aca="false">YEAR(A664)</f>
        <v>2023</v>
      </c>
      <c r="E664" s="9" t="n">
        <f aca="false">WEEKDAY(A664,2)</f>
        <v>6</v>
      </c>
      <c r="F664" s="10" t="n">
        <f aca="false">WEEKNUM(A664,2) - WEEKNUM(DATE(YEAR(A664),MONTH(A664),1),2) + 1</f>
        <v>2</v>
      </c>
      <c r="G664" s="10"/>
      <c r="H664" s="11" t="n">
        <v>1073.23</v>
      </c>
      <c r="I664" s="12" t="s">
        <v>15</v>
      </c>
      <c r="J664" s="12" t="s">
        <v>51</v>
      </c>
      <c r="K664" s="12"/>
      <c r="L664" s="9" t="n">
        <f aca="false">L663+H664</f>
        <v>22418.47</v>
      </c>
      <c r="M664" s="10" t="str">
        <f aca="false">VLOOKUP(J664,RECATALOGANDO!A:C,2,0)</f>
        <v>VENTA DE ALIMENTO</v>
      </c>
      <c r="N664" s="12" t="str">
        <f aca="false">VLOOKUP(M664,RECATALOGANDO!B:C,2,0)</f>
        <v>VENTA DE PRODUCTO</v>
      </c>
      <c r="O664" s="2" t="s">
        <v>39</v>
      </c>
    </row>
    <row r="665" customFormat="false" ht="13.8" hidden="false" customHeight="false" outlineLevel="0" collapsed="false">
      <c r="A665" s="8" t="n">
        <v>45270</v>
      </c>
      <c r="B665" s="9" t="n">
        <f aca="false">DAY(A665)</f>
        <v>10</v>
      </c>
      <c r="C665" s="9" t="n">
        <f aca="false">MONTH(A665)</f>
        <v>12</v>
      </c>
      <c r="D665" s="9" t="n">
        <f aca="false">YEAR(A665)</f>
        <v>2023</v>
      </c>
      <c r="E665" s="9" t="n">
        <f aca="false">WEEKDAY(A665,2)</f>
        <v>7</v>
      </c>
      <c r="F665" s="10" t="n">
        <f aca="false">WEEKNUM(A665,2) - WEEKNUM(DATE(YEAR(A665),MONTH(A665),1),2) + 1</f>
        <v>2</v>
      </c>
      <c r="G665" s="10"/>
      <c r="H665" s="11" t="n">
        <v>400</v>
      </c>
      <c r="I665" s="12" t="s">
        <v>15</v>
      </c>
      <c r="J665" s="12" t="s">
        <v>45</v>
      </c>
      <c r="K665" s="12"/>
      <c r="L665" s="9" t="n">
        <f aca="false">L664+H665</f>
        <v>22818.47</v>
      </c>
      <c r="M665" s="10" t="str">
        <f aca="false">VLOOKUP(J665,RECATALOGANDO!A:C,2,0)</f>
        <v>VENTA DE MEDICAMENTO</v>
      </c>
      <c r="N665" s="12" t="str">
        <f aca="false">VLOOKUP(M665,RECATALOGANDO!B:C,2,0)</f>
        <v>VENTA DE PRODUCTO</v>
      </c>
      <c r="O665" s="2" t="s">
        <v>39</v>
      </c>
    </row>
    <row r="666" customFormat="false" ht="13.8" hidden="false" customHeight="false" outlineLevel="0" collapsed="false">
      <c r="A666" s="8" t="n">
        <v>45271</v>
      </c>
      <c r="B666" s="9" t="n">
        <f aca="false">DAY(A666)</f>
        <v>11</v>
      </c>
      <c r="C666" s="9" t="n">
        <f aca="false">MONTH(A666)</f>
        <v>12</v>
      </c>
      <c r="D666" s="9" t="n">
        <f aca="false">YEAR(A666)</f>
        <v>2023</v>
      </c>
      <c r="E666" s="9" t="n">
        <f aca="false">WEEKDAY(A666,2)</f>
        <v>1</v>
      </c>
      <c r="F666" s="10" t="n">
        <f aca="false">WEEKNUM(A666,2) - WEEKNUM(DATE(YEAR(A666),MONTH(A666),1),2) + 1</f>
        <v>3</v>
      </c>
      <c r="G666" s="10"/>
      <c r="H666" s="11" t="n">
        <v>20</v>
      </c>
      <c r="I666" s="12" t="s">
        <v>20</v>
      </c>
      <c r="J666" s="12" t="s">
        <v>45</v>
      </c>
      <c r="K666" s="12"/>
      <c r="L666" s="9" t="n">
        <f aca="false">L665+H666</f>
        <v>22838.47</v>
      </c>
      <c r="M666" s="10" t="str">
        <f aca="false">VLOOKUP(J666,RECATALOGANDO!A:C,2,0)</f>
        <v>VENTA DE MEDICAMENTO</v>
      </c>
      <c r="N666" s="12" t="str">
        <f aca="false">VLOOKUP(M666,RECATALOGANDO!B:C,2,0)</f>
        <v>VENTA DE PRODUCTO</v>
      </c>
      <c r="O666" s="2" t="s">
        <v>39</v>
      </c>
    </row>
    <row r="667" customFormat="false" ht="13.8" hidden="false" customHeight="false" outlineLevel="0" collapsed="false">
      <c r="A667" s="8" t="n">
        <v>45271</v>
      </c>
      <c r="B667" s="9" t="n">
        <f aca="false">DAY(A667)</f>
        <v>11</v>
      </c>
      <c r="C667" s="9" t="n">
        <f aca="false">MONTH(A667)</f>
        <v>12</v>
      </c>
      <c r="D667" s="9" t="n">
        <f aca="false">YEAR(A667)</f>
        <v>2023</v>
      </c>
      <c r="E667" s="9" t="n">
        <f aca="false">WEEKDAY(A667,2)</f>
        <v>1</v>
      </c>
      <c r="F667" s="10" t="n">
        <f aca="false">WEEKNUM(A667,2) - WEEKNUM(DATE(YEAR(A667),MONTH(A667),1),2) + 1</f>
        <v>3</v>
      </c>
      <c r="G667" s="10"/>
      <c r="H667" s="11" t="n">
        <v>1470</v>
      </c>
      <c r="I667" s="12" t="s">
        <v>20</v>
      </c>
      <c r="J667" s="12" t="s">
        <v>45</v>
      </c>
      <c r="K667" s="12"/>
      <c r="L667" s="9" t="n">
        <f aca="false">L666+H667</f>
        <v>24308.47</v>
      </c>
      <c r="M667" s="10" t="str">
        <f aca="false">VLOOKUP(J667,RECATALOGANDO!A:C,2,0)</f>
        <v>VENTA DE MEDICAMENTO</v>
      </c>
      <c r="N667" s="12" t="str">
        <f aca="false">VLOOKUP(M667,RECATALOGANDO!B:C,2,0)</f>
        <v>VENTA DE PRODUCTO</v>
      </c>
      <c r="O667" s="2" t="s">
        <v>39</v>
      </c>
    </row>
    <row r="668" customFormat="false" ht="13.8" hidden="false" customHeight="false" outlineLevel="0" collapsed="false">
      <c r="A668" s="8" t="n">
        <v>45271</v>
      </c>
      <c r="B668" s="9" t="n">
        <f aca="false">DAY(A668)</f>
        <v>11</v>
      </c>
      <c r="C668" s="9" t="n">
        <f aca="false">MONTH(A668)</f>
        <v>12</v>
      </c>
      <c r="D668" s="9" t="n">
        <f aca="false">YEAR(A668)</f>
        <v>2023</v>
      </c>
      <c r="E668" s="9" t="n">
        <f aca="false">WEEKDAY(A668,2)</f>
        <v>1</v>
      </c>
      <c r="F668" s="10" t="n">
        <f aca="false">WEEKNUM(A668,2) - WEEKNUM(DATE(YEAR(A668),MONTH(A668),1),2) + 1</f>
        <v>3</v>
      </c>
      <c r="G668" s="10"/>
      <c r="H668" s="11" t="n">
        <v>170</v>
      </c>
      <c r="I668" s="12" t="s">
        <v>20</v>
      </c>
      <c r="J668" s="12" t="s">
        <v>49</v>
      </c>
      <c r="K668" s="12"/>
      <c r="L668" s="9" t="n">
        <f aca="false">L667+H668</f>
        <v>24478.47</v>
      </c>
      <c r="M668" s="10" t="str">
        <f aca="false">VLOOKUP(J668,RECATALOGANDO!A:C,2,0)</f>
        <v>SERVICIO DE GROOMING</v>
      </c>
      <c r="N668" s="12" t="str">
        <f aca="false">VLOOKUP(M668,RECATALOGANDO!B:C,2,0)</f>
        <v>VENTA DE SERVICIO</v>
      </c>
      <c r="O668" s="2" t="s">
        <v>39</v>
      </c>
    </row>
    <row r="669" customFormat="false" ht="13.8" hidden="false" customHeight="false" outlineLevel="0" collapsed="false">
      <c r="A669" s="8" t="n">
        <v>45271</v>
      </c>
      <c r="B669" s="9" t="n">
        <f aca="false">DAY(A669)</f>
        <v>11</v>
      </c>
      <c r="C669" s="9" t="n">
        <f aca="false">MONTH(A669)</f>
        <v>12</v>
      </c>
      <c r="D669" s="9" t="n">
        <f aca="false">YEAR(A669)</f>
        <v>2023</v>
      </c>
      <c r="E669" s="9" t="n">
        <f aca="false">WEEKDAY(A669,2)</f>
        <v>1</v>
      </c>
      <c r="F669" s="10" t="n">
        <f aca="false">WEEKNUM(A669,2) - WEEKNUM(DATE(YEAR(A669),MONTH(A669),1),2) + 1</f>
        <v>3</v>
      </c>
      <c r="G669" s="10"/>
      <c r="H669" s="11" t="n">
        <v>900</v>
      </c>
      <c r="I669" s="12" t="s">
        <v>20</v>
      </c>
      <c r="J669" s="12" t="s">
        <v>44</v>
      </c>
      <c r="K669" s="12"/>
      <c r="L669" s="9" t="n">
        <f aca="false">L668+H669</f>
        <v>25378.47</v>
      </c>
      <c r="M669" s="10" t="str">
        <f aca="false">VLOOKUP(J669,RECATALOGANDO!A:C,2,0)</f>
        <v>HONORARIOS MEDICOS</v>
      </c>
      <c r="N669" s="12" t="str">
        <f aca="false">VLOOKUP(M669,RECATALOGANDO!B:C,2,0)</f>
        <v>VENTA DE SERVICIO</v>
      </c>
      <c r="O669" s="2" t="s">
        <v>39</v>
      </c>
    </row>
    <row r="670" customFormat="false" ht="13.8" hidden="false" customHeight="false" outlineLevel="0" collapsed="false">
      <c r="A670" s="8" t="n">
        <v>45275</v>
      </c>
      <c r="B670" s="9" t="n">
        <f aca="false">DAY(A670)</f>
        <v>15</v>
      </c>
      <c r="C670" s="9" t="n">
        <f aca="false">MONTH(A670)</f>
        <v>12</v>
      </c>
      <c r="D670" s="9" t="n">
        <f aca="false">YEAR(A670)</f>
        <v>2023</v>
      </c>
      <c r="E670" s="9" t="n">
        <f aca="false">WEEKDAY(A670,2)</f>
        <v>5</v>
      </c>
      <c r="F670" s="10" t="n">
        <f aca="false">WEEKNUM(A670,2) - WEEKNUM(DATE(YEAR(A670),MONTH(A670),1),2) + 1</f>
        <v>3</v>
      </c>
      <c r="G670" s="10" t="n">
        <v>1</v>
      </c>
      <c r="H670" s="11" t="n">
        <v>300</v>
      </c>
      <c r="I670" s="12" t="s">
        <v>20</v>
      </c>
      <c r="J670" s="12" t="s">
        <v>44</v>
      </c>
      <c r="K670" s="12"/>
      <c r="L670" s="9" t="n">
        <f aca="false">L669+H670</f>
        <v>25678.47</v>
      </c>
      <c r="M670" s="10" t="str">
        <f aca="false">VLOOKUP(J670,RECATALOGANDO!A:C,2,0)</f>
        <v>HONORARIOS MEDICOS</v>
      </c>
      <c r="N670" s="12" t="str">
        <f aca="false">VLOOKUP(M670,RECATALOGANDO!B:C,2,0)</f>
        <v>VENTA DE SERVICIO</v>
      </c>
      <c r="O670" s="2" t="s">
        <v>39</v>
      </c>
    </row>
    <row r="671" customFormat="false" ht="13.8" hidden="false" customHeight="false" outlineLevel="0" collapsed="false">
      <c r="A671" s="8" t="n">
        <v>45275</v>
      </c>
      <c r="B671" s="9" t="n">
        <f aca="false">DAY(A671)</f>
        <v>15</v>
      </c>
      <c r="C671" s="9" t="n">
        <f aca="false">MONTH(A671)</f>
        <v>12</v>
      </c>
      <c r="D671" s="9" t="n">
        <f aca="false">YEAR(A671)</f>
        <v>2023</v>
      </c>
      <c r="E671" s="9" t="n">
        <f aca="false">WEEKDAY(A671,2)</f>
        <v>5</v>
      </c>
      <c r="F671" s="10" t="n">
        <f aca="false">WEEKNUM(A671,2) - WEEKNUM(DATE(YEAR(A671),MONTH(A671),1),2) + 1</f>
        <v>3</v>
      </c>
      <c r="G671" s="10" t="n">
        <v>1</v>
      </c>
      <c r="H671" s="11" t="n">
        <v>400</v>
      </c>
      <c r="I671" s="12" t="s">
        <v>15</v>
      </c>
      <c r="J671" s="12" t="s">
        <v>54</v>
      </c>
      <c r="K671" s="12"/>
      <c r="L671" s="9" t="n">
        <f aca="false">L670+H671</f>
        <v>26078.47</v>
      </c>
      <c r="M671" s="10" t="str">
        <f aca="false">VLOOKUP(J671,RECATALOGANDO!A:C,2,0)</f>
        <v>SERVICIO DE LABORATORIO</v>
      </c>
      <c r="N671" s="12" t="str">
        <f aca="false">VLOOKUP(M671,RECATALOGANDO!B:C,2,0)</f>
        <v>VENTA DE SERVICIO</v>
      </c>
      <c r="O671" s="2" t="s">
        <v>39</v>
      </c>
    </row>
    <row r="672" customFormat="false" ht="13.8" hidden="false" customHeight="false" outlineLevel="0" collapsed="false">
      <c r="A672" s="8" t="n">
        <v>45279</v>
      </c>
      <c r="B672" s="9" t="n">
        <f aca="false">DAY(A672)</f>
        <v>19</v>
      </c>
      <c r="C672" s="9" t="n">
        <f aca="false">MONTH(A672)</f>
        <v>12</v>
      </c>
      <c r="D672" s="9" t="n">
        <f aca="false">YEAR(A672)</f>
        <v>2023</v>
      </c>
      <c r="E672" s="9" t="n">
        <f aca="false">WEEKDAY(A672,2)</f>
        <v>2</v>
      </c>
      <c r="F672" s="10" t="n">
        <f aca="false">WEEKNUM(A672,2) - WEEKNUM(DATE(YEAR(A672),MONTH(A672),1),2) + 1</f>
        <v>4</v>
      </c>
      <c r="G672" s="10"/>
      <c r="H672" s="11" t="n">
        <v>490</v>
      </c>
      <c r="I672" s="12" t="s">
        <v>20</v>
      </c>
      <c r="J672" s="12" t="s">
        <v>45</v>
      </c>
      <c r="K672" s="12"/>
      <c r="L672" s="9" t="n">
        <f aca="false">L671+H672</f>
        <v>26568.47</v>
      </c>
      <c r="M672" s="10" t="str">
        <f aca="false">VLOOKUP(J672,RECATALOGANDO!A:C,2,0)</f>
        <v>VENTA DE MEDICAMENTO</v>
      </c>
      <c r="N672" s="12" t="str">
        <f aca="false">VLOOKUP(M672,RECATALOGANDO!B:C,2,0)</f>
        <v>VENTA DE PRODUCTO</v>
      </c>
      <c r="O672" s="2" t="s">
        <v>39</v>
      </c>
    </row>
    <row r="673" customFormat="false" ht="13.8" hidden="false" customHeight="false" outlineLevel="0" collapsed="false">
      <c r="A673" s="8" t="n">
        <v>45279</v>
      </c>
      <c r="B673" s="9" t="n">
        <f aca="false">DAY(A673)</f>
        <v>19</v>
      </c>
      <c r="C673" s="9" t="n">
        <f aca="false">MONTH(A673)</f>
        <v>12</v>
      </c>
      <c r="D673" s="9" t="n">
        <f aca="false">YEAR(A673)</f>
        <v>2023</v>
      </c>
      <c r="E673" s="9" t="n">
        <f aca="false">WEEKDAY(A673,2)</f>
        <v>2</v>
      </c>
      <c r="F673" s="10" t="n">
        <f aca="false">WEEKNUM(A673,2) - WEEKNUM(DATE(YEAR(A673),MONTH(A673),1),2) + 1</f>
        <v>4</v>
      </c>
      <c r="G673" s="10"/>
      <c r="H673" s="11" t="n">
        <v>1080</v>
      </c>
      <c r="I673" s="12" t="s">
        <v>20</v>
      </c>
      <c r="J673" s="12" t="s">
        <v>51</v>
      </c>
      <c r="K673" s="12"/>
      <c r="L673" s="9" t="n">
        <f aca="false">L672+H673</f>
        <v>27648.47</v>
      </c>
      <c r="M673" s="10" t="str">
        <f aca="false">VLOOKUP(J673,RECATALOGANDO!A:C,2,0)</f>
        <v>VENTA DE ALIMENTO</v>
      </c>
      <c r="N673" s="12" t="str">
        <f aca="false">VLOOKUP(M673,RECATALOGANDO!B:C,2,0)</f>
        <v>VENTA DE PRODUCTO</v>
      </c>
      <c r="O673" s="2" t="s">
        <v>39</v>
      </c>
    </row>
    <row r="674" customFormat="false" ht="13.8" hidden="false" customHeight="false" outlineLevel="0" collapsed="false">
      <c r="A674" s="8" t="n">
        <v>45279</v>
      </c>
      <c r="B674" s="9" t="n">
        <f aca="false">DAY(A674)</f>
        <v>19</v>
      </c>
      <c r="C674" s="9" t="n">
        <f aca="false">MONTH(A674)</f>
        <v>12</v>
      </c>
      <c r="D674" s="9" t="n">
        <f aca="false">YEAR(A674)</f>
        <v>2023</v>
      </c>
      <c r="E674" s="9" t="n">
        <f aca="false">WEEKDAY(A674,2)</f>
        <v>2</v>
      </c>
      <c r="F674" s="10" t="n">
        <f aca="false">WEEKNUM(A674,2) - WEEKNUM(DATE(YEAR(A674),MONTH(A674),1),2) + 1</f>
        <v>4</v>
      </c>
      <c r="G674" s="10"/>
      <c r="H674" s="11" t="n">
        <v>2432</v>
      </c>
      <c r="I674" s="12" t="s">
        <v>15</v>
      </c>
      <c r="J674" s="12" t="s">
        <v>51</v>
      </c>
      <c r="K674" s="12"/>
      <c r="L674" s="9" t="n">
        <f aca="false">L673+H674</f>
        <v>30080.47</v>
      </c>
      <c r="M674" s="10" t="str">
        <f aca="false">VLOOKUP(J674,RECATALOGANDO!A:C,2,0)</f>
        <v>VENTA DE ALIMENTO</v>
      </c>
      <c r="N674" s="12" t="str">
        <f aca="false">VLOOKUP(M674,RECATALOGANDO!B:C,2,0)</f>
        <v>VENTA DE PRODUCTO</v>
      </c>
      <c r="O674" s="2" t="s">
        <v>39</v>
      </c>
    </row>
    <row r="675" customFormat="false" ht="13.8" hidden="false" customHeight="false" outlineLevel="0" collapsed="false">
      <c r="A675" s="8" t="n">
        <v>45279</v>
      </c>
      <c r="B675" s="9" t="n">
        <f aca="false">DAY(A675)</f>
        <v>19</v>
      </c>
      <c r="C675" s="9" t="n">
        <f aca="false">MONTH(A675)</f>
        <v>12</v>
      </c>
      <c r="D675" s="9" t="n">
        <f aca="false">YEAR(A675)</f>
        <v>2023</v>
      </c>
      <c r="E675" s="9" t="n">
        <f aca="false">WEEKDAY(A675,2)</f>
        <v>2</v>
      </c>
      <c r="F675" s="10" t="n">
        <f aca="false">WEEKNUM(A675,2) - WEEKNUM(DATE(YEAR(A675),MONTH(A675),1),2) + 1</f>
        <v>4</v>
      </c>
      <c r="G675" s="10"/>
      <c r="H675" s="11" t="n">
        <v>1080</v>
      </c>
      <c r="I675" s="12" t="s">
        <v>20</v>
      </c>
      <c r="J675" s="12" t="s">
        <v>44</v>
      </c>
      <c r="K675" s="12"/>
      <c r="L675" s="9" t="n">
        <f aca="false">L674+H675</f>
        <v>31160.47</v>
      </c>
      <c r="M675" s="10" t="str">
        <f aca="false">VLOOKUP(J675,RECATALOGANDO!A:C,2,0)</f>
        <v>HONORARIOS MEDICOS</v>
      </c>
      <c r="N675" s="12" t="str">
        <f aca="false">VLOOKUP(M675,RECATALOGANDO!B:C,2,0)</f>
        <v>VENTA DE SERVICIO</v>
      </c>
      <c r="O675" s="2" t="s">
        <v>39</v>
      </c>
    </row>
    <row r="676" customFormat="false" ht="13.8" hidden="false" customHeight="false" outlineLevel="0" collapsed="false">
      <c r="A676" s="8" t="n">
        <v>45279</v>
      </c>
      <c r="B676" s="9" t="n">
        <f aca="false">DAY(A676)</f>
        <v>19</v>
      </c>
      <c r="C676" s="9" t="n">
        <f aca="false">MONTH(A676)</f>
        <v>12</v>
      </c>
      <c r="D676" s="9" t="n">
        <f aca="false">YEAR(A676)</f>
        <v>2023</v>
      </c>
      <c r="E676" s="9" t="n">
        <f aca="false">WEEKDAY(A676,2)</f>
        <v>2</v>
      </c>
      <c r="F676" s="10" t="n">
        <f aca="false">WEEKNUM(A676,2) - WEEKNUM(DATE(YEAR(A676),MONTH(A676),1),2) + 1</f>
        <v>4</v>
      </c>
      <c r="G676" s="10"/>
      <c r="H676" s="11" t="n">
        <v>1200</v>
      </c>
      <c r="I676" s="12" t="s">
        <v>15</v>
      </c>
      <c r="J676" s="12" t="s">
        <v>44</v>
      </c>
      <c r="K676" s="12"/>
      <c r="L676" s="9" t="n">
        <f aca="false">L675+H676</f>
        <v>32360.47</v>
      </c>
      <c r="M676" s="10" t="str">
        <f aca="false">VLOOKUP(J676,RECATALOGANDO!A:C,2,0)</f>
        <v>HONORARIOS MEDICOS</v>
      </c>
      <c r="N676" s="12" t="str">
        <f aca="false">VLOOKUP(M676,RECATALOGANDO!B:C,2,0)</f>
        <v>VENTA DE SERVICIO</v>
      </c>
      <c r="O676" s="2" t="s">
        <v>39</v>
      </c>
    </row>
    <row r="677" customFormat="false" ht="13.8" hidden="false" customHeight="false" outlineLevel="0" collapsed="false">
      <c r="A677" s="8" t="n">
        <v>45279</v>
      </c>
      <c r="B677" s="9" t="n">
        <f aca="false">DAY(A677)</f>
        <v>19</v>
      </c>
      <c r="C677" s="9" t="n">
        <f aca="false">MONTH(A677)</f>
        <v>12</v>
      </c>
      <c r="D677" s="9" t="n">
        <f aca="false">YEAR(A677)</f>
        <v>2023</v>
      </c>
      <c r="E677" s="9" t="n">
        <f aca="false">WEEKDAY(A677,2)</f>
        <v>2</v>
      </c>
      <c r="F677" s="10" t="n">
        <f aca="false">WEEKNUM(A677,2) - WEEKNUM(DATE(YEAR(A677),MONTH(A677),1),2) + 1</f>
        <v>4</v>
      </c>
      <c r="G677" s="10"/>
      <c r="H677" s="11" t="n">
        <v>3787.92</v>
      </c>
      <c r="I677" s="12" t="s">
        <v>15</v>
      </c>
      <c r="J677" s="12" t="s">
        <v>66</v>
      </c>
      <c r="K677" s="12"/>
      <c r="L677" s="9" t="n">
        <f aca="false">L676+H677</f>
        <v>36148.39</v>
      </c>
      <c r="M677" s="10" t="str">
        <f aca="false">VLOOKUP(J677,RECATALOGANDO!A:C,2,0)</f>
        <v>SERVICIO DE IMAGEN</v>
      </c>
      <c r="N677" s="12" t="str">
        <f aca="false">VLOOKUP(M677,RECATALOGANDO!B:C,2,0)</f>
        <v>VENTA DE SERVICIO</v>
      </c>
      <c r="O677" s="2" t="s">
        <v>39</v>
      </c>
    </row>
    <row r="678" customFormat="false" ht="13.8" hidden="false" customHeight="false" outlineLevel="0" collapsed="false">
      <c r="A678" s="8" t="n">
        <v>45280</v>
      </c>
      <c r="B678" s="9" t="n">
        <f aca="false">DAY(A678)</f>
        <v>20</v>
      </c>
      <c r="C678" s="9" t="n">
        <f aca="false">MONTH(A678)</f>
        <v>12</v>
      </c>
      <c r="D678" s="9" t="n">
        <f aca="false">YEAR(A678)</f>
        <v>2023</v>
      </c>
      <c r="E678" s="9" t="n">
        <f aca="false">WEEKDAY(A678,2)</f>
        <v>3</v>
      </c>
      <c r="F678" s="10" t="n">
        <f aca="false">WEEKNUM(A678,2) - WEEKNUM(DATE(YEAR(A678),MONTH(A678),1),2) + 1</f>
        <v>4</v>
      </c>
      <c r="G678" s="10"/>
      <c r="H678" s="11" t="n">
        <v>1160</v>
      </c>
      <c r="I678" s="12" t="s">
        <v>15</v>
      </c>
      <c r="J678" s="22" t="s">
        <v>45</v>
      </c>
      <c r="K678" s="12"/>
      <c r="L678" s="9" t="n">
        <f aca="false">L677+H678</f>
        <v>37308.39</v>
      </c>
      <c r="M678" s="10" t="str">
        <f aca="false">VLOOKUP(J678,RECATALOGANDO!A:C,2,0)</f>
        <v>VENTA DE MEDICAMENTO</v>
      </c>
      <c r="N678" s="12" t="str">
        <f aca="false">VLOOKUP(M678,RECATALOGANDO!B:C,2,0)</f>
        <v>VENTA DE PRODUCTO</v>
      </c>
      <c r="O678" s="2" t="s">
        <v>39</v>
      </c>
    </row>
    <row r="679" customFormat="false" ht="13.8" hidden="false" customHeight="false" outlineLevel="0" collapsed="false">
      <c r="A679" s="8" t="n">
        <v>45280</v>
      </c>
      <c r="B679" s="9" t="n">
        <f aca="false">DAY(A679)</f>
        <v>20</v>
      </c>
      <c r="C679" s="9" t="n">
        <f aca="false">MONTH(A679)</f>
        <v>12</v>
      </c>
      <c r="D679" s="9" t="n">
        <f aca="false">YEAR(A679)</f>
        <v>2023</v>
      </c>
      <c r="E679" s="9" t="n">
        <f aca="false">WEEKDAY(A679,2)</f>
        <v>3</v>
      </c>
      <c r="F679" s="10" t="n">
        <f aca="false">WEEKNUM(A679,2) - WEEKNUM(DATE(YEAR(A679),MONTH(A679),1),2) + 1</f>
        <v>4</v>
      </c>
      <c r="G679" s="10"/>
      <c r="H679" s="11" t="n">
        <v>1190</v>
      </c>
      <c r="I679" s="12" t="s">
        <v>20</v>
      </c>
      <c r="J679" s="12" t="s">
        <v>45</v>
      </c>
      <c r="K679" s="12"/>
      <c r="L679" s="9" t="n">
        <f aca="false">L678+H679</f>
        <v>38498.39</v>
      </c>
      <c r="M679" s="10" t="str">
        <f aca="false">VLOOKUP(J679,RECATALOGANDO!A:C,2,0)</f>
        <v>VENTA DE MEDICAMENTO</v>
      </c>
      <c r="N679" s="12" t="str">
        <f aca="false">VLOOKUP(M679,RECATALOGANDO!B:C,2,0)</f>
        <v>VENTA DE PRODUCTO</v>
      </c>
      <c r="O679" s="2" t="s">
        <v>39</v>
      </c>
    </row>
    <row r="680" customFormat="false" ht="13.8" hidden="false" customHeight="false" outlineLevel="0" collapsed="false">
      <c r="A680" s="8" t="n">
        <v>45280</v>
      </c>
      <c r="B680" s="9" t="n">
        <f aca="false">DAY(A680)</f>
        <v>20</v>
      </c>
      <c r="C680" s="9" t="n">
        <f aca="false">MONTH(A680)</f>
        <v>12</v>
      </c>
      <c r="D680" s="9" t="n">
        <f aca="false">YEAR(A680)</f>
        <v>2023</v>
      </c>
      <c r="E680" s="9" t="n">
        <f aca="false">WEEKDAY(A680,2)</f>
        <v>3</v>
      </c>
      <c r="F680" s="10" t="n">
        <f aca="false">WEEKNUM(A680,2) - WEEKNUM(DATE(YEAR(A680),MONTH(A680),1),2) + 1</f>
        <v>4</v>
      </c>
      <c r="G680" s="10"/>
      <c r="H680" s="11" t="n">
        <v>1280</v>
      </c>
      <c r="I680" s="12" t="s">
        <v>20</v>
      </c>
      <c r="J680" s="22" t="s">
        <v>58</v>
      </c>
      <c r="K680" s="12"/>
      <c r="L680" s="9" t="n">
        <f aca="false">L679+H680</f>
        <v>39778.39</v>
      </c>
      <c r="M680" s="10" t="str">
        <f aca="false">VLOOKUP(J680,RECATALOGANDO!A:C,2,0)</f>
        <v>SERVICIO DE LABORATORIO</v>
      </c>
      <c r="N680" s="12" t="str">
        <f aca="false">VLOOKUP(M680,RECATALOGANDO!B:C,2,0)</f>
        <v>VENTA DE SERVICIO</v>
      </c>
      <c r="O680" s="2" t="s">
        <v>39</v>
      </c>
    </row>
    <row r="681" customFormat="false" ht="13.8" hidden="false" customHeight="false" outlineLevel="0" collapsed="false">
      <c r="A681" s="8" t="n">
        <v>45280</v>
      </c>
      <c r="B681" s="9" t="n">
        <f aca="false">DAY(A681)</f>
        <v>20</v>
      </c>
      <c r="C681" s="9" t="n">
        <f aca="false">MONTH(A681)</f>
        <v>12</v>
      </c>
      <c r="D681" s="9" t="n">
        <f aca="false">YEAR(A681)</f>
        <v>2023</v>
      </c>
      <c r="E681" s="9" t="n">
        <f aca="false">WEEKDAY(A681,2)</f>
        <v>3</v>
      </c>
      <c r="F681" s="10" t="n">
        <f aca="false">WEEKNUM(A681,2) - WEEKNUM(DATE(YEAR(A681),MONTH(A681),1),2) + 1</f>
        <v>4</v>
      </c>
      <c r="G681" s="10"/>
      <c r="H681" s="11" t="n">
        <v>3279</v>
      </c>
      <c r="I681" s="12" t="s">
        <v>20</v>
      </c>
      <c r="J681" s="12" t="s">
        <v>67</v>
      </c>
      <c r="K681" s="12"/>
      <c r="L681" s="9" t="n">
        <f aca="false">L680+H681</f>
        <v>43057.39</v>
      </c>
      <c r="M681" s="10" t="str">
        <f aca="false">VLOOKUP(J681,RECATALOGANDO!A:C,2,0)</f>
        <v>SERVICIO DE PENSION</v>
      </c>
      <c r="N681" s="12" t="str">
        <f aca="false">VLOOKUP(M681,RECATALOGANDO!B:C,2,0)</f>
        <v>VENTA DE SERVICIO</v>
      </c>
      <c r="O681" s="2" t="s">
        <v>39</v>
      </c>
    </row>
    <row r="682" customFormat="false" ht="13.8" hidden="false" customHeight="false" outlineLevel="0" collapsed="false">
      <c r="A682" s="8" t="n">
        <v>45281</v>
      </c>
      <c r="B682" s="9" t="n">
        <f aca="false">DAY(A682)</f>
        <v>21</v>
      </c>
      <c r="C682" s="9" t="n">
        <f aca="false">MONTH(A682)</f>
        <v>12</v>
      </c>
      <c r="D682" s="9" t="n">
        <f aca="false">YEAR(A682)</f>
        <v>2023</v>
      </c>
      <c r="E682" s="9" t="n">
        <f aca="false">WEEKDAY(A682,2)</f>
        <v>4</v>
      </c>
      <c r="F682" s="10" t="n">
        <f aca="false">WEEKNUM(A682,2) - WEEKNUM(DATE(YEAR(A682),MONTH(A682),1),2) + 1</f>
        <v>4</v>
      </c>
      <c r="G682" s="10"/>
      <c r="H682" s="11" t="n">
        <v>200</v>
      </c>
      <c r="I682" s="12" t="s">
        <v>20</v>
      </c>
      <c r="J682" s="12" t="s">
        <v>49</v>
      </c>
      <c r="K682" s="12"/>
      <c r="L682" s="9" t="n">
        <f aca="false">L681+H682</f>
        <v>43257.39</v>
      </c>
      <c r="M682" s="10" t="str">
        <f aca="false">VLOOKUP(J682,RECATALOGANDO!A:C,2,0)</f>
        <v>SERVICIO DE GROOMING</v>
      </c>
      <c r="N682" s="12" t="str">
        <f aca="false">VLOOKUP(M682,RECATALOGANDO!B:C,2,0)</f>
        <v>VENTA DE SERVICIO</v>
      </c>
      <c r="O682" s="2" t="s">
        <v>39</v>
      </c>
    </row>
    <row r="683" customFormat="false" ht="13.8" hidden="false" customHeight="false" outlineLevel="0" collapsed="false">
      <c r="A683" s="8" t="n">
        <v>45281</v>
      </c>
      <c r="B683" s="9" t="n">
        <f aca="false">DAY(A683)</f>
        <v>21</v>
      </c>
      <c r="C683" s="9" t="n">
        <f aca="false">MONTH(A683)</f>
        <v>12</v>
      </c>
      <c r="D683" s="9" t="n">
        <f aca="false">YEAR(A683)</f>
        <v>2023</v>
      </c>
      <c r="E683" s="9" t="n">
        <f aca="false">WEEKDAY(A683,2)</f>
        <v>4</v>
      </c>
      <c r="F683" s="10" t="n">
        <f aca="false">WEEKNUM(A683,2) - WEEKNUM(DATE(YEAR(A683),MONTH(A683),1),2) + 1</f>
        <v>4</v>
      </c>
      <c r="G683" s="10"/>
      <c r="H683" s="11" t="n">
        <v>289.39</v>
      </c>
      <c r="I683" s="12" t="s">
        <v>15</v>
      </c>
      <c r="J683" s="12" t="s">
        <v>49</v>
      </c>
      <c r="K683" s="12"/>
      <c r="L683" s="9" t="n">
        <f aca="false">L682+H683</f>
        <v>43546.78</v>
      </c>
      <c r="M683" s="10" t="str">
        <f aca="false">VLOOKUP(J683,RECATALOGANDO!A:C,2,0)</f>
        <v>SERVICIO DE GROOMING</v>
      </c>
      <c r="N683" s="12" t="str">
        <f aca="false">VLOOKUP(M683,RECATALOGANDO!B:C,2,0)</f>
        <v>VENTA DE SERVICIO</v>
      </c>
      <c r="O683" s="2" t="s">
        <v>39</v>
      </c>
    </row>
    <row r="684" customFormat="false" ht="13.8" hidden="false" customHeight="false" outlineLevel="0" collapsed="false">
      <c r="A684" s="8" t="n">
        <v>45282</v>
      </c>
      <c r="B684" s="9" t="n">
        <f aca="false">DAY(A684)</f>
        <v>22</v>
      </c>
      <c r="C684" s="9" t="n">
        <f aca="false">MONTH(A684)</f>
        <v>12</v>
      </c>
      <c r="D684" s="9" t="n">
        <f aca="false">YEAR(A684)</f>
        <v>2023</v>
      </c>
      <c r="E684" s="9" t="n">
        <f aca="false">WEEKDAY(A684,2)</f>
        <v>5</v>
      </c>
      <c r="F684" s="10" t="n">
        <f aca="false">WEEKNUM(A684,2) - WEEKNUM(DATE(YEAR(A684),MONTH(A684),1),2) + 1</f>
        <v>4</v>
      </c>
      <c r="G684" s="10"/>
      <c r="H684" s="11" t="n">
        <v>370</v>
      </c>
      <c r="I684" s="12" t="s">
        <v>20</v>
      </c>
      <c r="J684" s="12" t="s">
        <v>49</v>
      </c>
      <c r="K684" s="12"/>
      <c r="L684" s="9" t="n">
        <f aca="false">L683+H684</f>
        <v>43916.78</v>
      </c>
      <c r="M684" s="10" t="str">
        <f aca="false">VLOOKUP(J684,RECATALOGANDO!A:C,2,0)</f>
        <v>SERVICIO DE GROOMING</v>
      </c>
      <c r="N684" s="12" t="str">
        <f aca="false">VLOOKUP(M684,RECATALOGANDO!B:C,2,0)</f>
        <v>VENTA DE SERVICIO</v>
      </c>
      <c r="O684" s="2" t="s">
        <v>39</v>
      </c>
    </row>
    <row r="685" customFormat="false" ht="13.8" hidden="false" customHeight="false" outlineLevel="0" collapsed="false">
      <c r="A685" s="8" t="n">
        <v>45282</v>
      </c>
      <c r="B685" s="9" t="n">
        <f aca="false">DAY(A685)</f>
        <v>22</v>
      </c>
      <c r="C685" s="9" t="n">
        <f aca="false">MONTH(A685)</f>
        <v>12</v>
      </c>
      <c r="D685" s="9" t="n">
        <f aca="false">YEAR(A685)</f>
        <v>2023</v>
      </c>
      <c r="E685" s="9" t="n">
        <f aca="false">WEEKDAY(A685,2)</f>
        <v>5</v>
      </c>
      <c r="F685" s="10" t="n">
        <f aca="false">WEEKNUM(A685,2) - WEEKNUM(DATE(YEAR(A685),MONTH(A685),1),2) + 1</f>
        <v>4</v>
      </c>
      <c r="G685" s="10"/>
      <c r="H685" s="11" t="n">
        <v>460</v>
      </c>
      <c r="I685" s="12" t="s">
        <v>20</v>
      </c>
      <c r="J685" s="12" t="s">
        <v>67</v>
      </c>
      <c r="K685" s="12"/>
      <c r="L685" s="9" t="n">
        <f aca="false">L684+H685</f>
        <v>44376.78</v>
      </c>
      <c r="M685" s="10" t="str">
        <f aca="false">VLOOKUP(J685,RECATALOGANDO!A:C,2,0)</f>
        <v>SERVICIO DE PENSION</v>
      </c>
      <c r="N685" s="12" t="str">
        <f aca="false">VLOOKUP(M685,RECATALOGANDO!B:C,2,0)</f>
        <v>VENTA DE SERVICIO</v>
      </c>
      <c r="O685" s="2" t="s">
        <v>39</v>
      </c>
    </row>
    <row r="686" customFormat="false" ht="13.8" hidden="false" customHeight="false" outlineLevel="0" collapsed="false">
      <c r="A686" s="8" t="n">
        <v>45283</v>
      </c>
      <c r="B686" s="9" t="n">
        <f aca="false">DAY(A686)</f>
        <v>23</v>
      </c>
      <c r="C686" s="9" t="n">
        <f aca="false">MONTH(A686)</f>
        <v>12</v>
      </c>
      <c r="D686" s="9" t="n">
        <f aca="false">YEAR(A686)</f>
        <v>2023</v>
      </c>
      <c r="E686" s="9" t="n">
        <f aca="false">WEEKDAY(A686,2)</f>
        <v>6</v>
      </c>
      <c r="F686" s="10" t="n">
        <f aca="false">WEEKNUM(A686,2) - WEEKNUM(DATE(YEAR(A686),MONTH(A686),1),2) + 1</f>
        <v>4</v>
      </c>
      <c r="G686" s="10"/>
      <c r="H686" s="11" t="n">
        <v>1421.07</v>
      </c>
      <c r="I686" s="12" t="s">
        <v>15</v>
      </c>
      <c r="J686" s="12" t="s">
        <v>45</v>
      </c>
      <c r="K686" s="12"/>
      <c r="L686" s="9" t="n">
        <f aca="false">L685+H686</f>
        <v>45797.85</v>
      </c>
      <c r="M686" s="10" t="str">
        <f aca="false">VLOOKUP(J686,RECATALOGANDO!A:C,2,0)</f>
        <v>VENTA DE MEDICAMENTO</v>
      </c>
      <c r="N686" s="12" t="str">
        <f aca="false">VLOOKUP(M686,RECATALOGANDO!B:C,2,0)</f>
        <v>VENTA DE PRODUCTO</v>
      </c>
      <c r="O686" s="2" t="s">
        <v>39</v>
      </c>
    </row>
    <row r="687" customFormat="false" ht="13.8" hidden="false" customHeight="false" outlineLevel="0" collapsed="false">
      <c r="A687" s="8" t="n">
        <v>45291</v>
      </c>
      <c r="B687" s="9" t="n">
        <f aca="false">DAY(A687)</f>
        <v>31</v>
      </c>
      <c r="C687" s="9" t="n">
        <f aca="false">MONTH(A687)</f>
        <v>12</v>
      </c>
      <c r="D687" s="9" t="n">
        <f aca="false">YEAR(A687)</f>
        <v>2023</v>
      </c>
      <c r="E687" s="9" t="n">
        <f aca="false">WEEKDAY(A687,2)</f>
        <v>7</v>
      </c>
      <c r="F687" s="10" t="n">
        <f aca="false">WEEKNUM(A687,2) - WEEKNUM(DATE(YEAR(A687),MONTH(A687),1),2) + 1</f>
        <v>5</v>
      </c>
      <c r="G687" s="10"/>
      <c r="H687" s="11" t="n">
        <v>257</v>
      </c>
      <c r="I687" s="12" t="s">
        <v>15</v>
      </c>
      <c r="J687" s="12" t="s">
        <v>49</v>
      </c>
      <c r="K687" s="12"/>
      <c r="L687" s="9" t="n">
        <f aca="false">L686+H687</f>
        <v>46054.85</v>
      </c>
      <c r="M687" s="10" t="str">
        <f aca="false">VLOOKUP(J687,RECATALOGANDO!A:C,2,0)</f>
        <v>SERVICIO DE GROOMING</v>
      </c>
      <c r="N687" s="12" t="str">
        <f aca="false">VLOOKUP(M687,RECATALOGANDO!B:C,2,0)</f>
        <v>VENTA DE SERVICIO</v>
      </c>
      <c r="O687" s="2" t="s">
        <v>39</v>
      </c>
    </row>
    <row r="688" customFormat="false" ht="13.8" hidden="false" customHeight="false" outlineLevel="0" collapsed="false">
      <c r="A688" s="8" t="n">
        <v>45301</v>
      </c>
      <c r="B688" s="9" t="n">
        <f aca="false">DAY(A688)</f>
        <v>10</v>
      </c>
      <c r="C688" s="9" t="n">
        <f aca="false">MONTH(A688)</f>
        <v>1</v>
      </c>
      <c r="D688" s="9" t="n">
        <f aca="false">YEAR(A688)</f>
        <v>2024</v>
      </c>
      <c r="E688" s="9" t="n">
        <f aca="false">WEEKDAY(A688,2)</f>
        <v>3</v>
      </c>
      <c r="F688" s="10" t="n">
        <f aca="false">WEEKNUM(A688,2) - WEEKNUM(DATE(YEAR(A688),MONTH(A688),1),2) + 1</f>
        <v>2</v>
      </c>
      <c r="G688" s="10"/>
      <c r="H688" s="11" t="n">
        <v>1300</v>
      </c>
      <c r="I688" s="12" t="s">
        <v>20</v>
      </c>
      <c r="J688" s="12" t="s">
        <v>51</v>
      </c>
      <c r="K688" s="12"/>
      <c r="L688" s="9" t="n">
        <f aca="false">SUMIFS(H:H,C:C,C688,D:D,D688,N:N,N688)</f>
        <v>34288.21</v>
      </c>
      <c r="M688" s="10" t="str">
        <f aca="false">VLOOKUP(J688,RECATALOGANDO!A:C,2,0)</f>
        <v>VENTA DE ALIMENTO</v>
      </c>
      <c r="N688" s="12" t="str">
        <f aca="false">VLOOKUP(M688,RECATALOGANDO!B:C,2,0)</f>
        <v>VENTA DE PRODUCTO</v>
      </c>
      <c r="O688" s="2" t="s">
        <v>39</v>
      </c>
    </row>
    <row r="689" customFormat="false" ht="13.8" hidden="false" customHeight="false" outlineLevel="0" collapsed="false">
      <c r="A689" s="8" t="n">
        <v>45323</v>
      </c>
      <c r="B689" s="9" t="n">
        <f aca="false">DAY(A689)</f>
        <v>1</v>
      </c>
      <c r="C689" s="9" t="n">
        <f aca="false">MONTH(A689)</f>
        <v>2</v>
      </c>
      <c r="D689" s="9" t="n">
        <f aca="false">YEAR(A689)</f>
        <v>2024</v>
      </c>
      <c r="E689" s="9" t="n">
        <f aca="false">WEEKDAY(A689,2)</f>
        <v>4</v>
      </c>
      <c r="F689" s="10" t="n">
        <f aca="false">WEEKNUM(A689,2) - WEEKNUM(DATE(YEAR(A689),MONTH(A689),1),2) + 1</f>
        <v>1</v>
      </c>
      <c r="G689" s="10"/>
      <c r="H689" s="11" t="n">
        <v>1310</v>
      </c>
      <c r="I689" s="12" t="s">
        <v>15</v>
      </c>
      <c r="J689" s="12" t="s">
        <v>45</v>
      </c>
      <c r="K689" s="12"/>
      <c r="L689" s="9" t="n">
        <f aca="false">H689</f>
        <v>1310</v>
      </c>
      <c r="M689" s="10" t="str">
        <f aca="false">VLOOKUP(J689,RECATALOGANDO!A:C,2,0)</f>
        <v>VENTA DE MEDICAMENTO</v>
      </c>
      <c r="N689" s="12" t="str">
        <f aca="false">VLOOKUP(M689,RECATALOGANDO!B:C,2,0)</f>
        <v>VENTA DE PRODUCTO</v>
      </c>
      <c r="O689" s="2" t="s">
        <v>39</v>
      </c>
    </row>
    <row r="690" customFormat="false" ht="13.8" hidden="false" customHeight="false" outlineLevel="0" collapsed="false">
      <c r="A690" s="8" t="n">
        <v>45324</v>
      </c>
      <c r="B690" s="9" t="n">
        <f aca="false">DAY(A690)</f>
        <v>2</v>
      </c>
      <c r="C690" s="9" t="n">
        <f aca="false">MONTH(A690)</f>
        <v>2</v>
      </c>
      <c r="D690" s="9" t="n">
        <f aca="false">YEAR(A690)</f>
        <v>2024</v>
      </c>
      <c r="E690" s="9" t="n">
        <f aca="false">WEEKDAY(A690,2)</f>
        <v>5</v>
      </c>
      <c r="F690" s="10" t="n">
        <f aca="false">WEEKNUM(A690,2) - WEEKNUM(DATE(YEAR(A690),MONTH(A690),1),2) + 1</f>
        <v>1</v>
      </c>
      <c r="G690" s="10"/>
      <c r="H690" s="11" t="n">
        <v>490</v>
      </c>
      <c r="I690" s="12" t="s">
        <v>20</v>
      </c>
      <c r="J690" s="12" t="s">
        <v>45</v>
      </c>
      <c r="K690" s="12"/>
      <c r="L690" s="9" t="n">
        <f aca="false">L689+H690</f>
        <v>1800</v>
      </c>
      <c r="M690" s="10" t="str">
        <f aca="false">VLOOKUP(J690,RECATALOGANDO!A:C,2,0)</f>
        <v>VENTA DE MEDICAMENTO</v>
      </c>
      <c r="N690" s="12" t="str">
        <f aca="false">VLOOKUP(M690,RECATALOGANDO!B:C,2,0)</f>
        <v>VENTA DE PRODUCTO</v>
      </c>
      <c r="O690" s="2" t="s">
        <v>39</v>
      </c>
    </row>
    <row r="691" customFormat="false" ht="13.8" hidden="false" customHeight="false" outlineLevel="0" collapsed="false">
      <c r="A691" s="8" t="n">
        <v>45324</v>
      </c>
      <c r="B691" s="9" t="n">
        <f aca="false">DAY(A691)</f>
        <v>2</v>
      </c>
      <c r="C691" s="9" t="n">
        <f aca="false">MONTH(A691)</f>
        <v>2</v>
      </c>
      <c r="D691" s="9" t="n">
        <f aca="false">YEAR(A691)</f>
        <v>2024</v>
      </c>
      <c r="E691" s="9" t="n">
        <f aca="false">WEEKDAY(A691,2)</f>
        <v>5</v>
      </c>
      <c r="F691" s="10" t="n">
        <f aca="false">WEEKNUM(A691,2) - WEEKNUM(DATE(YEAR(A691),MONTH(A691),1),2) + 1</f>
        <v>1</v>
      </c>
      <c r="G691" s="10"/>
      <c r="H691" s="11" t="n">
        <v>1119</v>
      </c>
      <c r="I691" s="12" t="s">
        <v>20</v>
      </c>
      <c r="J691" s="12" t="s">
        <v>51</v>
      </c>
      <c r="K691" s="12"/>
      <c r="L691" s="9" t="n">
        <f aca="false">SUMIFS(H:H,C:C,C691,D:D,D691,N:N,N691)</f>
        <v>19556.99</v>
      </c>
      <c r="M691" s="10" t="str">
        <f aca="false">VLOOKUP(J691,RECATALOGANDO!A:C,2,0)</f>
        <v>VENTA DE ALIMENTO</v>
      </c>
      <c r="N691" s="12" t="str">
        <f aca="false">VLOOKUP(M691,RECATALOGANDO!B:C,2,0)</f>
        <v>VENTA DE PRODUCTO</v>
      </c>
      <c r="O691" s="2" t="s">
        <v>39</v>
      </c>
    </row>
    <row r="692" customFormat="false" ht="13.8" hidden="false" customHeight="false" outlineLevel="0" collapsed="false">
      <c r="A692" s="8" t="n">
        <v>45324</v>
      </c>
      <c r="B692" s="9" t="n">
        <f aca="false">DAY(A692)</f>
        <v>2</v>
      </c>
      <c r="C692" s="9" t="n">
        <f aca="false">MONTH(A692)</f>
        <v>2</v>
      </c>
      <c r="D692" s="9" t="n">
        <f aca="false">YEAR(A692)</f>
        <v>2024</v>
      </c>
      <c r="E692" s="9" t="n">
        <f aca="false">WEEKDAY(A692,2)</f>
        <v>5</v>
      </c>
      <c r="F692" s="10" t="n">
        <f aca="false">WEEKNUM(A692,2) - WEEKNUM(DATE(YEAR(A692),MONTH(A692),1),2) + 1</f>
        <v>1</v>
      </c>
      <c r="G692" s="10"/>
      <c r="H692" s="11" t="n">
        <v>350</v>
      </c>
      <c r="I692" s="12" t="s">
        <v>20</v>
      </c>
      <c r="J692" s="12" t="s">
        <v>49</v>
      </c>
      <c r="K692" s="12"/>
      <c r="L692" s="9" t="n">
        <f aca="false">SUMIFS(H:H,C:C,C692,D:D,D692,N:N,N692)</f>
        <v>25773</v>
      </c>
      <c r="M692" s="10" t="str">
        <f aca="false">VLOOKUP(J692,RECATALOGANDO!A:C,2,0)</f>
        <v>SERVICIO DE GROOMING</v>
      </c>
      <c r="N692" s="12" t="str">
        <f aca="false">VLOOKUP(M692,RECATALOGANDO!B:C,2,0)</f>
        <v>VENTA DE SERVICIO</v>
      </c>
      <c r="O692" s="2" t="s">
        <v>39</v>
      </c>
    </row>
    <row r="693" customFormat="false" ht="13.8" hidden="false" customHeight="false" outlineLevel="0" collapsed="false">
      <c r="A693" s="8" t="n">
        <v>45325</v>
      </c>
      <c r="B693" s="9" t="n">
        <f aca="false">DAY(A693)</f>
        <v>3</v>
      </c>
      <c r="C693" s="9" t="n">
        <f aca="false">MONTH(A693)</f>
        <v>2</v>
      </c>
      <c r="D693" s="9" t="n">
        <f aca="false">YEAR(A693)</f>
        <v>2024</v>
      </c>
      <c r="E693" s="9" t="n">
        <f aca="false">WEEKDAY(A693,2)</f>
        <v>6</v>
      </c>
      <c r="F693" s="10" t="n">
        <f aca="false">WEEKNUM(A693,2) - WEEKNUM(DATE(YEAR(A693),MONTH(A693),1),2) + 1</f>
        <v>1</v>
      </c>
      <c r="G693" s="10"/>
      <c r="H693" s="11" t="n">
        <v>647.77</v>
      </c>
      <c r="I693" s="12" t="s">
        <v>15</v>
      </c>
      <c r="J693" s="12" t="s">
        <v>51</v>
      </c>
      <c r="K693" s="12"/>
      <c r="L693" s="9" t="n">
        <f aca="false">SUMIFS(H:H,C:C,C693,D:D,D693,N:N,N693)</f>
        <v>19556.99</v>
      </c>
      <c r="M693" s="10" t="str">
        <f aca="false">VLOOKUP(J693,RECATALOGANDO!A:C,2,0)</f>
        <v>VENTA DE ALIMENTO</v>
      </c>
      <c r="N693" s="12" t="str">
        <f aca="false">VLOOKUP(M693,RECATALOGANDO!B:C,2,0)</f>
        <v>VENTA DE PRODUCTO</v>
      </c>
      <c r="O693" s="2" t="s">
        <v>39</v>
      </c>
    </row>
    <row r="694" customFormat="false" ht="13.8" hidden="false" customHeight="false" outlineLevel="0" collapsed="false">
      <c r="A694" s="8" t="n">
        <v>45325</v>
      </c>
      <c r="B694" s="9" t="n">
        <f aca="false">DAY(A694)</f>
        <v>3</v>
      </c>
      <c r="C694" s="9" t="n">
        <f aca="false">MONTH(A694)</f>
        <v>2</v>
      </c>
      <c r="D694" s="9" t="n">
        <f aca="false">YEAR(A694)</f>
        <v>2024</v>
      </c>
      <c r="E694" s="9" t="n">
        <f aca="false">WEEKDAY(A694,2)</f>
        <v>6</v>
      </c>
      <c r="F694" s="10" t="n">
        <f aca="false">WEEKNUM(A694,2) - WEEKNUM(DATE(YEAR(A694),MONTH(A694),1),2) + 1</f>
        <v>1</v>
      </c>
      <c r="G694" s="10"/>
      <c r="H694" s="11" t="n">
        <v>150</v>
      </c>
      <c r="I694" s="12" t="s">
        <v>15</v>
      </c>
      <c r="J694" s="12" t="s">
        <v>49</v>
      </c>
      <c r="K694" s="12"/>
      <c r="L694" s="9" t="n">
        <f aca="false">SUMIFS(H:H,C:C,C694,D:D,D694,N:N,N694)</f>
        <v>25773</v>
      </c>
      <c r="M694" s="10" t="str">
        <f aca="false">VLOOKUP(J694,RECATALOGANDO!A:C,2,0)</f>
        <v>SERVICIO DE GROOMING</v>
      </c>
      <c r="N694" s="12" t="str">
        <f aca="false">VLOOKUP(M694,RECATALOGANDO!B:C,2,0)</f>
        <v>VENTA DE SERVICIO</v>
      </c>
      <c r="O694" s="2" t="s">
        <v>39</v>
      </c>
    </row>
    <row r="695" customFormat="false" ht="13.8" hidden="false" customHeight="false" outlineLevel="0" collapsed="false">
      <c r="A695" s="8" t="n">
        <v>45325</v>
      </c>
      <c r="B695" s="9" t="n">
        <f aca="false">DAY(A695)</f>
        <v>3</v>
      </c>
      <c r="C695" s="9" t="n">
        <f aca="false">MONTH(A695)</f>
        <v>2</v>
      </c>
      <c r="D695" s="9" t="n">
        <f aca="false">YEAR(A695)</f>
        <v>2024</v>
      </c>
      <c r="E695" s="9" t="n">
        <f aca="false">WEEKDAY(A695,2)</f>
        <v>6</v>
      </c>
      <c r="F695" s="10" t="n">
        <f aca="false">WEEKNUM(A695,2) - WEEKNUM(DATE(YEAR(A695),MONTH(A695),1),2) + 1</f>
        <v>1</v>
      </c>
      <c r="G695" s="10"/>
      <c r="H695" s="11" t="n">
        <v>5170</v>
      </c>
      <c r="I695" s="12" t="s">
        <v>15</v>
      </c>
      <c r="J695" s="12" t="s">
        <v>64</v>
      </c>
      <c r="K695" s="12"/>
      <c r="L695" s="9" t="n">
        <f aca="false">SUMIFS(H:H,C:C,C695,D:D,D695,N:N,N695)</f>
        <v>25773</v>
      </c>
      <c r="M695" s="10" t="str">
        <f aca="false">VLOOKUP(J695,RECATALOGANDO!A:C,2,0)</f>
        <v>HONORARIOS QUIRURGICOS</v>
      </c>
      <c r="N695" s="12" t="str">
        <f aca="false">VLOOKUP(M695,RECATALOGANDO!B:C,2,0)</f>
        <v>VENTA DE SERVICIO</v>
      </c>
      <c r="O695" s="2" t="s">
        <v>39</v>
      </c>
    </row>
    <row r="696" customFormat="false" ht="13.8" hidden="false" customHeight="false" outlineLevel="0" collapsed="false">
      <c r="A696" s="8" t="n">
        <v>45326</v>
      </c>
      <c r="B696" s="9" t="n">
        <f aca="false">DAY(A696)</f>
        <v>4</v>
      </c>
      <c r="C696" s="9" t="n">
        <f aca="false">MONTH(A696)</f>
        <v>2</v>
      </c>
      <c r="D696" s="9" t="n">
        <f aca="false">YEAR(A696)</f>
        <v>2024</v>
      </c>
      <c r="E696" s="9" t="n">
        <f aca="false">WEEKDAY(A696,2)</f>
        <v>7</v>
      </c>
      <c r="F696" s="10" t="n">
        <f aca="false">WEEKNUM(A696,2) - WEEKNUM(DATE(YEAR(A696),MONTH(A696),1),2) + 1</f>
        <v>1</v>
      </c>
      <c r="G696" s="10"/>
      <c r="H696" s="11" t="n">
        <v>740</v>
      </c>
      <c r="I696" s="12" t="s">
        <v>15</v>
      </c>
      <c r="J696" s="12" t="s">
        <v>49</v>
      </c>
      <c r="K696" s="12"/>
      <c r="L696" s="9" t="n">
        <f aca="false">SUMIFS(H:H,C:C,C696,D:D,D696,N:N,N696)</f>
        <v>25773</v>
      </c>
      <c r="M696" s="10" t="str">
        <f aca="false">VLOOKUP(J696,RECATALOGANDO!A:C,2,0)</f>
        <v>SERVICIO DE GROOMING</v>
      </c>
      <c r="N696" s="12" t="str">
        <f aca="false">VLOOKUP(M696,RECATALOGANDO!B:C,2,0)</f>
        <v>VENTA DE SERVICIO</v>
      </c>
      <c r="O696" s="2" t="s">
        <v>39</v>
      </c>
    </row>
    <row r="697" customFormat="false" ht="13.8" hidden="false" customHeight="false" outlineLevel="0" collapsed="false">
      <c r="A697" s="8" t="n">
        <v>45328</v>
      </c>
      <c r="B697" s="9" t="n">
        <f aca="false">DAY(A697)</f>
        <v>6</v>
      </c>
      <c r="C697" s="9" t="n">
        <f aca="false">MONTH(A697)</f>
        <v>2</v>
      </c>
      <c r="D697" s="9" t="n">
        <f aca="false">YEAR(A697)</f>
        <v>2024</v>
      </c>
      <c r="E697" s="9" t="n">
        <f aca="false">WEEKDAY(A697,2)</f>
        <v>2</v>
      </c>
      <c r="F697" s="10" t="n">
        <f aca="false">WEEKNUM(A697,2) - WEEKNUM(DATE(YEAR(A697),MONTH(A697),1),2) + 1</f>
        <v>2</v>
      </c>
      <c r="G697" s="10"/>
      <c r="H697" s="11" t="n">
        <v>1460</v>
      </c>
      <c r="I697" s="12" t="s">
        <v>20</v>
      </c>
      <c r="J697" s="12" t="s">
        <v>45</v>
      </c>
      <c r="K697" s="12"/>
      <c r="L697" s="9" t="n">
        <f aca="false">SUMIFS(H:H,C:C,C697,D:D,D697,N:N,N697)</f>
        <v>19556.99</v>
      </c>
      <c r="M697" s="10" t="str">
        <f aca="false">VLOOKUP(J697,RECATALOGANDO!A:C,2,0)</f>
        <v>VENTA DE MEDICAMENTO</v>
      </c>
      <c r="N697" s="12" t="str">
        <f aca="false">VLOOKUP(M697,RECATALOGANDO!B:C,2,0)</f>
        <v>VENTA DE PRODUCTO</v>
      </c>
      <c r="O697" s="2" t="s">
        <v>39</v>
      </c>
    </row>
    <row r="698" customFormat="false" ht="13.8" hidden="false" customHeight="false" outlineLevel="0" collapsed="false">
      <c r="A698" s="8" t="n">
        <v>45328</v>
      </c>
      <c r="B698" s="9" t="n">
        <f aca="false">DAY(A698)</f>
        <v>6</v>
      </c>
      <c r="C698" s="9" t="n">
        <f aca="false">MONTH(A698)</f>
        <v>2</v>
      </c>
      <c r="D698" s="9" t="n">
        <f aca="false">YEAR(A698)</f>
        <v>2024</v>
      </c>
      <c r="E698" s="9" t="n">
        <f aca="false">WEEKDAY(A698,2)</f>
        <v>2</v>
      </c>
      <c r="F698" s="10" t="n">
        <f aca="false">WEEKNUM(A698,2) - WEEKNUM(DATE(YEAR(A698),MONTH(A698),1),2) + 1</f>
        <v>2</v>
      </c>
      <c r="G698" s="10"/>
      <c r="H698" s="11" t="n">
        <v>280</v>
      </c>
      <c r="I698" s="12" t="s">
        <v>15</v>
      </c>
      <c r="J698" s="12" t="s">
        <v>49</v>
      </c>
      <c r="K698" s="12"/>
      <c r="L698" s="9" t="n">
        <f aca="false">SUMIFS(H:H,C:C,C698,D:D,D698,N:N,N698)</f>
        <v>25773</v>
      </c>
      <c r="M698" s="10" t="str">
        <f aca="false">VLOOKUP(J698,RECATALOGANDO!A:C,2,0)</f>
        <v>SERVICIO DE GROOMING</v>
      </c>
      <c r="N698" s="12" t="str">
        <f aca="false">VLOOKUP(M698,RECATALOGANDO!B:C,2,0)</f>
        <v>VENTA DE SERVICIO</v>
      </c>
      <c r="O698" s="2" t="s">
        <v>39</v>
      </c>
    </row>
    <row r="699" customFormat="false" ht="13.8" hidden="false" customHeight="false" outlineLevel="0" collapsed="false">
      <c r="A699" s="8" t="n">
        <v>45328</v>
      </c>
      <c r="B699" s="9" t="n">
        <f aca="false">DAY(A699)</f>
        <v>6</v>
      </c>
      <c r="C699" s="9" t="n">
        <f aca="false">MONTH(A699)</f>
        <v>2</v>
      </c>
      <c r="D699" s="9" t="n">
        <f aca="false">YEAR(A699)</f>
        <v>2024</v>
      </c>
      <c r="E699" s="9" t="n">
        <f aca="false">WEEKDAY(A699,2)</f>
        <v>2</v>
      </c>
      <c r="F699" s="10" t="n">
        <f aca="false">WEEKNUM(A699,2) - WEEKNUM(DATE(YEAR(A699),MONTH(A699),1),2) + 1</f>
        <v>2</v>
      </c>
      <c r="G699" s="10"/>
      <c r="H699" s="11" t="n">
        <v>390</v>
      </c>
      <c r="I699" s="12" t="s">
        <v>20</v>
      </c>
      <c r="J699" s="12" t="s">
        <v>44</v>
      </c>
      <c r="K699" s="12"/>
      <c r="L699" s="9" t="n">
        <f aca="false">SUMIFS(H:H,C:C,C699,D:D,D699,N:N,N699)</f>
        <v>25773</v>
      </c>
      <c r="M699" s="10" t="str">
        <f aca="false">VLOOKUP(J699,RECATALOGANDO!A:C,2,0)</f>
        <v>HONORARIOS MEDICOS</v>
      </c>
      <c r="N699" s="12" t="str">
        <f aca="false">VLOOKUP(M699,RECATALOGANDO!B:C,2,0)</f>
        <v>VENTA DE SERVICIO</v>
      </c>
      <c r="O699" s="2" t="s">
        <v>39</v>
      </c>
    </row>
    <row r="700" customFormat="false" ht="13.8" hidden="false" customHeight="false" outlineLevel="0" collapsed="false">
      <c r="A700" s="8" t="n">
        <v>45328</v>
      </c>
      <c r="B700" s="9" t="n">
        <f aca="false">DAY(A700)</f>
        <v>6</v>
      </c>
      <c r="C700" s="9" t="n">
        <f aca="false">MONTH(A700)</f>
        <v>2</v>
      </c>
      <c r="D700" s="9" t="n">
        <f aca="false">YEAR(A700)</f>
        <v>2024</v>
      </c>
      <c r="E700" s="9" t="n">
        <f aca="false">WEEKDAY(A700,2)</f>
        <v>2</v>
      </c>
      <c r="F700" s="10" t="n">
        <f aca="false">WEEKNUM(A700,2) - WEEKNUM(DATE(YEAR(A700),MONTH(A700),1),2) + 1</f>
        <v>2</v>
      </c>
      <c r="G700" s="10"/>
      <c r="H700" s="11" t="n">
        <v>527</v>
      </c>
      <c r="I700" s="12" t="s">
        <v>20</v>
      </c>
      <c r="J700" s="12" t="s">
        <v>49</v>
      </c>
      <c r="K700" s="12"/>
      <c r="L700" s="9" t="n">
        <f aca="false">SUMIFS(H:H,C:C,C700,D:D,D700,N:N,N700)</f>
        <v>25773</v>
      </c>
      <c r="M700" s="10" t="str">
        <f aca="false">VLOOKUP(J700,RECATALOGANDO!A:C,2,0)</f>
        <v>SERVICIO DE GROOMING</v>
      </c>
      <c r="N700" s="12" t="str">
        <f aca="false">VLOOKUP(M700,RECATALOGANDO!B:C,2,0)</f>
        <v>VENTA DE SERVICIO</v>
      </c>
      <c r="O700" s="2" t="s">
        <v>39</v>
      </c>
    </row>
    <row r="701" customFormat="false" ht="13.8" hidden="false" customHeight="false" outlineLevel="0" collapsed="false">
      <c r="A701" s="8" t="n">
        <v>45328</v>
      </c>
      <c r="B701" s="9" t="n">
        <f aca="false">DAY(A701)</f>
        <v>6</v>
      </c>
      <c r="C701" s="9" t="n">
        <f aca="false">MONTH(A701)</f>
        <v>2</v>
      </c>
      <c r="D701" s="9" t="n">
        <f aca="false">YEAR(A701)</f>
        <v>2024</v>
      </c>
      <c r="E701" s="9" t="n">
        <f aca="false">WEEKDAY(A701,2)</f>
        <v>2</v>
      </c>
      <c r="F701" s="10" t="n">
        <f aca="false">WEEKNUM(A701,2) - WEEKNUM(DATE(YEAR(A701),MONTH(A701),1),2) + 1</f>
        <v>2</v>
      </c>
      <c r="G701" s="10"/>
      <c r="H701" s="11" t="n">
        <v>960</v>
      </c>
      <c r="I701" s="12" t="s">
        <v>20</v>
      </c>
      <c r="J701" s="12" t="s">
        <v>44</v>
      </c>
      <c r="K701" s="12"/>
      <c r="L701" s="9" t="n">
        <f aca="false">SUMIFS(H:H,C:C,C701,D:D,D701,N:N,N701)</f>
        <v>25773</v>
      </c>
      <c r="M701" s="10" t="str">
        <f aca="false">VLOOKUP(J701,RECATALOGANDO!A:C,2,0)</f>
        <v>HONORARIOS MEDICOS</v>
      </c>
      <c r="N701" s="12" t="str">
        <f aca="false">VLOOKUP(M701,RECATALOGANDO!B:C,2,0)</f>
        <v>VENTA DE SERVICIO</v>
      </c>
      <c r="O701" s="2" t="s">
        <v>39</v>
      </c>
    </row>
    <row r="702" customFormat="false" ht="13.8" hidden="false" customHeight="false" outlineLevel="0" collapsed="false">
      <c r="A702" s="8" t="n">
        <v>45328</v>
      </c>
      <c r="B702" s="9" t="n">
        <f aca="false">DAY(A702)</f>
        <v>6</v>
      </c>
      <c r="C702" s="9" t="n">
        <f aca="false">MONTH(A702)</f>
        <v>2</v>
      </c>
      <c r="D702" s="9" t="n">
        <f aca="false">YEAR(A702)</f>
        <v>2024</v>
      </c>
      <c r="E702" s="9" t="n">
        <f aca="false">WEEKDAY(A702,2)</f>
        <v>2</v>
      </c>
      <c r="F702" s="10" t="n">
        <f aca="false">WEEKNUM(A702,2) - WEEKNUM(DATE(YEAR(A702),MONTH(A702),1),2) + 1</f>
        <v>2</v>
      </c>
      <c r="G702" s="10"/>
      <c r="H702" s="11" t="n">
        <v>1100</v>
      </c>
      <c r="I702" s="12" t="s">
        <v>20</v>
      </c>
      <c r="J702" s="12" t="s">
        <v>68</v>
      </c>
      <c r="K702" s="12"/>
      <c r="L702" s="9" t="n">
        <f aca="false">SUMIFS(H:H,C:C,C702,D:D,D702,N:N,N702)</f>
        <v>25773</v>
      </c>
      <c r="M702" s="10" t="str">
        <f aca="false">VLOOKUP(J702,RECATALOGANDO!A:C,2,0)</f>
        <v>SERVICIO DE IMAGEN</v>
      </c>
      <c r="N702" s="12" t="str">
        <f aca="false">VLOOKUP(M702,RECATALOGANDO!B:C,2,0)</f>
        <v>VENTA DE SERVICIO</v>
      </c>
      <c r="O702" s="2" t="s">
        <v>39</v>
      </c>
    </row>
    <row r="703" customFormat="false" ht="13.8" hidden="false" customHeight="false" outlineLevel="0" collapsed="false">
      <c r="A703" s="8" t="n">
        <v>45329</v>
      </c>
      <c r="B703" s="9" t="n">
        <f aca="false">DAY(A703)</f>
        <v>7</v>
      </c>
      <c r="C703" s="9" t="n">
        <f aca="false">MONTH(A703)</f>
        <v>2</v>
      </c>
      <c r="D703" s="9" t="n">
        <f aca="false">YEAR(A703)</f>
        <v>2024</v>
      </c>
      <c r="E703" s="9" t="n">
        <f aca="false">WEEKDAY(A703,2)</f>
        <v>3</v>
      </c>
      <c r="F703" s="10" t="n">
        <f aca="false">WEEKNUM(A703,2) - WEEKNUM(DATE(YEAR(A703),MONTH(A703),1),2) + 1</f>
        <v>2</v>
      </c>
      <c r="G703" s="10"/>
      <c r="H703" s="11" t="n">
        <v>140</v>
      </c>
      <c r="I703" s="12" t="s">
        <v>20</v>
      </c>
      <c r="J703" s="12" t="s">
        <v>49</v>
      </c>
      <c r="K703" s="12"/>
      <c r="L703" s="9" t="n">
        <f aca="false">SUMIFS(H:H,C:C,C703,D:D,D703,N:N,N703)</f>
        <v>25773</v>
      </c>
      <c r="M703" s="10" t="str">
        <f aca="false">VLOOKUP(J703,RECATALOGANDO!A:C,2,0)</f>
        <v>SERVICIO DE GROOMING</v>
      </c>
      <c r="N703" s="12" t="str">
        <f aca="false">VLOOKUP(M703,RECATALOGANDO!B:C,2,0)</f>
        <v>VENTA DE SERVICIO</v>
      </c>
      <c r="O703" s="2" t="s">
        <v>39</v>
      </c>
    </row>
    <row r="704" customFormat="false" ht="13.8" hidden="false" customHeight="false" outlineLevel="0" collapsed="false">
      <c r="A704" s="8" t="n">
        <v>45330</v>
      </c>
      <c r="B704" s="9" t="n">
        <f aca="false">DAY(A704)</f>
        <v>8</v>
      </c>
      <c r="C704" s="9" t="n">
        <f aca="false">MONTH(A704)</f>
        <v>2</v>
      </c>
      <c r="D704" s="9" t="n">
        <f aca="false">YEAR(A704)</f>
        <v>2024</v>
      </c>
      <c r="E704" s="9" t="n">
        <f aca="false">WEEKDAY(A704,2)</f>
        <v>4</v>
      </c>
      <c r="F704" s="10" t="n">
        <f aca="false">WEEKNUM(A704,2) - WEEKNUM(DATE(YEAR(A704),MONTH(A704),1),2) + 1</f>
        <v>2</v>
      </c>
      <c r="G704" s="10"/>
      <c r="H704" s="11" t="n">
        <v>630</v>
      </c>
      <c r="I704" s="12" t="s">
        <v>15</v>
      </c>
      <c r="J704" s="12" t="s">
        <v>59</v>
      </c>
      <c r="K704" s="12"/>
      <c r="L704" s="9" t="n">
        <f aca="false">SUMIFS(H:H,C:C,C704,D:D,D704,N:N,N704)</f>
        <v>25773</v>
      </c>
      <c r="M704" s="10" t="str">
        <f aca="false">VLOOKUP(J704,RECATALOGANDO!A:C,2,0)</f>
        <v>SERVICIO DE PENSION</v>
      </c>
      <c r="N704" s="12" t="str">
        <f aca="false">VLOOKUP(M704,RECATALOGANDO!B:C,2,0)</f>
        <v>VENTA DE SERVICIO</v>
      </c>
      <c r="O704" s="2" t="s">
        <v>39</v>
      </c>
    </row>
    <row r="705" customFormat="false" ht="13.8" hidden="false" customHeight="false" outlineLevel="0" collapsed="false">
      <c r="A705" s="8" t="n">
        <v>45331</v>
      </c>
      <c r="B705" s="9" t="n">
        <f aca="false">DAY(A705)</f>
        <v>9</v>
      </c>
      <c r="C705" s="9" t="n">
        <f aca="false">MONTH(A705)</f>
        <v>2</v>
      </c>
      <c r="D705" s="9" t="n">
        <f aca="false">YEAR(A705)</f>
        <v>2024</v>
      </c>
      <c r="E705" s="9" t="n">
        <f aca="false">WEEKDAY(A705,2)</f>
        <v>5</v>
      </c>
      <c r="F705" s="10" t="n">
        <f aca="false">WEEKNUM(A705,2) - WEEKNUM(DATE(YEAR(A705),MONTH(A705),1),2) + 1</f>
        <v>2</v>
      </c>
      <c r="G705" s="10"/>
      <c r="H705" s="11" t="n">
        <v>560</v>
      </c>
      <c r="I705" s="12" t="s">
        <v>20</v>
      </c>
      <c r="J705" s="12" t="s">
        <v>49</v>
      </c>
      <c r="K705" s="12"/>
      <c r="L705" s="9" t="n">
        <f aca="false">SUMIFS(H:H,C:C,C705,D:D,D705,N:N,N705)</f>
        <v>25773</v>
      </c>
      <c r="M705" s="10" t="str">
        <f aca="false">VLOOKUP(J705,RECATALOGANDO!A:C,2,0)</f>
        <v>SERVICIO DE GROOMING</v>
      </c>
      <c r="N705" s="12" t="str">
        <f aca="false">VLOOKUP(M705,RECATALOGANDO!B:C,2,0)</f>
        <v>VENTA DE SERVICIO</v>
      </c>
      <c r="O705" s="2" t="s">
        <v>39</v>
      </c>
    </row>
    <row r="706" customFormat="false" ht="13.8" hidden="false" customHeight="false" outlineLevel="0" collapsed="false">
      <c r="A706" s="8" t="n">
        <v>45332</v>
      </c>
      <c r="B706" s="9" t="n">
        <f aca="false">DAY(A706)</f>
        <v>10</v>
      </c>
      <c r="C706" s="9" t="n">
        <f aca="false">MONTH(A706)</f>
        <v>2</v>
      </c>
      <c r="D706" s="9" t="n">
        <f aca="false">YEAR(A706)</f>
        <v>2024</v>
      </c>
      <c r="E706" s="9" t="n">
        <f aca="false">WEEKDAY(A706,2)</f>
        <v>6</v>
      </c>
      <c r="F706" s="10" t="n">
        <f aca="false">WEEKNUM(A706,2) - WEEKNUM(DATE(YEAR(A706),MONTH(A706),1),2) + 1</f>
        <v>2</v>
      </c>
      <c r="G706" s="10"/>
      <c r="H706" s="11" t="n">
        <v>1404</v>
      </c>
      <c r="I706" s="12" t="s">
        <v>15</v>
      </c>
      <c r="J706" s="12" t="s">
        <v>45</v>
      </c>
      <c r="K706" s="12"/>
      <c r="L706" s="9" t="n">
        <f aca="false">SUMIFS(H:H,C:C,C706,D:D,D706,N:N,N706)</f>
        <v>19556.99</v>
      </c>
      <c r="M706" s="10" t="str">
        <f aca="false">VLOOKUP(J706,RECATALOGANDO!A:C,2,0)</f>
        <v>VENTA DE MEDICAMENTO</v>
      </c>
      <c r="N706" s="12" t="str">
        <f aca="false">VLOOKUP(M706,RECATALOGANDO!B:C,2,0)</f>
        <v>VENTA DE PRODUCTO</v>
      </c>
      <c r="O706" s="2" t="s">
        <v>39</v>
      </c>
    </row>
    <row r="707" customFormat="false" ht="13.8" hidden="false" customHeight="false" outlineLevel="0" collapsed="false">
      <c r="A707" s="8" t="n">
        <v>45334</v>
      </c>
      <c r="B707" s="9" t="n">
        <f aca="false">DAY(A707)</f>
        <v>12</v>
      </c>
      <c r="C707" s="9" t="n">
        <f aca="false">MONTH(A707)</f>
        <v>2</v>
      </c>
      <c r="D707" s="9" t="n">
        <f aca="false">YEAR(A707)</f>
        <v>2024</v>
      </c>
      <c r="E707" s="9" t="n">
        <f aca="false">WEEKDAY(A707,2)</f>
        <v>1</v>
      </c>
      <c r="F707" s="10" t="n">
        <f aca="false">WEEKNUM(A707,2) - WEEKNUM(DATE(YEAR(A707),MONTH(A707),1),2) + 1</f>
        <v>3</v>
      </c>
      <c r="G707" s="10"/>
      <c r="H707" s="11" t="n">
        <v>470</v>
      </c>
      <c r="I707" s="12" t="s">
        <v>20</v>
      </c>
      <c r="J707" s="12" t="s">
        <v>45</v>
      </c>
      <c r="K707" s="12"/>
      <c r="L707" s="9" t="n">
        <f aca="false">SUMIFS(H:H,C:C,C707,D:D,D707,N:N,N707)</f>
        <v>19556.99</v>
      </c>
      <c r="M707" s="10" t="str">
        <f aca="false">VLOOKUP(J707,RECATALOGANDO!A:C,2,0)</f>
        <v>VENTA DE MEDICAMENTO</v>
      </c>
      <c r="N707" s="12" t="str">
        <f aca="false">VLOOKUP(M707,RECATALOGANDO!B:C,2,0)</f>
        <v>VENTA DE PRODUCTO</v>
      </c>
      <c r="O707" s="2" t="s">
        <v>39</v>
      </c>
    </row>
    <row r="708" customFormat="false" ht="13.8" hidden="false" customHeight="false" outlineLevel="0" collapsed="false">
      <c r="A708" s="8" t="n">
        <v>45334</v>
      </c>
      <c r="B708" s="9" t="n">
        <f aca="false">DAY(A708)</f>
        <v>12</v>
      </c>
      <c r="C708" s="9" t="n">
        <f aca="false">MONTH(A708)</f>
        <v>2</v>
      </c>
      <c r="D708" s="9" t="n">
        <f aca="false">YEAR(A708)</f>
        <v>2024</v>
      </c>
      <c r="E708" s="9" t="n">
        <f aca="false">WEEKDAY(A708,2)</f>
        <v>1</v>
      </c>
      <c r="F708" s="10" t="n">
        <f aca="false">WEEKNUM(A708,2) - WEEKNUM(DATE(YEAR(A708),MONTH(A708),1),2) + 1</f>
        <v>3</v>
      </c>
      <c r="G708" s="10"/>
      <c r="H708" s="11" t="n">
        <v>480</v>
      </c>
      <c r="I708" s="12" t="s">
        <v>20</v>
      </c>
      <c r="J708" s="12" t="s">
        <v>45</v>
      </c>
      <c r="K708" s="12"/>
      <c r="L708" s="9" t="n">
        <f aca="false">SUMIFS(H:H,C:C,C708,D:D,D708,N:N,N708)</f>
        <v>19556.99</v>
      </c>
      <c r="M708" s="10" t="str">
        <f aca="false">VLOOKUP(J708,RECATALOGANDO!A:C,2,0)</f>
        <v>VENTA DE MEDICAMENTO</v>
      </c>
      <c r="N708" s="12" t="str">
        <f aca="false">VLOOKUP(M708,RECATALOGANDO!B:C,2,0)</f>
        <v>VENTA DE PRODUCTO</v>
      </c>
      <c r="O708" s="2" t="s">
        <v>39</v>
      </c>
    </row>
    <row r="709" customFormat="false" ht="13.8" hidden="false" customHeight="false" outlineLevel="0" collapsed="false">
      <c r="A709" s="8" t="n">
        <v>45334</v>
      </c>
      <c r="B709" s="9" t="n">
        <f aca="false">DAY(A709)</f>
        <v>12</v>
      </c>
      <c r="C709" s="9" t="n">
        <f aca="false">MONTH(A709)</f>
        <v>2</v>
      </c>
      <c r="D709" s="9" t="n">
        <f aca="false">YEAR(A709)</f>
        <v>2024</v>
      </c>
      <c r="E709" s="9" t="n">
        <f aca="false">WEEKDAY(A709,2)</f>
        <v>1</v>
      </c>
      <c r="F709" s="10" t="n">
        <f aca="false">WEEKNUM(A709,2) - WEEKNUM(DATE(YEAR(A709),MONTH(A709),1),2) + 1</f>
        <v>3</v>
      </c>
      <c r="G709" s="10"/>
      <c r="H709" s="11" t="n">
        <v>1400</v>
      </c>
      <c r="I709" s="12" t="s">
        <v>20</v>
      </c>
      <c r="J709" s="12" t="s">
        <v>45</v>
      </c>
      <c r="K709" s="12"/>
      <c r="L709" s="9" t="n">
        <f aca="false">SUMIFS(H:H,C:C,C709,D:D,D709,N:N,N709)</f>
        <v>19556.99</v>
      </c>
      <c r="M709" s="10" t="str">
        <f aca="false">VLOOKUP(J709,RECATALOGANDO!A:C,2,0)</f>
        <v>VENTA DE MEDICAMENTO</v>
      </c>
      <c r="N709" s="12" t="str">
        <f aca="false">VLOOKUP(M709,RECATALOGANDO!B:C,2,0)</f>
        <v>VENTA DE PRODUCTO</v>
      </c>
      <c r="O709" s="2" t="s">
        <v>39</v>
      </c>
    </row>
    <row r="710" customFormat="false" ht="13.8" hidden="false" customHeight="false" outlineLevel="0" collapsed="false">
      <c r="A710" s="8" t="n">
        <v>45334</v>
      </c>
      <c r="B710" s="9" t="n">
        <f aca="false">DAY(A710)</f>
        <v>12</v>
      </c>
      <c r="C710" s="9" t="n">
        <f aca="false">MONTH(A710)</f>
        <v>2</v>
      </c>
      <c r="D710" s="9" t="n">
        <f aca="false">YEAR(A710)</f>
        <v>2024</v>
      </c>
      <c r="E710" s="9" t="n">
        <f aca="false">WEEKDAY(A710,2)</f>
        <v>1</v>
      </c>
      <c r="F710" s="10" t="n">
        <f aca="false">WEEKNUM(A710,2) - WEEKNUM(DATE(YEAR(A710),MONTH(A710),1),2) + 1</f>
        <v>3</v>
      </c>
      <c r="G710" s="10"/>
      <c r="H710" s="11" t="n">
        <v>190</v>
      </c>
      <c r="I710" s="12" t="s">
        <v>20</v>
      </c>
      <c r="J710" s="12" t="s">
        <v>49</v>
      </c>
      <c r="K710" s="12"/>
      <c r="L710" s="9" t="n">
        <f aca="false">SUMIFS(H:H,C:C,C710,D:D,D710,N:N,N710)</f>
        <v>25773</v>
      </c>
      <c r="M710" s="10" t="str">
        <f aca="false">VLOOKUP(J710,RECATALOGANDO!A:C,2,0)</f>
        <v>SERVICIO DE GROOMING</v>
      </c>
      <c r="N710" s="12" t="str">
        <f aca="false">VLOOKUP(M710,RECATALOGANDO!B:C,2,0)</f>
        <v>VENTA DE SERVICIO</v>
      </c>
      <c r="O710" s="2" t="s">
        <v>39</v>
      </c>
    </row>
    <row r="711" customFormat="false" ht="13.8" hidden="false" customHeight="false" outlineLevel="0" collapsed="false">
      <c r="A711" s="8" t="n">
        <v>45335</v>
      </c>
      <c r="B711" s="9" t="n">
        <f aca="false">DAY(A711)</f>
        <v>13</v>
      </c>
      <c r="C711" s="9" t="n">
        <f aca="false">MONTH(A711)</f>
        <v>2</v>
      </c>
      <c r="D711" s="9" t="n">
        <f aca="false">YEAR(A711)</f>
        <v>2024</v>
      </c>
      <c r="E711" s="9" t="n">
        <f aca="false">WEEKDAY(A711,2)</f>
        <v>2</v>
      </c>
      <c r="F711" s="10" t="n">
        <f aca="false">WEEKNUM(A711,2) - WEEKNUM(DATE(YEAR(A711),MONTH(A711),1),2) + 1</f>
        <v>3</v>
      </c>
      <c r="G711" s="10"/>
      <c r="H711" s="11" t="n">
        <v>719</v>
      </c>
      <c r="I711" s="12" t="s">
        <v>15</v>
      </c>
      <c r="J711" s="12" t="s">
        <v>44</v>
      </c>
      <c r="K711" s="12"/>
      <c r="L711" s="9" t="n">
        <f aca="false">SUMIFS(H:H,C:C,C711,D:D,D711,N:N,N711)</f>
        <v>25773</v>
      </c>
      <c r="M711" s="10" t="str">
        <f aca="false">VLOOKUP(J711,RECATALOGANDO!A:C,2,0)</f>
        <v>HONORARIOS MEDICOS</v>
      </c>
      <c r="N711" s="12" t="str">
        <f aca="false">VLOOKUP(M711,RECATALOGANDO!B:C,2,0)</f>
        <v>VENTA DE SERVICIO</v>
      </c>
      <c r="O711" s="2" t="s">
        <v>39</v>
      </c>
    </row>
    <row r="712" customFormat="false" ht="13.8" hidden="false" customHeight="false" outlineLevel="0" collapsed="false">
      <c r="A712" s="8" t="n">
        <v>45336</v>
      </c>
      <c r="B712" s="9" t="n">
        <f aca="false">DAY(A712)</f>
        <v>14</v>
      </c>
      <c r="C712" s="9" t="n">
        <f aca="false">MONTH(A712)</f>
        <v>2</v>
      </c>
      <c r="D712" s="9" t="n">
        <f aca="false">YEAR(A712)</f>
        <v>2024</v>
      </c>
      <c r="E712" s="9" t="n">
        <f aca="false">WEEKDAY(A712,2)</f>
        <v>3</v>
      </c>
      <c r="F712" s="10" t="n">
        <f aca="false">WEEKNUM(A712,2) - WEEKNUM(DATE(YEAR(A712),MONTH(A712),1),2) + 1</f>
        <v>3</v>
      </c>
      <c r="G712" s="10"/>
      <c r="H712" s="11" t="n">
        <v>280</v>
      </c>
      <c r="I712" s="12" t="s">
        <v>15</v>
      </c>
      <c r="J712" s="12" t="s">
        <v>45</v>
      </c>
      <c r="K712" s="12"/>
      <c r="L712" s="9" t="n">
        <f aca="false">SUMIFS(H:H,C:C,C712,D:D,D712,N:N,N712)</f>
        <v>19556.99</v>
      </c>
      <c r="M712" s="10" t="str">
        <f aca="false">VLOOKUP(J712,RECATALOGANDO!A:C,2,0)</f>
        <v>VENTA DE MEDICAMENTO</v>
      </c>
      <c r="N712" s="12" t="str">
        <f aca="false">VLOOKUP(M712,RECATALOGANDO!B:C,2,0)</f>
        <v>VENTA DE PRODUCTO</v>
      </c>
      <c r="O712" s="2" t="s">
        <v>39</v>
      </c>
    </row>
    <row r="713" customFormat="false" ht="13.8" hidden="false" customHeight="false" outlineLevel="0" collapsed="false">
      <c r="A713" s="8" t="n">
        <v>45336</v>
      </c>
      <c r="B713" s="9" t="n">
        <f aca="false">DAY(A713)</f>
        <v>14</v>
      </c>
      <c r="C713" s="9" t="n">
        <f aca="false">MONTH(A713)</f>
        <v>2</v>
      </c>
      <c r="D713" s="9" t="n">
        <f aca="false">YEAR(A713)</f>
        <v>2024</v>
      </c>
      <c r="E713" s="9" t="n">
        <f aca="false">WEEKDAY(A713,2)</f>
        <v>3</v>
      </c>
      <c r="F713" s="10" t="n">
        <f aca="false">WEEKNUM(A713,2) - WEEKNUM(DATE(YEAR(A713),MONTH(A713),1),2) + 1</f>
        <v>3</v>
      </c>
      <c r="G713" s="10"/>
      <c r="H713" s="11" t="n">
        <v>1460</v>
      </c>
      <c r="I713" s="12" t="s">
        <v>20</v>
      </c>
      <c r="J713" s="12" t="s">
        <v>51</v>
      </c>
      <c r="K713" s="12"/>
      <c r="L713" s="9" t="n">
        <f aca="false">SUMIFS(H:H,C:C,C713,D:D,D713,N:N,N713)</f>
        <v>19556.99</v>
      </c>
      <c r="M713" s="10" t="str">
        <f aca="false">VLOOKUP(J713,RECATALOGANDO!A:C,2,0)</f>
        <v>VENTA DE ALIMENTO</v>
      </c>
      <c r="N713" s="12" t="str">
        <f aca="false">VLOOKUP(M713,RECATALOGANDO!B:C,2,0)</f>
        <v>VENTA DE PRODUCTO</v>
      </c>
      <c r="O713" s="2" t="s">
        <v>39</v>
      </c>
    </row>
    <row r="714" customFormat="false" ht="13.8" hidden="false" customHeight="false" outlineLevel="0" collapsed="false">
      <c r="A714" s="8" t="n">
        <v>45337</v>
      </c>
      <c r="B714" s="9" t="n">
        <f aca="false">DAY(A714)</f>
        <v>15</v>
      </c>
      <c r="C714" s="9" t="n">
        <f aca="false">MONTH(A714)</f>
        <v>2</v>
      </c>
      <c r="D714" s="9" t="n">
        <f aca="false">YEAR(A714)</f>
        <v>2024</v>
      </c>
      <c r="E714" s="9" t="n">
        <f aca="false">WEEKDAY(A714,2)</f>
        <v>4</v>
      </c>
      <c r="F714" s="10" t="n">
        <f aca="false">WEEKNUM(A714,2) - WEEKNUM(DATE(YEAR(A714),MONTH(A714),1),2) + 1</f>
        <v>3</v>
      </c>
      <c r="G714" s="10" t="n">
        <v>1</v>
      </c>
      <c r="H714" s="11" t="n">
        <v>400</v>
      </c>
      <c r="I714" s="12" t="s">
        <v>20</v>
      </c>
      <c r="J714" s="12" t="s">
        <v>49</v>
      </c>
      <c r="K714" s="12"/>
      <c r="L714" s="9" t="n">
        <f aca="false">SUMIFS(H:H,C:C,C714,D:D,D714,N:N,N714)</f>
        <v>25773</v>
      </c>
      <c r="M714" s="10" t="str">
        <f aca="false">VLOOKUP(J714,RECATALOGANDO!A:C,2,0)</f>
        <v>SERVICIO DE GROOMING</v>
      </c>
      <c r="N714" s="12" t="str">
        <f aca="false">VLOOKUP(M714,RECATALOGANDO!B:C,2,0)</f>
        <v>VENTA DE SERVICIO</v>
      </c>
      <c r="O714" s="2" t="s">
        <v>39</v>
      </c>
    </row>
    <row r="715" customFormat="false" ht="13.8" hidden="false" customHeight="false" outlineLevel="0" collapsed="false">
      <c r="A715" s="8" t="n">
        <v>45337</v>
      </c>
      <c r="B715" s="9" t="n">
        <f aca="false">DAY(A715)</f>
        <v>15</v>
      </c>
      <c r="C715" s="9" t="n">
        <f aca="false">MONTH(A715)</f>
        <v>2</v>
      </c>
      <c r="D715" s="9" t="n">
        <f aca="false">YEAR(A715)</f>
        <v>2024</v>
      </c>
      <c r="E715" s="9" t="n">
        <f aca="false">WEEKDAY(A715,2)</f>
        <v>4</v>
      </c>
      <c r="F715" s="10" t="n">
        <f aca="false">WEEKNUM(A715,2) - WEEKNUM(DATE(YEAR(A715),MONTH(A715),1),2) + 1</f>
        <v>3</v>
      </c>
      <c r="G715" s="10" t="n">
        <v>1</v>
      </c>
      <c r="H715" s="11" t="n">
        <v>877</v>
      </c>
      <c r="I715" s="12" t="s">
        <v>20</v>
      </c>
      <c r="J715" s="12" t="s">
        <v>44</v>
      </c>
      <c r="K715" s="12"/>
      <c r="L715" s="9" t="n">
        <f aca="false">SUMIFS(H:H,C:C,C715,D:D,D715,N:N,N715)</f>
        <v>25773</v>
      </c>
      <c r="M715" s="10" t="str">
        <f aca="false">VLOOKUP(J715,RECATALOGANDO!A:C,2,0)</f>
        <v>HONORARIOS MEDICOS</v>
      </c>
      <c r="N715" s="12" t="str">
        <f aca="false">VLOOKUP(M715,RECATALOGANDO!B:C,2,0)</f>
        <v>VENTA DE SERVICIO</v>
      </c>
      <c r="O715" s="2" t="s">
        <v>39</v>
      </c>
    </row>
    <row r="716" customFormat="false" ht="13.8" hidden="false" customHeight="false" outlineLevel="0" collapsed="false">
      <c r="A716" s="8" t="n">
        <v>45338</v>
      </c>
      <c r="B716" s="9" t="n">
        <f aca="false">DAY(A716)</f>
        <v>16</v>
      </c>
      <c r="C716" s="9" t="n">
        <f aca="false">MONTH(A716)</f>
        <v>2</v>
      </c>
      <c r="D716" s="9" t="n">
        <f aca="false">YEAR(A716)</f>
        <v>2024</v>
      </c>
      <c r="E716" s="9" t="n">
        <f aca="false">WEEKDAY(A716,2)</f>
        <v>5</v>
      </c>
      <c r="F716" s="10" t="n">
        <f aca="false">WEEKNUM(A716,2) - WEEKNUM(DATE(YEAR(A716),MONTH(A716),1),2) + 1</f>
        <v>3</v>
      </c>
      <c r="G716" s="10"/>
      <c r="H716" s="11" t="n">
        <v>330</v>
      </c>
      <c r="I716" s="12" t="s">
        <v>20</v>
      </c>
      <c r="J716" s="12" t="s">
        <v>45</v>
      </c>
      <c r="K716" s="12"/>
      <c r="L716" s="9" t="n">
        <f aca="false">SUMIFS(H:H,C:C,C716,D:D,D716,N:N,N716)</f>
        <v>19556.99</v>
      </c>
      <c r="M716" s="10" t="str">
        <f aca="false">VLOOKUP(J716,RECATALOGANDO!A:C,2,0)</f>
        <v>VENTA DE MEDICAMENTO</v>
      </c>
      <c r="N716" s="12" t="str">
        <f aca="false">VLOOKUP(M716,RECATALOGANDO!B:C,2,0)</f>
        <v>VENTA DE PRODUCTO</v>
      </c>
      <c r="O716" s="2" t="s">
        <v>39</v>
      </c>
    </row>
    <row r="717" customFormat="false" ht="13.8" hidden="false" customHeight="false" outlineLevel="0" collapsed="false">
      <c r="A717" s="8" t="n">
        <v>45341</v>
      </c>
      <c r="B717" s="9" t="n">
        <f aca="false">DAY(A717)</f>
        <v>19</v>
      </c>
      <c r="C717" s="9" t="n">
        <f aca="false">MONTH(A717)</f>
        <v>2</v>
      </c>
      <c r="D717" s="9" t="n">
        <f aca="false">YEAR(A717)</f>
        <v>2024</v>
      </c>
      <c r="E717" s="9" t="n">
        <f aca="false">WEEKDAY(A717,2)</f>
        <v>1</v>
      </c>
      <c r="F717" s="10" t="n">
        <f aca="false">WEEKNUM(A717,2) - WEEKNUM(DATE(YEAR(A717),MONTH(A717),1),2) + 1</f>
        <v>4</v>
      </c>
      <c r="G717" s="10"/>
      <c r="H717" s="11" t="n">
        <v>150</v>
      </c>
      <c r="I717" s="12" t="s">
        <v>20</v>
      </c>
      <c r="J717" s="12" t="s">
        <v>45</v>
      </c>
      <c r="K717" s="12"/>
      <c r="L717" s="9" t="n">
        <f aca="false">SUMIFS(H:H,C:C,C717,D:D,D717,N:N,N717)</f>
        <v>19556.99</v>
      </c>
      <c r="M717" s="10" t="str">
        <f aca="false">VLOOKUP(J717,RECATALOGANDO!A:C,2,0)</f>
        <v>VENTA DE MEDICAMENTO</v>
      </c>
      <c r="N717" s="12" t="str">
        <f aca="false">VLOOKUP(M717,RECATALOGANDO!B:C,2,0)</f>
        <v>VENTA DE PRODUCTO</v>
      </c>
      <c r="O717" s="2" t="s">
        <v>39</v>
      </c>
    </row>
    <row r="718" customFormat="false" ht="13.8" hidden="false" customHeight="false" outlineLevel="0" collapsed="false">
      <c r="A718" s="8" t="n">
        <v>45341</v>
      </c>
      <c r="B718" s="9" t="n">
        <f aca="false">DAY(A718)</f>
        <v>19</v>
      </c>
      <c r="C718" s="9" t="n">
        <f aca="false">MONTH(A718)</f>
        <v>2</v>
      </c>
      <c r="D718" s="9" t="n">
        <f aca="false">YEAR(A718)</f>
        <v>2024</v>
      </c>
      <c r="E718" s="9" t="n">
        <f aca="false">WEEKDAY(A718,2)</f>
        <v>1</v>
      </c>
      <c r="F718" s="10" t="n">
        <f aca="false">WEEKNUM(A718,2) - WEEKNUM(DATE(YEAR(A718),MONTH(A718),1),2) + 1</f>
        <v>4</v>
      </c>
      <c r="G718" s="10"/>
      <c r="H718" s="11" t="n">
        <v>4000</v>
      </c>
      <c r="I718" s="12" t="s">
        <v>15</v>
      </c>
      <c r="J718" s="12" t="s">
        <v>51</v>
      </c>
      <c r="K718" s="12"/>
      <c r="L718" s="9" t="n">
        <f aca="false">SUMIFS(H:H,C:C,C718,D:D,D718,N:N,N718)</f>
        <v>19556.99</v>
      </c>
      <c r="M718" s="10" t="str">
        <f aca="false">VLOOKUP(J718,RECATALOGANDO!A:C,2,0)</f>
        <v>VENTA DE ALIMENTO</v>
      </c>
      <c r="N718" s="12" t="str">
        <f aca="false">VLOOKUP(M718,RECATALOGANDO!B:C,2,0)</f>
        <v>VENTA DE PRODUCTO</v>
      </c>
      <c r="O718" s="2" t="s">
        <v>39</v>
      </c>
    </row>
    <row r="719" customFormat="false" ht="13.8" hidden="false" customHeight="false" outlineLevel="0" collapsed="false">
      <c r="A719" s="8" t="n">
        <v>45343</v>
      </c>
      <c r="B719" s="9" t="n">
        <f aca="false">DAY(A719)</f>
        <v>21</v>
      </c>
      <c r="C719" s="9" t="n">
        <f aca="false">MONTH(A719)</f>
        <v>2</v>
      </c>
      <c r="D719" s="9" t="n">
        <f aca="false">YEAR(A719)</f>
        <v>2024</v>
      </c>
      <c r="E719" s="9" t="n">
        <f aca="false">WEEKDAY(A719,2)</f>
        <v>3</v>
      </c>
      <c r="F719" s="10" t="n">
        <f aca="false">WEEKNUM(A719,2) - WEEKNUM(DATE(YEAR(A719),MONTH(A719),1),2) + 1</f>
        <v>4</v>
      </c>
      <c r="G719" s="10"/>
      <c r="H719" s="11" t="n">
        <v>170</v>
      </c>
      <c r="I719" s="12" t="s">
        <v>20</v>
      </c>
      <c r="J719" s="12" t="s">
        <v>49</v>
      </c>
      <c r="K719" s="12"/>
      <c r="L719" s="9" t="n">
        <f aca="false">SUMIFS(H:H,C:C,C719,D:D,D719,N:N,N719)</f>
        <v>25773</v>
      </c>
      <c r="M719" s="10" t="str">
        <f aca="false">VLOOKUP(J719,RECATALOGANDO!A:C,2,0)</f>
        <v>SERVICIO DE GROOMING</v>
      </c>
      <c r="N719" s="12" t="str">
        <f aca="false">VLOOKUP(M719,RECATALOGANDO!B:C,2,0)</f>
        <v>VENTA DE SERVICIO</v>
      </c>
      <c r="O719" s="2" t="s">
        <v>39</v>
      </c>
    </row>
    <row r="720" customFormat="false" ht="13.8" hidden="false" customHeight="false" outlineLevel="0" collapsed="false">
      <c r="A720" s="8" t="n">
        <v>45343</v>
      </c>
      <c r="B720" s="9" t="n">
        <f aca="false">DAY(A720)</f>
        <v>21</v>
      </c>
      <c r="C720" s="9" t="n">
        <f aca="false">MONTH(A720)</f>
        <v>2</v>
      </c>
      <c r="D720" s="9" t="n">
        <f aca="false">YEAR(A720)</f>
        <v>2024</v>
      </c>
      <c r="E720" s="9" t="n">
        <f aca="false">WEEKDAY(A720,2)</f>
        <v>3</v>
      </c>
      <c r="F720" s="10" t="n">
        <f aca="false">WEEKNUM(A720,2) - WEEKNUM(DATE(YEAR(A720),MONTH(A720),1),2) + 1</f>
        <v>4</v>
      </c>
      <c r="G720" s="10"/>
      <c r="H720" s="11" t="n">
        <v>330</v>
      </c>
      <c r="I720" s="12" t="s">
        <v>15</v>
      </c>
      <c r="J720" s="12" t="s">
        <v>49</v>
      </c>
      <c r="K720" s="12"/>
      <c r="L720" s="9" t="n">
        <f aca="false">SUMIFS(H:H,C:C,C720,D:D,D720,N:N,N720)</f>
        <v>25773</v>
      </c>
      <c r="M720" s="10" t="str">
        <f aca="false">VLOOKUP(J720,RECATALOGANDO!A:C,2,0)</f>
        <v>SERVICIO DE GROOMING</v>
      </c>
      <c r="N720" s="12" t="str">
        <f aca="false">VLOOKUP(M720,RECATALOGANDO!B:C,2,0)</f>
        <v>VENTA DE SERVICIO</v>
      </c>
      <c r="O720" s="2" t="s">
        <v>39</v>
      </c>
    </row>
    <row r="721" customFormat="false" ht="13.8" hidden="false" customHeight="false" outlineLevel="0" collapsed="false">
      <c r="A721" s="8" t="n">
        <v>45343</v>
      </c>
      <c r="B721" s="9" t="n">
        <f aca="false">DAY(A721)</f>
        <v>21</v>
      </c>
      <c r="C721" s="9" t="n">
        <f aca="false">MONTH(A721)</f>
        <v>2</v>
      </c>
      <c r="D721" s="9" t="n">
        <f aca="false">YEAR(A721)</f>
        <v>2024</v>
      </c>
      <c r="E721" s="9" t="n">
        <f aca="false">WEEKDAY(A721,2)</f>
        <v>3</v>
      </c>
      <c r="F721" s="10" t="n">
        <f aca="false">WEEKNUM(A721,2) - WEEKNUM(DATE(YEAR(A721),MONTH(A721),1),2) + 1</f>
        <v>4</v>
      </c>
      <c r="G721" s="10"/>
      <c r="H721" s="11" t="n">
        <v>330</v>
      </c>
      <c r="I721" s="12" t="s">
        <v>20</v>
      </c>
      <c r="J721" s="12" t="s">
        <v>49</v>
      </c>
      <c r="K721" s="12"/>
      <c r="L721" s="9" t="n">
        <f aca="false">SUMIFS(H:H,C:C,C721,D:D,D721,N:N,N721)</f>
        <v>25773</v>
      </c>
      <c r="M721" s="10" t="str">
        <f aca="false">VLOOKUP(J721,RECATALOGANDO!A:C,2,0)</f>
        <v>SERVICIO DE GROOMING</v>
      </c>
      <c r="N721" s="12" t="str">
        <f aca="false">VLOOKUP(M721,RECATALOGANDO!B:C,2,0)</f>
        <v>VENTA DE SERVICIO</v>
      </c>
      <c r="O721" s="2" t="s">
        <v>39</v>
      </c>
    </row>
    <row r="722" customFormat="false" ht="13.8" hidden="false" customHeight="false" outlineLevel="0" collapsed="false">
      <c r="A722" s="8" t="n">
        <v>45343</v>
      </c>
      <c r="B722" s="9" t="n">
        <f aca="false">DAY(A722)</f>
        <v>21</v>
      </c>
      <c r="C722" s="9" t="n">
        <f aca="false">MONTH(A722)</f>
        <v>2</v>
      </c>
      <c r="D722" s="9" t="n">
        <f aca="false">YEAR(A722)</f>
        <v>2024</v>
      </c>
      <c r="E722" s="9" t="n">
        <f aca="false">WEEKDAY(A722,2)</f>
        <v>3</v>
      </c>
      <c r="F722" s="10" t="n">
        <f aca="false">WEEKNUM(A722,2) - WEEKNUM(DATE(YEAR(A722),MONTH(A722),1),2) + 1</f>
        <v>4</v>
      </c>
      <c r="G722" s="10"/>
      <c r="H722" s="11" t="n">
        <v>360</v>
      </c>
      <c r="I722" s="12" t="s">
        <v>20</v>
      </c>
      <c r="J722" s="12" t="s">
        <v>49</v>
      </c>
      <c r="K722" s="12"/>
      <c r="L722" s="9" t="n">
        <f aca="false">SUMIFS(H:H,C:C,C722,D:D,D722,N:N,N722)</f>
        <v>25773</v>
      </c>
      <c r="M722" s="10" t="str">
        <f aca="false">VLOOKUP(J722,RECATALOGANDO!A:C,2,0)</f>
        <v>SERVICIO DE GROOMING</v>
      </c>
      <c r="N722" s="12" t="str">
        <f aca="false">VLOOKUP(M722,RECATALOGANDO!B:C,2,0)</f>
        <v>VENTA DE SERVICIO</v>
      </c>
      <c r="O722" s="2" t="s">
        <v>39</v>
      </c>
    </row>
    <row r="723" customFormat="false" ht="13.8" hidden="false" customHeight="false" outlineLevel="0" collapsed="false">
      <c r="A723" s="8" t="n">
        <v>45344</v>
      </c>
      <c r="B723" s="9" t="n">
        <f aca="false">DAY(A723)</f>
        <v>22</v>
      </c>
      <c r="C723" s="9" t="n">
        <f aca="false">MONTH(A723)</f>
        <v>2</v>
      </c>
      <c r="D723" s="9" t="n">
        <f aca="false">YEAR(A723)</f>
        <v>2024</v>
      </c>
      <c r="E723" s="9" t="n">
        <f aca="false">WEEKDAY(A723,2)</f>
        <v>4</v>
      </c>
      <c r="F723" s="10" t="n">
        <f aca="false">WEEKNUM(A723,2) - WEEKNUM(DATE(YEAR(A723),MONTH(A723),1),2) + 1</f>
        <v>4</v>
      </c>
      <c r="G723" s="10"/>
      <c r="H723" s="11" t="n">
        <v>1080</v>
      </c>
      <c r="I723" s="12" t="s">
        <v>15</v>
      </c>
      <c r="J723" s="12" t="s">
        <v>59</v>
      </c>
      <c r="K723" s="12"/>
      <c r="L723" s="9" t="n">
        <f aca="false">SUMIFS(H:H,C:C,C723,D:D,D723,N:N,N723)</f>
        <v>25773</v>
      </c>
      <c r="M723" s="10" t="str">
        <f aca="false">VLOOKUP(J723,RECATALOGANDO!A:C,2,0)</f>
        <v>SERVICIO DE PENSION</v>
      </c>
      <c r="N723" s="12" t="str">
        <f aca="false">VLOOKUP(M723,RECATALOGANDO!B:C,2,0)</f>
        <v>VENTA DE SERVICIO</v>
      </c>
      <c r="O723" s="2" t="s">
        <v>39</v>
      </c>
    </row>
    <row r="724" customFormat="false" ht="13.8" hidden="false" customHeight="false" outlineLevel="0" collapsed="false">
      <c r="A724" s="8" t="n">
        <v>45345</v>
      </c>
      <c r="B724" s="9" t="n">
        <f aca="false">DAY(A724)</f>
        <v>23</v>
      </c>
      <c r="C724" s="9" t="n">
        <f aca="false">MONTH(A724)</f>
        <v>2</v>
      </c>
      <c r="D724" s="9" t="n">
        <f aca="false">YEAR(A724)</f>
        <v>2024</v>
      </c>
      <c r="E724" s="9" t="n">
        <f aca="false">WEEKDAY(A724,2)</f>
        <v>5</v>
      </c>
      <c r="F724" s="10" t="n">
        <f aca="false">WEEKNUM(A724,2) - WEEKNUM(DATE(YEAR(A724),MONTH(A724),1),2) + 1</f>
        <v>4</v>
      </c>
      <c r="G724" s="10"/>
      <c r="H724" s="11" t="n">
        <v>500</v>
      </c>
      <c r="I724" s="12" t="s">
        <v>15</v>
      </c>
      <c r="J724" s="12" t="s">
        <v>45</v>
      </c>
      <c r="K724" s="12"/>
      <c r="L724" s="9" t="n">
        <f aca="false">SUMIFS(H:H,C:C,C724,D:D,D724,N:N,N724)</f>
        <v>19556.99</v>
      </c>
      <c r="M724" s="10" t="str">
        <f aca="false">VLOOKUP(J724,RECATALOGANDO!A:C,2,0)</f>
        <v>VENTA DE MEDICAMENTO</v>
      </c>
      <c r="N724" s="12" t="str">
        <f aca="false">VLOOKUP(M724,RECATALOGANDO!B:C,2,0)</f>
        <v>VENTA DE PRODUCTO</v>
      </c>
      <c r="O724" s="2" t="s">
        <v>39</v>
      </c>
    </row>
    <row r="725" customFormat="false" ht="13.8" hidden="false" customHeight="false" outlineLevel="0" collapsed="false">
      <c r="A725" s="8" t="n">
        <v>45345</v>
      </c>
      <c r="B725" s="9" t="n">
        <f aca="false">DAY(A725)</f>
        <v>23</v>
      </c>
      <c r="C725" s="9" t="n">
        <f aca="false">MONTH(A725)</f>
        <v>2</v>
      </c>
      <c r="D725" s="9" t="n">
        <f aca="false">YEAR(A725)</f>
        <v>2024</v>
      </c>
      <c r="E725" s="9" t="n">
        <f aca="false">WEEKDAY(A725,2)</f>
        <v>5</v>
      </c>
      <c r="F725" s="10" t="n">
        <f aca="false">WEEKNUM(A725,2) - WEEKNUM(DATE(YEAR(A725),MONTH(A725),1),2) + 1</f>
        <v>4</v>
      </c>
      <c r="G725" s="10"/>
      <c r="H725" s="11" t="n">
        <v>390</v>
      </c>
      <c r="I725" s="12" t="s">
        <v>20</v>
      </c>
      <c r="J725" s="12" t="s">
        <v>49</v>
      </c>
      <c r="K725" s="12"/>
      <c r="L725" s="9" t="n">
        <f aca="false">SUMIFS(H:H,C:C,C725,D:D,D725,N:N,N725)</f>
        <v>25773</v>
      </c>
      <c r="M725" s="10" t="str">
        <f aca="false">VLOOKUP(J725,RECATALOGANDO!A:C,2,0)</f>
        <v>SERVICIO DE GROOMING</v>
      </c>
      <c r="N725" s="12" t="str">
        <f aca="false">VLOOKUP(M725,RECATALOGANDO!B:C,2,0)</f>
        <v>VENTA DE SERVICIO</v>
      </c>
      <c r="O725" s="2" t="s">
        <v>39</v>
      </c>
    </row>
    <row r="726" customFormat="false" ht="13.8" hidden="false" customHeight="false" outlineLevel="0" collapsed="false">
      <c r="A726" s="8" t="n">
        <v>45346</v>
      </c>
      <c r="B726" s="9" t="n">
        <f aca="false">DAY(A726)</f>
        <v>24</v>
      </c>
      <c r="C726" s="9" t="n">
        <f aca="false">MONTH(A726)</f>
        <v>2</v>
      </c>
      <c r="D726" s="9" t="n">
        <f aca="false">YEAR(A726)</f>
        <v>2024</v>
      </c>
      <c r="E726" s="9" t="n">
        <f aca="false">WEEKDAY(A726,2)</f>
        <v>6</v>
      </c>
      <c r="F726" s="10" t="n">
        <f aca="false">WEEKNUM(A726,2) - WEEKNUM(DATE(YEAR(A726),MONTH(A726),1),2) + 1</f>
        <v>4</v>
      </c>
      <c r="G726" s="10"/>
      <c r="H726" s="11" t="n">
        <v>730</v>
      </c>
      <c r="I726" s="12" t="s">
        <v>15</v>
      </c>
      <c r="J726" s="12" t="s">
        <v>51</v>
      </c>
      <c r="K726" s="12"/>
      <c r="L726" s="9" t="n">
        <f aca="false">SUMIFS(H:H,C:C,C726,D:D,D726,N:N,N726)</f>
        <v>19556.99</v>
      </c>
      <c r="M726" s="10" t="str">
        <f aca="false">VLOOKUP(J726,RECATALOGANDO!A:C,2,0)</f>
        <v>VENTA DE ALIMENTO</v>
      </c>
      <c r="N726" s="12" t="str">
        <f aca="false">VLOOKUP(M726,RECATALOGANDO!B:C,2,0)</f>
        <v>VENTA DE PRODUCTO</v>
      </c>
      <c r="O726" s="2" t="s">
        <v>39</v>
      </c>
    </row>
    <row r="727" customFormat="false" ht="13.8" hidden="false" customHeight="false" outlineLevel="0" collapsed="false">
      <c r="A727" s="8" t="n">
        <v>45346</v>
      </c>
      <c r="B727" s="9" t="n">
        <f aca="false">DAY(A727)</f>
        <v>24</v>
      </c>
      <c r="C727" s="9" t="n">
        <f aca="false">MONTH(A727)</f>
        <v>2</v>
      </c>
      <c r="D727" s="9" t="n">
        <f aca="false">YEAR(A727)</f>
        <v>2024</v>
      </c>
      <c r="E727" s="9" t="n">
        <f aca="false">WEEKDAY(A727,2)</f>
        <v>6</v>
      </c>
      <c r="F727" s="10" t="n">
        <f aca="false">WEEKNUM(A727,2) - WEEKNUM(DATE(YEAR(A727),MONTH(A727),1),2) + 1</f>
        <v>4</v>
      </c>
      <c r="G727" s="10"/>
      <c r="H727" s="11" t="n">
        <v>280</v>
      </c>
      <c r="I727" s="12" t="s">
        <v>15</v>
      </c>
      <c r="J727" s="12" t="s">
        <v>49</v>
      </c>
      <c r="K727" s="12"/>
      <c r="L727" s="9" t="n">
        <f aca="false">SUMIFS(H:H,C:C,C727,D:D,D727,N:N,N727)</f>
        <v>25773</v>
      </c>
      <c r="M727" s="10" t="str">
        <f aca="false">VLOOKUP(J727,RECATALOGANDO!A:C,2,0)</f>
        <v>SERVICIO DE GROOMING</v>
      </c>
      <c r="N727" s="12" t="str">
        <f aca="false">VLOOKUP(M727,RECATALOGANDO!B:C,2,0)</f>
        <v>VENTA DE SERVICIO</v>
      </c>
      <c r="O727" s="2" t="s">
        <v>39</v>
      </c>
    </row>
    <row r="728" customFormat="false" ht="13.8" hidden="false" customHeight="false" outlineLevel="0" collapsed="false">
      <c r="A728" s="8" t="n">
        <v>45347</v>
      </c>
      <c r="B728" s="9" t="n">
        <f aca="false">DAY(A728)</f>
        <v>25</v>
      </c>
      <c r="C728" s="9" t="n">
        <f aca="false">MONTH(A728)</f>
        <v>2</v>
      </c>
      <c r="D728" s="9" t="n">
        <f aca="false">YEAR(A728)</f>
        <v>2024</v>
      </c>
      <c r="E728" s="9" t="n">
        <f aca="false">WEEKDAY(A728,2)</f>
        <v>7</v>
      </c>
      <c r="F728" s="10" t="n">
        <f aca="false">WEEKNUM(A728,2) - WEEKNUM(DATE(YEAR(A728),MONTH(A728),1),2) + 1</f>
        <v>4</v>
      </c>
      <c r="G728" s="10"/>
      <c r="H728" s="11" t="n">
        <v>466.67</v>
      </c>
      <c r="I728" s="12" t="s">
        <v>15</v>
      </c>
      <c r="J728" s="12" t="s">
        <v>45</v>
      </c>
      <c r="K728" s="12"/>
      <c r="L728" s="9" t="n">
        <f aca="false">SUMIFS(H:H,C:C,C728,D:D,D728,N:N,N728)</f>
        <v>19556.99</v>
      </c>
      <c r="M728" s="10" t="str">
        <f aca="false">VLOOKUP(J728,RECATALOGANDO!A:C,2,0)</f>
        <v>VENTA DE MEDICAMENTO</v>
      </c>
      <c r="N728" s="12" t="str">
        <f aca="false">VLOOKUP(M728,RECATALOGANDO!B:C,2,0)</f>
        <v>VENTA DE PRODUCTO</v>
      </c>
      <c r="O728" s="2" t="s">
        <v>39</v>
      </c>
    </row>
    <row r="729" customFormat="false" ht="13.8" hidden="false" customHeight="false" outlineLevel="0" collapsed="false">
      <c r="A729" s="8" t="n">
        <v>45349</v>
      </c>
      <c r="B729" s="9" t="n">
        <f aca="false">DAY(A729)</f>
        <v>27</v>
      </c>
      <c r="C729" s="9" t="n">
        <f aca="false">MONTH(A729)</f>
        <v>2</v>
      </c>
      <c r="D729" s="9" t="n">
        <f aca="false">YEAR(A729)</f>
        <v>2024</v>
      </c>
      <c r="E729" s="9" t="n">
        <f aca="false">WEEKDAY(A729,2)</f>
        <v>2</v>
      </c>
      <c r="F729" s="10" t="n">
        <f aca="false">WEEKNUM(A729,2) - WEEKNUM(DATE(YEAR(A729),MONTH(A729),1),2) + 1</f>
        <v>5</v>
      </c>
      <c r="G729" s="10"/>
      <c r="H729" s="11" t="n">
        <v>2029.55</v>
      </c>
      <c r="I729" s="12" t="s">
        <v>15</v>
      </c>
      <c r="J729" s="12" t="s">
        <v>51</v>
      </c>
      <c r="K729" s="12"/>
      <c r="L729" s="9" t="n">
        <f aca="false">SUMIFS(H:H,C:C,C729,D:D,D729,N:N,N729)</f>
        <v>19556.99</v>
      </c>
      <c r="M729" s="10" t="str">
        <f aca="false">VLOOKUP(J729,RECATALOGANDO!A:C,2,0)</f>
        <v>VENTA DE ALIMENTO</v>
      </c>
      <c r="N729" s="12" t="str">
        <f aca="false">VLOOKUP(M729,RECATALOGANDO!B:C,2,0)</f>
        <v>VENTA DE PRODUCTO</v>
      </c>
      <c r="O729" s="2" t="s">
        <v>39</v>
      </c>
    </row>
    <row r="730" customFormat="false" ht="13.8" hidden="false" customHeight="false" outlineLevel="0" collapsed="false">
      <c r="A730" s="8" t="n">
        <v>45349</v>
      </c>
      <c r="B730" s="9" t="n">
        <f aca="false">DAY(A730)</f>
        <v>27</v>
      </c>
      <c r="C730" s="9" t="n">
        <f aca="false">MONTH(A730)</f>
        <v>2</v>
      </c>
      <c r="D730" s="9" t="n">
        <f aca="false">YEAR(A730)</f>
        <v>2024</v>
      </c>
      <c r="E730" s="9" t="n">
        <f aca="false">WEEKDAY(A730,2)</f>
        <v>2</v>
      </c>
      <c r="F730" s="10" t="n">
        <f aca="false">WEEKNUM(A730,2) - WEEKNUM(DATE(YEAR(A730),MONTH(A730),1),2) + 1</f>
        <v>5</v>
      </c>
      <c r="G730" s="10"/>
      <c r="H730" s="11" t="n">
        <v>8060</v>
      </c>
      <c r="I730" s="12" t="s">
        <v>15</v>
      </c>
      <c r="J730" s="12" t="s">
        <v>44</v>
      </c>
      <c r="K730" s="12"/>
      <c r="L730" s="9" t="n">
        <f aca="false">SUMIFS(H:H,C:C,C730,D:D,D730,N:N,N730)</f>
        <v>25773</v>
      </c>
      <c r="M730" s="10" t="str">
        <f aca="false">VLOOKUP(J730,RECATALOGANDO!A:C,2,0)</f>
        <v>HONORARIOS MEDICOS</v>
      </c>
      <c r="N730" s="12" t="str">
        <f aca="false">VLOOKUP(M730,RECATALOGANDO!B:C,2,0)</f>
        <v>VENTA DE SERVICIO</v>
      </c>
      <c r="O730" s="2" t="s">
        <v>39</v>
      </c>
    </row>
    <row r="731" customFormat="false" ht="13.8" hidden="false" customHeight="false" outlineLevel="0" collapsed="false">
      <c r="A731" s="8" t="n">
        <v>45351</v>
      </c>
      <c r="B731" s="9" t="n">
        <f aca="false">DAY(A731)</f>
        <v>29</v>
      </c>
      <c r="C731" s="9" t="n">
        <f aca="false">MONTH(A731)</f>
        <v>2</v>
      </c>
      <c r="D731" s="9" t="n">
        <f aca="false">YEAR(A731)</f>
        <v>2024</v>
      </c>
      <c r="E731" s="9" t="n">
        <f aca="false">WEEKDAY(A731,2)</f>
        <v>4</v>
      </c>
      <c r="F731" s="10" t="n">
        <f aca="false">WEEKNUM(A731,2) - WEEKNUM(DATE(YEAR(A731),MONTH(A731),1),2) + 1</f>
        <v>5</v>
      </c>
      <c r="G731" s="10"/>
      <c r="H731" s="11" t="n">
        <v>830</v>
      </c>
      <c r="I731" s="12" t="s">
        <v>15</v>
      </c>
      <c r="J731" s="12" t="s">
        <v>45</v>
      </c>
      <c r="K731" s="12"/>
      <c r="L731" s="9" t="n">
        <f aca="false">SUMIFS(H:H,C:C,C731,D:D,D731,N:N,N731)</f>
        <v>19556.99</v>
      </c>
      <c r="M731" s="10" t="str">
        <f aca="false">VLOOKUP(J731,RECATALOGANDO!A:C,2,0)</f>
        <v>VENTA DE MEDICAMENTO</v>
      </c>
      <c r="N731" s="12" t="str">
        <f aca="false">VLOOKUP(M731,RECATALOGANDO!B:C,2,0)</f>
        <v>VENTA DE PRODUCTO</v>
      </c>
      <c r="O731" s="2" t="s">
        <v>39</v>
      </c>
    </row>
    <row r="732" customFormat="false" ht="13.8" hidden="false" customHeight="false" outlineLevel="0" collapsed="false">
      <c r="A732" s="8" t="n">
        <v>45352</v>
      </c>
      <c r="B732" s="9" t="n">
        <f aca="false">DAY(A732)</f>
        <v>1</v>
      </c>
      <c r="C732" s="9" t="n">
        <f aca="false">MONTH(A732)</f>
        <v>3</v>
      </c>
      <c r="D732" s="9" t="n">
        <f aca="false">YEAR(A732)</f>
        <v>2024</v>
      </c>
      <c r="E732" s="9" t="n">
        <f aca="false">WEEKDAY(A732,2)</f>
        <v>5</v>
      </c>
      <c r="F732" s="10" t="n">
        <f aca="false">WEEKNUM(A732,2) - WEEKNUM(DATE(YEAR(A732),MONTH(A732),1),2) + 1</f>
        <v>1</v>
      </c>
      <c r="G732" s="10"/>
      <c r="H732" s="11" t="n">
        <v>430</v>
      </c>
      <c r="I732" s="12" t="s">
        <v>20</v>
      </c>
      <c r="J732" s="12" t="s">
        <v>44</v>
      </c>
      <c r="K732" s="12"/>
      <c r="L732" s="9" t="n">
        <f aca="false">H732</f>
        <v>430</v>
      </c>
      <c r="M732" s="10" t="str">
        <f aca="false">VLOOKUP(J732,RECATALOGANDO!A:C,2,0)</f>
        <v>HONORARIOS MEDICOS</v>
      </c>
      <c r="N732" s="12" t="str">
        <f aca="false">VLOOKUP(M732,RECATALOGANDO!B:C,2,0)</f>
        <v>VENTA DE SERVICIO</v>
      </c>
      <c r="O732" s="2" t="s">
        <v>39</v>
      </c>
    </row>
    <row r="733" customFormat="false" ht="13.8" hidden="false" customHeight="false" outlineLevel="0" collapsed="false">
      <c r="A733" s="8" t="n">
        <v>45353</v>
      </c>
      <c r="B733" s="9" t="n">
        <f aca="false">DAY(A733)</f>
        <v>2</v>
      </c>
      <c r="C733" s="9" t="n">
        <f aca="false">MONTH(A733)</f>
        <v>3</v>
      </c>
      <c r="D733" s="9" t="n">
        <f aca="false">YEAR(A733)</f>
        <v>2024</v>
      </c>
      <c r="E733" s="9" t="n">
        <f aca="false">WEEKDAY(A733,2)</f>
        <v>6</v>
      </c>
      <c r="F733" s="10" t="n">
        <f aca="false">WEEKNUM(A733,2) - WEEKNUM(DATE(YEAR(A733),MONTH(A733),1),2) + 1</f>
        <v>1</v>
      </c>
      <c r="G733" s="10"/>
      <c r="H733" s="11" t="n">
        <v>360</v>
      </c>
      <c r="I733" s="12" t="s">
        <v>15</v>
      </c>
      <c r="J733" s="12" t="s">
        <v>45</v>
      </c>
      <c r="K733" s="12"/>
      <c r="L733" s="9" t="n">
        <f aca="false">L732+H733</f>
        <v>790</v>
      </c>
      <c r="M733" s="10" t="str">
        <f aca="false">VLOOKUP(J733,RECATALOGANDO!A:C,2,0)</f>
        <v>VENTA DE MEDICAMENTO</v>
      </c>
      <c r="N733" s="12" t="str">
        <f aca="false">VLOOKUP(M733,RECATALOGANDO!B:C,2,0)</f>
        <v>VENTA DE PRODUCTO</v>
      </c>
      <c r="O733" s="2" t="s">
        <v>39</v>
      </c>
    </row>
    <row r="734" customFormat="false" ht="13.8" hidden="false" customHeight="false" outlineLevel="0" collapsed="false">
      <c r="A734" s="8" t="n">
        <v>45354</v>
      </c>
      <c r="B734" s="9" t="n">
        <f aca="false">DAY(A734)</f>
        <v>3</v>
      </c>
      <c r="C734" s="9" t="n">
        <f aca="false">MONTH(A734)</f>
        <v>3</v>
      </c>
      <c r="D734" s="9" t="n">
        <f aca="false">YEAR(A734)</f>
        <v>2024</v>
      </c>
      <c r="E734" s="9" t="n">
        <f aca="false">WEEKDAY(A734,2)</f>
        <v>7</v>
      </c>
      <c r="F734" s="10" t="n">
        <f aca="false">WEEKNUM(A734,2) - WEEKNUM(DATE(YEAR(A734),MONTH(A734),1),2) + 1</f>
        <v>1</v>
      </c>
      <c r="G734" s="10"/>
      <c r="H734" s="11" t="n">
        <v>330</v>
      </c>
      <c r="I734" s="12" t="s">
        <v>15</v>
      </c>
      <c r="J734" s="12" t="s">
        <v>49</v>
      </c>
      <c r="K734" s="12"/>
      <c r="L734" s="9" t="n">
        <f aca="false">L733+H734</f>
        <v>1120</v>
      </c>
      <c r="M734" s="10" t="str">
        <f aca="false">VLOOKUP(J734,RECATALOGANDO!A:C,2,0)</f>
        <v>SERVICIO DE GROOMING</v>
      </c>
      <c r="N734" s="12" t="str">
        <f aca="false">VLOOKUP(M734,RECATALOGANDO!B:C,2,0)</f>
        <v>VENTA DE SERVICIO</v>
      </c>
      <c r="O734" s="2" t="s">
        <v>39</v>
      </c>
    </row>
    <row r="735" customFormat="false" ht="13.8" hidden="false" customHeight="false" outlineLevel="0" collapsed="false">
      <c r="A735" s="8" t="n">
        <v>45355</v>
      </c>
      <c r="B735" s="9" t="n">
        <f aca="false">DAY(A735)</f>
        <v>4</v>
      </c>
      <c r="C735" s="9" t="n">
        <f aca="false">MONTH(A735)</f>
        <v>3</v>
      </c>
      <c r="D735" s="9" t="n">
        <f aca="false">YEAR(A735)</f>
        <v>2024</v>
      </c>
      <c r="E735" s="9" t="n">
        <f aca="false">WEEKDAY(A735,2)</f>
        <v>1</v>
      </c>
      <c r="F735" s="10" t="n">
        <f aca="false">WEEKNUM(A735,2) - WEEKNUM(DATE(YEAR(A735),MONTH(A735),1),2) + 1</f>
        <v>2</v>
      </c>
      <c r="G735" s="10"/>
      <c r="H735" s="11" t="n">
        <v>50</v>
      </c>
      <c r="I735" s="12" t="s">
        <v>20</v>
      </c>
      <c r="J735" s="12" t="s">
        <v>45</v>
      </c>
      <c r="K735" s="12"/>
      <c r="L735" s="9" t="n">
        <f aca="false">L734+H735</f>
        <v>1170</v>
      </c>
      <c r="M735" s="10" t="str">
        <f aca="false">VLOOKUP(J735,RECATALOGANDO!A:C,2,0)</f>
        <v>VENTA DE MEDICAMENTO</v>
      </c>
      <c r="N735" s="12" t="str">
        <f aca="false">VLOOKUP(M735,RECATALOGANDO!B:C,2,0)</f>
        <v>VENTA DE PRODUCTO</v>
      </c>
      <c r="O735" s="2" t="s">
        <v>39</v>
      </c>
    </row>
    <row r="736" customFormat="false" ht="13.8" hidden="false" customHeight="false" outlineLevel="0" collapsed="false">
      <c r="A736" s="8" t="n">
        <v>45355</v>
      </c>
      <c r="B736" s="9" t="n">
        <f aca="false">DAY(A736)</f>
        <v>4</v>
      </c>
      <c r="C736" s="9" t="n">
        <f aca="false">MONTH(A736)</f>
        <v>3</v>
      </c>
      <c r="D736" s="9" t="n">
        <f aca="false">YEAR(A736)</f>
        <v>2024</v>
      </c>
      <c r="E736" s="9" t="n">
        <f aca="false">WEEKDAY(A736,2)</f>
        <v>1</v>
      </c>
      <c r="F736" s="10" t="n">
        <f aca="false">WEEKNUM(A736,2) - WEEKNUM(DATE(YEAR(A736),MONTH(A736),1),2) + 1</f>
        <v>2</v>
      </c>
      <c r="G736" s="10"/>
      <c r="H736" s="11" t="n">
        <v>450</v>
      </c>
      <c r="I736" s="12" t="s">
        <v>20</v>
      </c>
      <c r="J736" s="12" t="s">
        <v>59</v>
      </c>
      <c r="K736" s="12"/>
      <c r="L736" s="9" t="n">
        <f aca="false">L735+H736</f>
        <v>1620</v>
      </c>
      <c r="M736" s="10" t="str">
        <f aca="false">VLOOKUP(J736,RECATALOGANDO!A:C,2,0)</f>
        <v>SERVICIO DE PENSION</v>
      </c>
      <c r="N736" s="12" t="str">
        <f aca="false">VLOOKUP(M736,RECATALOGANDO!B:C,2,0)</f>
        <v>VENTA DE SERVICIO</v>
      </c>
      <c r="O736" s="2" t="s">
        <v>39</v>
      </c>
    </row>
    <row r="737" customFormat="false" ht="13.8" hidden="false" customHeight="false" outlineLevel="0" collapsed="false">
      <c r="A737" s="8" t="n">
        <v>45356</v>
      </c>
      <c r="B737" s="9" t="n">
        <f aca="false">DAY(A737)</f>
        <v>5</v>
      </c>
      <c r="C737" s="9" t="n">
        <f aca="false">MONTH(A737)</f>
        <v>3</v>
      </c>
      <c r="D737" s="9" t="n">
        <f aca="false">YEAR(A737)</f>
        <v>2024</v>
      </c>
      <c r="E737" s="9" t="n">
        <f aca="false">WEEKDAY(A737,2)</f>
        <v>2</v>
      </c>
      <c r="F737" s="10" t="n">
        <f aca="false">WEEKNUM(A737,2) - WEEKNUM(DATE(YEAR(A737),MONTH(A737),1),2) + 1</f>
        <v>2</v>
      </c>
      <c r="G737" s="10"/>
      <c r="H737" s="11" t="n">
        <v>99</v>
      </c>
      <c r="I737" s="12" t="s">
        <v>20</v>
      </c>
      <c r="J737" s="12" t="s">
        <v>51</v>
      </c>
      <c r="K737" s="12"/>
      <c r="L737" s="9" t="n">
        <f aca="false">L736+H737</f>
        <v>1719</v>
      </c>
      <c r="M737" s="10" t="str">
        <f aca="false">VLOOKUP(J737,RECATALOGANDO!A:C,2,0)</f>
        <v>VENTA DE ALIMENTO</v>
      </c>
      <c r="N737" s="12" t="str">
        <f aca="false">VLOOKUP(M737,RECATALOGANDO!B:C,2,0)</f>
        <v>VENTA DE PRODUCTO</v>
      </c>
      <c r="O737" s="2" t="s">
        <v>39</v>
      </c>
    </row>
    <row r="738" customFormat="false" ht="13.8" hidden="false" customHeight="false" outlineLevel="0" collapsed="false">
      <c r="A738" s="8" t="n">
        <v>45356</v>
      </c>
      <c r="B738" s="9" t="n">
        <f aca="false">DAY(A738)</f>
        <v>5</v>
      </c>
      <c r="C738" s="9" t="n">
        <f aca="false">MONTH(A738)</f>
        <v>3</v>
      </c>
      <c r="D738" s="9" t="n">
        <f aca="false">YEAR(A738)</f>
        <v>2024</v>
      </c>
      <c r="E738" s="9" t="n">
        <f aca="false">WEEKDAY(A738,2)</f>
        <v>2</v>
      </c>
      <c r="F738" s="10" t="n">
        <f aca="false">WEEKNUM(A738,2) - WEEKNUM(DATE(YEAR(A738),MONTH(A738),1),2) + 1</f>
        <v>2</v>
      </c>
      <c r="G738" s="10"/>
      <c r="H738" s="11" t="n">
        <v>885</v>
      </c>
      <c r="I738" s="12" t="s">
        <v>15</v>
      </c>
      <c r="J738" s="12" t="s">
        <v>51</v>
      </c>
      <c r="K738" s="12"/>
      <c r="L738" s="9" t="n">
        <f aca="false">L737+H738</f>
        <v>2604</v>
      </c>
      <c r="M738" s="10" t="str">
        <f aca="false">VLOOKUP(J738,RECATALOGANDO!A:C,2,0)</f>
        <v>VENTA DE ALIMENTO</v>
      </c>
      <c r="N738" s="12" t="str">
        <f aca="false">VLOOKUP(M738,RECATALOGANDO!B:C,2,0)</f>
        <v>VENTA DE PRODUCTO</v>
      </c>
      <c r="O738" s="2" t="s">
        <v>39</v>
      </c>
    </row>
    <row r="739" customFormat="false" ht="13.8" hidden="false" customHeight="false" outlineLevel="0" collapsed="false">
      <c r="A739" s="8" t="n">
        <v>45357</v>
      </c>
      <c r="B739" s="9" t="n">
        <f aca="false">DAY(A739)</f>
        <v>6</v>
      </c>
      <c r="C739" s="9" t="n">
        <f aca="false">MONTH(A739)</f>
        <v>3</v>
      </c>
      <c r="D739" s="9" t="n">
        <f aca="false">YEAR(A739)</f>
        <v>2024</v>
      </c>
      <c r="E739" s="9" t="n">
        <f aca="false">WEEKDAY(A739,2)</f>
        <v>3</v>
      </c>
      <c r="F739" s="10" t="n">
        <f aca="false">WEEKNUM(A739,2) - WEEKNUM(DATE(YEAR(A739),MONTH(A739),1),2) + 1</f>
        <v>2</v>
      </c>
      <c r="G739" s="10"/>
      <c r="H739" s="11" t="n">
        <v>2188.62</v>
      </c>
      <c r="I739" s="12" t="s">
        <v>15</v>
      </c>
      <c r="J739" s="12" t="s">
        <v>51</v>
      </c>
      <c r="K739" s="12"/>
      <c r="L739" s="9" t="n">
        <f aca="false">L738+H739</f>
        <v>4792.62</v>
      </c>
      <c r="M739" s="10" t="str">
        <f aca="false">VLOOKUP(J739,RECATALOGANDO!A:C,2,0)</f>
        <v>VENTA DE ALIMENTO</v>
      </c>
      <c r="N739" s="12" t="str">
        <f aca="false">VLOOKUP(M739,RECATALOGANDO!B:C,2,0)</f>
        <v>VENTA DE PRODUCTO</v>
      </c>
      <c r="O739" s="2" t="s">
        <v>39</v>
      </c>
    </row>
    <row r="740" customFormat="false" ht="13.8" hidden="false" customHeight="false" outlineLevel="0" collapsed="false">
      <c r="A740" s="8" t="n">
        <v>45357</v>
      </c>
      <c r="B740" s="9" t="n">
        <f aca="false">DAY(A740)</f>
        <v>6</v>
      </c>
      <c r="C740" s="9" t="n">
        <f aca="false">MONTH(A740)</f>
        <v>3</v>
      </c>
      <c r="D740" s="9" t="n">
        <f aca="false">YEAR(A740)</f>
        <v>2024</v>
      </c>
      <c r="E740" s="9" t="n">
        <f aca="false">WEEKDAY(A740,2)</f>
        <v>3</v>
      </c>
      <c r="F740" s="10" t="n">
        <f aca="false">WEEKNUM(A740,2) - WEEKNUM(DATE(YEAR(A740),MONTH(A740),1),2) + 1</f>
        <v>2</v>
      </c>
      <c r="G740" s="10"/>
      <c r="H740" s="11" t="n">
        <v>1530</v>
      </c>
      <c r="I740" s="12" t="s">
        <v>15</v>
      </c>
      <c r="J740" s="12" t="s">
        <v>59</v>
      </c>
      <c r="K740" s="12"/>
      <c r="L740" s="9" t="n">
        <f aca="false">L739+H740</f>
        <v>6322.62</v>
      </c>
      <c r="M740" s="10" t="str">
        <f aca="false">VLOOKUP(J740,RECATALOGANDO!A:C,2,0)</f>
        <v>SERVICIO DE PENSION</v>
      </c>
      <c r="N740" s="12" t="str">
        <f aca="false">VLOOKUP(M740,RECATALOGANDO!B:C,2,0)</f>
        <v>VENTA DE SERVICIO</v>
      </c>
      <c r="O740" s="2" t="s">
        <v>39</v>
      </c>
    </row>
    <row r="741" customFormat="false" ht="13.8" hidden="false" customHeight="false" outlineLevel="0" collapsed="false">
      <c r="A741" s="8" t="n">
        <v>45358</v>
      </c>
      <c r="B741" s="9" t="n">
        <f aca="false">DAY(A741)</f>
        <v>7</v>
      </c>
      <c r="C741" s="9" t="n">
        <f aca="false">MONTH(A741)</f>
        <v>3</v>
      </c>
      <c r="D741" s="9" t="n">
        <f aca="false">YEAR(A741)</f>
        <v>2024</v>
      </c>
      <c r="E741" s="9" t="n">
        <f aca="false">WEEKDAY(A741,2)</f>
        <v>4</v>
      </c>
      <c r="F741" s="10" t="n">
        <f aca="false">WEEKNUM(A741,2) - WEEKNUM(DATE(YEAR(A741),MONTH(A741),1),2) + 1</f>
        <v>2</v>
      </c>
      <c r="G741" s="10"/>
      <c r="H741" s="11" t="n">
        <v>1100</v>
      </c>
      <c r="I741" s="12" t="s">
        <v>20</v>
      </c>
      <c r="J741" s="12" t="s">
        <v>64</v>
      </c>
      <c r="K741" s="12"/>
      <c r="L741" s="9" t="n">
        <f aca="false">L740+H741</f>
        <v>7422.62</v>
      </c>
      <c r="M741" s="10" t="str">
        <f aca="false">VLOOKUP(J741,RECATALOGANDO!A:C,2,0)</f>
        <v>HONORARIOS QUIRURGICOS</v>
      </c>
      <c r="N741" s="12" t="str">
        <f aca="false">VLOOKUP(M741,RECATALOGANDO!B:C,2,0)</f>
        <v>VENTA DE SERVICIO</v>
      </c>
      <c r="O741" s="2" t="s">
        <v>39</v>
      </c>
    </row>
    <row r="742" customFormat="false" ht="13.8" hidden="false" customHeight="false" outlineLevel="0" collapsed="false">
      <c r="A742" s="8" t="n">
        <v>45359</v>
      </c>
      <c r="B742" s="9" t="n">
        <f aca="false">DAY(A742)</f>
        <v>8</v>
      </c>
      <c r="C742" s="9" t="n">
        <f aca="false">MONTH(A742)</f>
        <v>3</v>
      </c>
      <c r="D742" s="9" t="n">
        <f aca="false">YEAR(A742)</f>
        <v>2024</v>
      </c>
      <c r="E742" s="9" t="n">
        <f aca="false">WEEKDAY(A742,2)</f>
        <v>5</v>
      </c>
      <c r="F742" s="10" t="n">
        <f aca="false">WEEKNUM(A742,2) - WEEKNUM(DATE(YEAR(A742),MONTH(A742),1),2) + 1</f>
        <v>2</v>
      </c>
      <c r="G742" s="10"/>
      <c r="H742" s="11" t="n">
        <v>300</v>
      </c>
      <c r="I742" s="12" t="s">
        <v>15</v>
      </c>
      <c r="J742" s="12" t="s">
        <v>49</v>
      </c>
      <c r="K742" s="12"/>
      <c r="L742" s="9" t="n">
        <f aca="false">L741+H742</f>
        <v>7722.62</v>
      </c>
      <c r="M742" s="10" t="str">
        <f aca="false">VLOOKUP(J742,RECATALOGANDO!A:C,2,0)</f>
        <v>SERVICIO DE GROOMING</v>
      </c>
      <c r="N742" s="12" t="str">
        <f aca="false">VLOOKUP(M742,RECATALOGANDO!B:C,2,0)</f>
        <v>VENTA DE SERVICIO</v>
      </c>
      <c r="O742" s="2" t="s">
        <v>39</v>
      </c>
    </row>
    <row r="743" customFormat="false" ht="13.8" hidden="false" customHeight="false" outlineLevel="0" collapsed="false">
      <c r="A743" s="8" t="n">
        <v>45360</v>
      </c>
      <c r="B743" s="9" t="n">
        <f aca="false">DAY(A743)</f>
        <v>9</v>
      </c>
      <c r="C743" s="9" t="n">
        <f aca="false">MONTH(A743)</f>
        <v>3</v>
      </c>
      <c r="D743" s="9" t="n">
        <f aca="false">YEAR(A743)</f>
        <v>2024</v>
      </c>
      <c r="E743" s="9" t="n">
        <f aca="false">WEEKDAY(A743,2)</f>
        <v>6</v>
      </c>
      <c r="F743" s="10" t="n">
        <f aca="false">WEEKNUM(A743,2) - WEEKNUM(DATE(YEAR(A743),MONTH(A743),1),2) + 1</f>
        <v>2</v>
      </c>
      <c r="G743" s="10"/>
      <c r="H743" s="11" t="n">
        <v>333.47</v>
      </c>
      <c r="I743" s="12" t="s">
        <v>15</v>
      </c>
      <c r="J743" s="12" t="s">
        <v>45</v>
      </c>
      <c r="K743" s="12"/>
      <c r="L743" s="9" t="n">
        <f aca="false">L742+H743</f>
        <v>8056.09</v>
      </c>
      <c r="M743" s="10" t="str">
        <f aca="false">VLOOKUP(J743,RECATALOGANDO!A:C,2,0)</f>
        <v>VENTA DE MEDICAMENTO</v>
      </c>
      <c r="N743" s="12" t="str">
        <f aca="false">VLOOKUP(M743,RECATALOGANDO!B:C,2,0)</f>
        <v>VENTA DE PRODUCTO</v>
      </c>
      <c r="O743" s="2" t="s">
        <v>39</v>
      </c>
    </row>
    <row r="744" customFormat="false" ht="13.8" hidden="false" customHeight="false" outlineLevel="0" collapsed="false">
      <c r="A744" s="8" t="n">
        <v>45361</v>
      </c>
      <c r="B744" s="9" t="n">
        <f aca="false">DAY(A744)</f>
        <v>10</v>
      </c>
      <c r="C744" s="9" t="n">
        <f aca="false">MONTH(A744)</f>
        <v>3</v>
      </c>
      <c r="D744" s="9" t="n">
        <f aca="false">YEAR(A744)</f>
        <v>2024</v>
      </c>
      <c r="E744" s="9" t="n">
        <f aca="false">WEEKDAY(A744,2)</f>
        <v>7</v>
      </c>
      <c r="F744" s="10" t="n">
        <f aca="false">WEEKNUM(A744,2) - WEEKNUM(DATE(YEAR(A744),MONTH(A744),1),2) + 1</f>
        <v>2</v>
      </c>
      <c r="G744" s="10"/>
      <c r="H744" s="11" t="n">
        <v>3139.19</v>
      </c>
      <c r="I744" s="12" t="s">
        <v>15</v>
      </c>
      <c r="J744" s="12" t="s">
        <v>45</v>
      </c>
      <c r="K744" s="12"/>
      <c r="L744" s="9" t="n">
        <f aca="false">L743+H744</f>
        <v>11195.28</v>
      </c>
      <c r="M744" s="10" t="str">
        <f aca="false">VLOOKUP(J744,RECATALOGANDO!A:C,2,0)</f>
        <v>VENTA DE MEDICAMENTO</v>
      </c>
      <c r="N744" s="12" t="str">
        <f aca="false">VLOOKUP(M744,RECATALOGANDO!B:C,2,0)</f>
        <v>VENTA DE PRODUCTO</v>
      </c>
      <c r="O744" s="2" t="s">
        <v>39</v>
      </c>
    </row>
    <row r="745" customFormat="false" ht="13.8" hidden="false" customHeight="false" outlineLevel="0" collapsed="false">
      <c r="A745" s="8" t="n">
        <v>45362</v>
      </c>
      <c r="B745" s="9" t="n">
        <f aca="false">DAY(A745)</f>
        <v>11</v>
      </c>
      <c r="C745" s="9" t="n">
        <f aca="false">MONTH(A745)</f>
        <v>3</v>
      </c>
      <c r="D745" s="9" t="n">
        <f aca="false">YEAR(A745)</f>
        <v>2024</v>
      </c>
      <c r="E745" s="9" t="n">
        <f aca="false">WEEKDAY(A745,2)</f>
        <v>1</v>
      </c>
      <c r="F745" s="10" t="n">
        <f aca="false">WEEKNUM(A745,2) - WEEKNUM(DATE(YEAR(A745),MONTH(A745),1),2) + 1</f>
        <v>3</v>
      </c>
      <c r="G745" s="10"/>
      <c r="H745" s="11" t="n">
        <v>370</v>
      </c>
      <c r="I745" s="12" t="s">
        <v>20</v>
      </c>
      <c r="J745" s="12" t="s">
        <v>49</v>
      </c>
      <c r="K745" s="12"/>
      <c r="L745" s="9" t="n">
        <f aca="false">L744+H745</f>
        <v>11565.28</v>
      </c>
      <c r="M745" s="10" t="str">
        <f aca="false">VLOOKUP(J745,RECATALOGANDO!A:C,2,0)</f>
        <v>SERVICIO DE GROOMING</v>
      </c>
      <c r="N745" s="12" t="str">
        <f aca="false">VLOOKUP(M745,RECATALOGANDO!B:C,2,0)</f>
        <v>VENTA DE SERVICIO</v>
      </c>
      <c r="O745" s="2" t="s">
        <v>39</v>
      </c>
    </row>
    <row r="746" customFormat="false" ht="13.8" hidden="false" customHeight="false" outlineLevel="0" collapsed="false">
      <c r="A746" s="8" t="n">
        <v>45362</v>
      </c>
      <c r="B746" s="9" t="n">
        <f aca="false">DAY(A746)</f>
        <v>11</v>
      </c>
      <c r="C746" s="9" t="n">
        <f aca="false">MONTH(A746)</f>
        <v>3</v>
      </c>
      <c r="D746" s="9" t="n">
        <f aca="false">YEAR(A746)</f>
        <v>2024</v>
      </c>
      <c r="E746" s="9" t="n">
        <f aca="false">WEEKDAY(A746,2)</f>
        <v>1</v>
      </c>
      <c r="F746" s="10" t="n">
        <f aca="false">WEEKNUM(A746,2) - WEEKNUM(DATE(YEAR(A746),MONTH(A746),1),2) + 1</f>
        <v>3</v>
      </c>
      <c r="G746" s="10"/>
      <c r="H746" s="11" t="n">
        <v>1392</v>
      </c>
      <c r="I746" s="12" t="s">
        <v>20</v>
      </c>
      <c r="J746" s="12" t="s">
        <v>44</v>
      </c>
      <c r="K746" s="12"/>
      <c r="L746" s="9" t="n">
        <f aca="false">L745+H746</f>
        <v>12957.28</v>
      </c>
      <c r="M746" s="10" t="str">
        <f aca="false">VLOOKUP(J746,RECATALOGANDO!A:C,2,0)</f>
        <v>HONORARIOS MEDICOS</v>
      </c>
      <c r="N746" s="12" t="str">
        <f aca="false">VLOOKUP(M746,RECATALOGANDO!B:C,2,0)</f>
        <v>VENTA DE SERVICIO</v>
      </c>
      <c r="O746" s="2" t="s">
        <v>39</v>
      </c>
    </row>
    <row r="747" customFormat="false" ht="13.8" hidden="false" customHeight="false" outlineLevel="0" collapsed="false">
      <c r="A747" s="8" t="n">
        <v>45363</v>
      </c>
      <c r="B747" s="9" t="n">
        <f aca="false">DAY(A747)</f>
        <v>12</v>
      </c>
      <c r="C747" s="9" t="n">
        <f aca="false">MONTH(A747)</f>
        <v>3</v>
      </c>
      <c r="D747" s="9" t="n">
        <f aca="false">YEAR(A747)</f>
        <v>2024</v>
      </c>
      <c r="E747" s="9" t="n">
        <f aca="false">WEEKDAY(A747,2)</f>
        <v>2</v>
      </c>
      <c r="F747" s="10" t="n">
        <f aca="false">WEEKNUM(A747,2) - WEEKNUM(DATE(YEAR(A747),MONTH(A747),1),2) + 1</f>
        <v>3</v>
      </c>
      <c r="G747" s="10"/>
      <c r="H747" s="11" t="n">
        <v>2513</v>
      </c>
      <c r="I747" s="12" t="s">
        <v>20</v>
      </c>
      <c r="J747" s="12" t="s">
        <v>51</v>
      </c>
      <c r="K747" s="12"/>
      <c r="L747" s="9" t="n">
        <f aca="false">L746+H747</f>
        <v>15470.28</v>
      </c>
      <c r="M747" s="10" t="str">
        <f aca="false">VLOOKUP(J747,RECATALOGANDO!A:C,2,0)</f>
        <v>VENTA DE ALIMENTO</v>
      </c>
      <c r="N747" s="12" t="str">
        <f aca="false">VLOOKUP(M747,RECATALOGANDO!B:C,2,0)</f>
        <v>VENTA DE PRODUCTO</v>
      </c>
      <c r="O747" s="2" t="s">
        <v>39</v>
      </c>
    </row>
    <row r="748" customFormat="false" ht="13.8" hidden="false" customHeight="false" outlineLevel="0" collapsed="false">
      <c r="A748" s="8" t="n">
        <v>45365</v>
      </c>
      <c r="B748" s="9" t="n">
        <f aca="false">DAY(A748)</f>
        <v>14</v>
      </c>
      <c r="C748" s="9" t="n">
        <f aca="false">MONTH(A748)</f>
        <v>3</v>
      </c>
      <c r="D748" s="9" t="n">
        <f aca="false">YEAR(A748)</f>
        <v>2024</v>
      </c>
      <c r="E748" s="9" t="n">
        <f aca="false">WEEKDAY(A748,2)</f>
        <v>4</v>
      </c>
      <c r="F748" s="10" t="n">
        <f aca="false">WEEKNUM(A748,2) - WEEKNUM(DATE(YEAR(A748),MONTH(A748),1),2) + 1</f>
        <v>3</v>
      </c>
      <c r="G748" s="10"/>
      <c r="H748" s="11" t="n">
        <v>905</v>
      </c>
      <c r="I748" s="12" t="s">
        <v>20</v>
      </c>
      <c r="J748" s="12" t="s">
        <v>45</v>
      </c>
      <c r="K748" s="12"/>
      <c r="L748" s="9" t="n">
        <f aca="false">L747+H748</f>
        <v>16375.28</v>
      </c>
      <c r="M748" s="10" t="str">
        <f aca="false">VLOOKUP(J748,RECATALOGANDO!A:C,2,0)</f>
        <v>VENTA DE MEDICAMENTO</v>
      </c>
      <c r="N748" s="12" t="str">
        <f aca="false">VLOOKUP(M748,RECATALOGANDO!B:C,2,0)</f>
        <v>VENTA DE PRODUCTO</v>
      </c>
      <c r="O748" s="2" t="s">
        <v>39</v>
      </c>
    </row>
    <row r="749" customFormat="false" ht="13.8" hidden="false" customHeight="false" outlineLevel="0" collapsed="false">
      <c r="A749" s="8" t="n">
        <v>45365</v>
      </c>
      <c r="B749" s="9" t="n">
        <f aca="false">DAY(A749)</f>
        <v>14</v>
      </c>
      <c r="C749" s="9" t="n">
        <f aca="false">MONTH(A749)</f>
        <v>3</v>
      </c>
      <c r="D749" s="9" t="n">
        <f aca="false">YEAR(A749)</f>
        <v>2024</v>
      </c>
      <c r="E749" s="9" t="n">
        <f aca="false">WEEKDAY(A749,2)</f>
        <v>4</v>
      </c>
      <c r="F749" s="10" t="n">
        <f aca="false">WEEKNUM(A749,2) - WEEKNUM(DATE(YEAR(A749),MONTH(A749),1),2) + 1</f>
        <v>3</v>
      </c>
      <c r="G749" s="10"/>
      <c r="H749" s="11" t="n">
        <v>1414.36</v>
      </c>
      <c r="I749" s="12" t="s">
        <v>15</v>
      </c>
      <c r="J749" s="12" t="s">
        <v>45</v>
      </c>
      <c r="K749" s="12"/>
      <c r="L749" s="9" t="n">
        <f aca="false">L748+H749</f>
        <v>17789.64</v>
      </c>
      <c r="M749" s="10" t="str">
        <f aca="false">VLOOKUP(J749,RECATALOGANDO!A:C,2,0)</f>
        <v>VENTA DE MEDICAMENTO</v>
      </c>
      <c r="N749" s="12" t="str">
        <f aca="false">VLOOKUP(M749,RECATALOGANDO!B:C,2,0)</f>
        <v>VENTA DE PRODUCTO</v>
      </c>
      <c r="O749" s="2" t="s">
        <v>39</v>
      </c>
    </row>
    <row r="750" customFormat="false" ht="13.8" hidden="false" customHeight="false" outlineLevel="0" collapsed="false">
      <c r="A750" s="8" t="n">
        <v>45366</v>
      </c>
      <c r="B750" s="9" t="n">
        <f aca="false">DAY(A750)</f>
        <v>15</v>
      </c>
      <c r="C750" s="9" t="n">
        <f aca="false">MONTH(A750)</f>
        <v>3</v>
      </c>
      <c r="D750" s="9" t="n">
        <f aca="false">YEAR(A750)</f>
        <v>2024</v>
      </c>
      <c r="E750" s="9" t="n">
        <f aca="false">WEEKDAY(A750,2)</f>
        <v>5</v>
      </c>
      <c r="F750" s="10" t="n">
        <f aca="false">WEEKNUM(A750,2) - WEEKNUM(DATE(YEAR(A750),MONTH(A750),1),2) + 1</f>
        <v>3</v>
      </c>
      <c r="G750" s="10" t="n">
        <v>1</v>
      </c>
      <c r="H750" s="11" t="n">
        <v>350</v>
      </c>
      <c r="I750" s="12" t="s">
        <v>20</v>
      </c>
      <c r="J750" s="12" t="s">
        <v>51</v>
      </c>
      <c r="K750" s="12"/>
      <c r="L750" s="9" t="n">
        <f aca="false">L749+H750</f>
        <v>18139.64</v>
      </c>
      <c r="M750" s="10" t="str">
        <f aca="false">VLOOKUP(J750,RECATALOGANDO!A:C,2,0)</f>
        <v>VENTA DE ALIMENTO</v>
      </c>
      <c r="N750" s="12" t="str">
        <f aca="false">VLOOKUP(M750,RECATALOGANDO!B:C,2,0)</f>
        <v>VENTA DE PRODUCTO</v>
      </c>
      <c r="O750" s="2" t="s">
        <v>39</v>
      </c>
    </row>
    <row r="751" customFormat="false" ht="13.8" hidden="false" customHeight="false" outlineLevel="0" collapsed="false">
      <c r="A751" s="8" t="n">
        <v>45366</v>
      </c>
      <c r="B751" s="9" t="n">
        <f aca="false">DAY(A751)</f>
        <v>15</v>
      </c>
      <c r="C751" s="9" t="n">
        <f aca="false">MONTH(A751)</f>
        <v>3</v>
      </c>
      <c r="D751" s="9" t="n">
        <f aca="false">YEAR(A751)</f>
        <v>2024</v>
      </c>
      <c r="E751" s="9" t="n">
        <f aca="false">WEEKDAY(A751,2)</f>
        <v>5</v>
      </c>
      <c r="F751" s="10" t="n">
        <f aca="false">WEEKNUM(A751,2) - WEEKNUM(DATE(YEAR(A751),MONTH(A751),1),2) + 1</f>
        <v>3</v>
      </c>
      <c r="G751" s="10" t="n">
        <v>1</v>
      </c>
      <c r="H751" s="11" t="n">
        <v>2600</v>
      </c>
      <c r="I751" s="12" t="s">
        <v>20</v>
      </c>
      <c r="J751" s="12" t="s">
        <v>51</v>
      </c>
      <c r="K751" s="12"/>
      <c r="L751" s="9" t="n">
        <f aca="false">L750+H751</f>
        <v>20739.64</v>
      </c>
      <c r="M751" s="10" t="str">
        <f aca="false">VLOOKUP(J751,RECATALOGANDO!A:C,2,0)</f>
        <v>VENTA DE ALIMENTO</v>
      </c>
      <c r="N751" s="12" t="str">
        <f aca="false">VLOOKUP(M751,RECATALOGANDO!B:C,2,0)</f>
        <v>VENTA DE PRODUCTO</v>
      </c>
      <c r="O751" s="2" t="s">
        <v>39</v>
      </c>
    </row>
    <row r="752" customFormat="false" ht="13.8" hidden="false" customHeight="false" outlineLevel="0" collapsed="false">
      <c r="A752" s="8" t="n">
        <v>45366</v>
      </c>
      <c r="B752" s="9" t="n">
        <f aca="false">DAY(A752)</f>
        <v>15</v>
      </c>
      <c r="C752" s="9" t="n">
        <f aca="false">MONTH(A752)</f>
        <v>3</v>
      </c>
      <c r="D752" s="9" t="n">
        <f aca="false">YEAR(A752)</f>
        <v>2024</v>
      </c>
      <c r="E752" s="9" t="n">
        <f aca="false">WEEKDAY(A752,2)</f>
        <v>5</v>
      </c>
      <c r="F752" s="10" t="n">
        <f aca="false">WEEKNUM(A752,2) - WEEKNUM(DATE(YEAR(A752),MONTH(A752),1),2) + 1</f>
        <v>3</v>
      </c>
      <c r="G752" s="10" t="n">
        <v>1</v>
      </c>
      <c r="H752" s="11" t="n">
        <v>140</v>
      </c>
      <c r="I752" s="12" t="s">
        <v>20</v>
      </c>
      <c r="J752" s="12" t="s">
        <v>49</v>
      </c>
      <c r="K752" s="12"/>
      <c r="L752" s="9" t="n">
        <f aca="false">L751+H752</f>
        <v>20879.64</v>
      </c>
      <c r="M752" s="10" t="str">
        <f aca="false">VLOOKUP(J752,RECATALOGANDO!A:C,2,0)</f>
        <v>SERVICIO DE GROOMING</v>
      </c>
      <c r="N752" s="12" t="str">
        <f aca="false">VLOOKUP(M752,RECATALOGANDO!B:C,2,0)</f>
        <v>VENTA DE SERVICIO</v>
      </c>
      <c r="O752" s="2" t="s">
        <v>39</v>
      </c>
    </row>
    <row r="753" customFormat="false" ht="13.8" hidden="false" customHeight="false" outlineLevel="0" collapsed="false">
      <c r="A753" s="8" t="n">
        <v>45366</v>
      </c>
      <c r="B753" s="9" t="n">
        <f aca="false">DAY(A753)</f>
        <v>15</v>
      </c>
      <c r="C753" s="9" t="n">
        <f aca="false">MONTH(A753)</f>
        <v>3</v>
      </c>
      <c r="D753" s="9" t="n">
        <f aca="false">YEAR(A753)</f>
        <v>2024</v>
      </c>
      <c r="E753" s="9" t="n">
        <f aca="false">WEEKDAY(A753,2)</f>
        <v>5</v>
      </c>
      <c r="F753" s="10" t="n">
        <f aca="false">WEEKNUM(A753,2) - WEEKNUM(DATE(YEAR(A753),MONTH(A753),1),2) + 1</f>
        <v>3</v>
      </c>
      <c r="G753" s="10" t="n">
        <v>1</v>
      </c>
      <c r="H753" s="11" t="n">
        <v>160</v>
      </c>
      <c r="I753" s="12" t="s">
        <v>20</v>
      </c>
      <c r="J753" s="12" t="s">
        <v>49</v>
      </c>
      <c r="K753" s="12"/>
      <c r="L753" s="9" t="n">
        <f aca="false">L752+H753</f>
        <v>21039.64</v>
      </c>
      <c r="M753" s="10" t="str">
        <f aca="false">VLOOKUP(J753,RECATALOGANDO!A:C,2,0)</f>
        <v>SERVICIO DE GROOMING</v>
      </c>
      <c r="N753" s="12" t="str">
        <f aca="false">VLOOKUP(M753,RECATALOGANDO!B:C,2,0)</f>
        <v>VENTA DE SERVICIO</v>
      </c>
      <c r="O753" s="2" t="s">
        <v>39</v>
      </c>
    </row>
    <row r="754" customFormat="false" ht="13.8" hidden="false" customHeight="false" outlineLevel="0" collapsed="false">
      <c r="A754" s="8" t="n">
        <v>45366</v>
      </c>
      <c r="B754" s="9" t="n">
        <f aca="false">DAY(A754)</f>
        <v>15</v>
      </c>
      <c r="C754" s="9" t="n">
        <f aca="false">MONTH(A754)</f>
        <v>3</v>
      </c>
      <c r="D754" s="9" t="n">
        <f aca="false">YEAR(A754)</f>
        <v>2024</v>
      </c>
      <c r="E754" s="9" t="n">
        <f aca="false">WEEKDAY(A754,2)</f>
        <v>5</v>
      </c>
      <c r="F754" s="10" t="n">
        <f aca="false">WEEKNUM(A754,2) - WEEKNUM(DATE(YEAR(A754),MONTH(A754),1),2) + 1</f>
        <v>3</v>
      </c>
      <c r="G754" s="10" t="n">
        <v>1</v>
      </c>
      <c r="H754" s="11" t="n">
        <v>500</v>
      </c>
      <c r="I754" s="12" t="s">
        <v>15</v>
      </c>
      <c r="J754" s="12" t="s">
        <v>68</v>
      </c>
      <c r="K754" s="12"/>
      <c r="L754" s="9" t="n">
        <f aca="false">L753+H754</f>
        <v>21539.64</v>
      </c>
      <c r="M754" s="10" t="str">
        <f aca="false">VLOOKUP(J754,RECATALOGANDO!A:C,2,0)</f>
        <v>SERVICIO DE IMAGEN</v>
      </c>
      <c r="N754" s="12" t="str">
        <f aca="false">VLOOKUP(M754,RECATALOGANDO!B:C,2,0)</f>
        <v>VENTA DE SERVICIO</v>
      </c>
      <c r="O754" s="2" t="s">
        <v>39</v>
      </c>
    </row>
    <row r="755" customFormat="false" ht="13.8" hidden="false" customHeight="false" outlineLevel="0" collapsed="false">
      <c r="A755" s="8" t="n">
        <v>45368</v>
      </c>
      <c r="B755" s="9" t="n">
        <f aca="false">DAY(A755)</f>
        <v>17</v>
      </c>
      <c r="C755" s="9" t="n">
        <f aca="false">MONTH(A755)</f>
        <v>3</v>
      </c>
      <c r="D755" s="9" t="n">
        <f aca="false">YEAR(A755)</f>
        <v>2024</v>
      </c>
      <c r="E755" s="9" t="n">
        <f aca="false">WEEKDAY(A755,2)</f>
        <v>7</v>
      </c>
      <c r="F755" s="10" t="n">
        <f aca="false">WEEKNUM(A755,2) - WEEKNUM(DATE(YEAR(A755),MONTH(A755),1),2) + 1</f>
        <v>3</v>
      </c>
      <c r="G755" s="10"/>
      <c r="H755" s="11" t="n">
        <v>879.45</v>
      </c>
      <c r="I755" s="12" t="s">
        <v>15</v>
      </c>
      <c r="J755" s="12" t="s">
        <v>51</v>
      </c>
      <c r="K755" s="12"/>
      <c r="L755" s="9" t="n">
        <f aca="false">L754+H755</f>
        <v>22419.09</v>
      </c>
      <c r="M755" s="10" t="str">
        <f aca="false">VLOOKUP(J755,RECATALOGANDO!A:C,2,0)</f>
        <v>VENTA DE ALIMENTO</v>
      </c>
      <c r="N755" s="12" t="str">
        <f aca="false">VLOOKUP(M755,RECATALOGANDO!B:C,2,0)</f>
        <v>VENTA DE PRODUCTO</v>
      </c>
      <c r="O755" s="2" t="s">
        <v>39</v>
      </c>
    </row>
    <row r="756" customFormat="false" ht="13.8" hidden="false" customHeight="false" outlineLevel="0" collapsed="false">
      <c r="A756" s="8" t="n">
        <v>45369</v>
      </c>
      <c r="B756" s="9" t="n">
        <f aca="false">DAY(A756)</f>
        <v>18</v>
      </c>
      <c r="C756" s="9" t="n">
        <f aca="false">MONTH(A756)</f>
        <v>3</v>
      </c>
      <c r="D756" s="9" t="n">
        <f aca="false">YEAR(A756)</f>
        <v>2024</v>
      </c>
      <c r="E756" s="9" t="n">
        <f aca="false">WEEKDAY(A756,2)</f>
        <v>1</v>
      </c>
      <c r="F756" s="10" t="n">
        <f aca="false">WEEKNUM(A756,2) - WEEKNUM(DATE(YEAR(A756),MONTH(A756),1),2) + 1</f>
        <v>4</v>
      </c>
      <c r="G756" s="10"/>
      <c r="H756" s="11" t="n">
        <v>1520</v>
      </c>
      <c r="I756" s="12" t="s">
        <v>15</v>
      </c>
      <c r="J756" s="12" t="s">
        <v>44</v>
      </c>
      <c r="K756" s="12"/>
      <c r="L756" s="9" t="n">
        <f aca="false">L755+H756</f>
        <v>23939.09</v>
      </c>
      <c r="M756" s="10" t="str">
        <f aca="false">VLOOKUP(J756,RECATALOGANDO!A:C,2,0)</f>
        <v>HONORARIOS MEDICOS</v>
      </c>
      <c r="N756" s="12" t="str">
        <f aca="false">VLOOKUP(M756,RECATALOGANDO!B:C,2,0)</f>
        <v>VENTA DE SERVICIO</v>
      </c>
      <c r="O756" s="2" t="s">
        <v>39</v>
      </c>
    </row>
    <row r="757" customFormat="false" ht="13.8" hidden="false" customHeight="false" outlineLevel="0" collapsed="false">
      <c r="A757" s="8" t="n">
        <v>45370</v>
      </c>
      <c r="B757" s="9" t="n">
        <f aca="false">DAY(A757)</f>
        <v>19</v>
      </c>
      <c r="C757" s="9" t="n">
        <f aca="false">MONTH(A757)</f>
        <v>3</v>
      </c>
      <c r="D757" s="9" t="n">
        <f aca="false">YEAR(A757)</f>
        <v>2024</v>
      </c>
      <c r="E757" s="9" t="n">
        <f aca="false">WEEKDAY(A757,2)</f>
        <v>2</v>
      </c>
      <c r="F757" s="10" t="n">
        <f aca="false">WEEKNUM(A757,2) - WEEKNUM(DATE(YEAR(A757),MONTH(A757),1),2) + 1</f>
        <v>4</v>
      </c>
      <c r="G757" s="10"/>
      <c r="H757" s="11" t="n">
        <v>3900</v>
      </c>
      <c r="I757" s="12" t="s">
        <v>20</v>
      </c>
      <c r="J757" s="12" t="s">
        <v>51</v>
      </c>
      <c r="K757" s="12"/>
      <c r="L757" s="9" t="n">
        <f aca="false">L756+H757</f>
        <v>27839.09</v>
      </c>
      <c r="M757" s="10" t="str">
        <f aca="false">VLOOKUP(J757,RECATALOGANDO!A:C,2,0)</f>
        <v>VENTA DE ALIMENTO</v>
      </c>
      <c r="N757" s="12" t="str">
        <f aca="false">VLOOKUP(M757,RECATALOGANDO!B:C,2,0)</f>
        <v>VENTA DE PRODUCTO</v>
      </c>
      <c r="O757" s="2" t="s">
        <v>39</v>
      </c>
    </row>
    <row r="758" customFormat="false" ht="13.8" hidden="false" customHeight="false" outlineLevel="0" collapsed="false">
      <c r="A758" s="8" t="n">
        <v>45370</v>
      </c>
      <c r="B758" s="9" t="n">
        <f aca="false">DAY(A758)</f>
        <v>19</v>
      </c>
      <c r="C758" s="9" t="n">
        <f aca="false">MONTH(A758)</f>
        <v>3</v>
      </c>
      <c r="D758" s="9" t="n">
        <f aca="false">YEAR(A758)</f>
        <v>2024</v>
      </c>
      <c r="E758" s="9" t="n">
        <f aca="false">WEEKDAY(A758,2)</f>
        <v>2</v>
      </c>
      <c r="F758" s="10" t="n">
        <f aca="false">WEEKNUM(A758,2) - WEEKNUM(DATE(YEAR(A758),MONTH(A758),1),2) + 1</f>
        <v>4</v>
      </c>
      <c r="G758" s="10"/>
      <c r="H758" s="11" t="n">
        <v>220</v>
      </c>
      <c r="I758" s="12" t="s">
        <v>20</v>
      </c>
      <c r="J758" s="12" t="s">
        <v>49</v>
      </c>
      <c r="K758" s="12"/>
      <c r="L758" s="9" t="n">
        <f aca="false">L757+H758</f>
        <v>28059.09</v>
      </c>
      <c r="M758" s="10" t="str">
        <f aca="false">VLOOKUP(J758,RECATALOGANDO!A:C,2,0)</f>
        <v>SERVICIO DE GROOMING</v>
      </c>
      <c r="N758" s="12" t="str">
        <f aca="false">VLOOKUP(M758,RECATALOGANDO!B:C,2,0)</f>
        <v>VENTA DE SERVICIO</v>
      </c>
      <c r="O758" s="2" t="s">
        <v>39</v>
      </c>
    </row>
    <row r="759" customFormat="false" ht="13.8" hidden="false" customHeight="false" outlineLevel="0" collapsed="false">
      <c r="A759" s="8" t="n">
        <v>45370</v>
      </c>
      <c r="B759" s="9" t="n">
        <f aca="false">DAY(A759)</f>
        <v>19</v>
      </c>
      <c r="C759" s="9" t="n">
        <f aca="false">MONTH(A759)</f>
        <v>3</v>
      </c>
      <c r="D759" s="9" t="n">
        <f aca="false">YEAR(A759)</f>
        <v>2024</v>
      </c>
      <c r="E759" s="9" t="n">
        <f aca="false">WEEKDAY(A759,2)</f>
        <v>2</v>
      </c>
      <c r="F759" s="10" t="n">
        <f aca="false">WEEKNUM(A759,2) - WEEKNUM(DATE(YEAR(A759),MONTH(A759),1),2) + 1</f>
        <v>4</v>
      </c>
      <c r="G759" s="10"/>
      <c r="H759" s="11" t="n">
        <v>3020</v>
      </c>
      <c r="I759" s="12" t="s">
        <v>20</v>
      </c>
      <c r="J759" s="12" t="s">
        <v>54</v>
      </c>
      <c r="K759" s="12"/>
      <c r="L759" s="9" t="n">
        <f aca="false">L758+H759</f>
        <v>31079.09</v>
      </c>
      <c r="M759" s="10" t="str">
        <f aca="false">VLOOKUP(J759,RECATALOGANDO!A:C,2,0)</f>
        <v>SERVICIO DE LABORATORIO</v>
      </c>
      <c r="N759" s="12" t="str">
        <f aca="false">VLOOKUP(M759,RECATALOGANDO!B:C,2,0)</f>
        <v>VENTA DE SERVICIO</v>
      </c>
      <c r="O759" s="2" t="s">
        <v>39</v>
      </c>
    </row>
    <row r="760" customFormat="false" ht="13.8" hidden="false" customHeight="false" outlineLevel="0" collapsed="false">
      <c r="A760" s="8" t="n">
        <v>45370</v>
      </c>
      <c r="B760" s="9" t="n">
        <f aca="false">DAY(A760)</f>
        <v>19</v>
      </c>
      <c r="C760" s="9" t="n">
        <f aca="false">MONTH(A760)</f>
        <v>3</v>
      </c>
      <c r="D760" s="9" t="n">
        <f aca="false">YEAR(A760)</f>
        <v>2024</v>
      </c>
      <c r="E760" s="9" t="n">
        <f aca="false">WEEKDAY(A760,2)</f>
        <v>2</v>
      </c>
      <c r="F760" s="10" t="n">
        <f aca="false">WEEKNUM(A760,2) - WEEKNUM(DATE(YEAR(A760),MONTH(A760),1),2) + 1</f>
        <v>4</v>
      </c>
      <c r="G760" s="10"/>
      <c r="H760" s="11" t="n">
        <v>3050</v>
      </c>
      <c r="I760" s="12" t="s">
        <v>15</v>
      </c>
      <c r="J760" s="12" t="s">
        <v>64</v>
      </c>
      <c r="K760" s="12"/>
      <c r="L760" s="9" t="n">
        <f aca="false">L759+H760</f>
        <v>34129.09</v>
      </c>
      <c r="M760" s="10" t="str">
        <f aca="false">VLOOKUP(J760,RECATALOGANDO!A:C,2,0)</f>
        <v>HONORARIOS QUIRURGICOS</v>
      </c>
      <c r="N760" s="12" t="str">
        <f aca="false">VLOOKUP(M760,RECATALOGANDO!B:C,2,0)</f>
        <v>VENTA DE SERVICIO</v>
      </c>
      <c r="O760" s="2" t="s">
        <v>39</v>
      </c>
    </row>
    <row r="761" customFormat="false" ht="13.8" hidden="false" customHeight="false" outlineLevel="0" collapsed="false">
      <c r="A761" s="8" t="n">
        <v>45373</v>
      </c>
      <c r="B761" s="9" t="n">
        <f aca="false">DAY(A761)</f>
        <v>22</v>
      </c>
      <c r="C761" s="9" t="n">
        <f aca="false">MONTH(A761)</f>
        <v>3</v>
      </c>
      <c r="D761" s="9" t="n">
        <f aca="false">YEAR(A761)</f>
        <v>2024</v>
      </c>
      <c r="E761" s="9" t="n">
        <f aca="false">WEEKDAY(A761,2)</f>
        <v>5</v>
      </c>
      <c r="F761" s="10" t="n">
        <f aca="false">WEEKNUM(A761,2) - WEEKNUM(DATE(YEAR(A761),MONTH(A761),1),2) + 1</f>
        <v>4</v>
      </c>
      <c r="G761" s="10"/>
      <c r="H761" s="11" t="n">
        <v>640</v>
      </c>
      <c r="I761" s="12" t="s">
        <v>20</v>
      </c>
      <c r="J761" s="12" t="s">
        <v>45</v>
      </c>
      <c r="K761" s="12"/>
      <c r="L761" s="9" t="n">
        <f aca="false">L760+H761</f>
        <v>34769.09</v>
      </c>
      <c r="M761" s="10" t="str">
        <f aca="false">VLOOKUP(J761,RECATALOGANDO!A:C,2,0)</f>
        <v>VENTA DE MEDICAMENTO</v>
      </c>
      <c r="N761" s="12" t="str">
        <f aca="false">VLOOKUP(M761,RECATALOGANDO!B:C,2,0)</f>
        <v>VENTA DE PRODUCTO</v>
      </c>
      <c r="O761" s="2" t="s">
        <v>39</v>
      </c>
    </row>
    <row r="762" customFormat="false" ht="13.8" hidden="false" customHeight="false" outlineLevel="0" collapsed="false">
      <c r="A762" s="8" t="n">
        <v>45373</v>
      </c>
      <c r="B762" s="9" t="n">
        <f aca="false">DAY(A762)</f>
        <v>22</v>
      </c>
      <c r="C762" s="9" t="n">
        <f aca="false">MONTH(A762)</f>
        <v>3</v>
      </c>
      <c r="D762" s="9" t="n">
        <f aca="false">YEAR(A762)</f>
        <v>2024</v>
      </c>
      <c r="E762" s="9" t="n">
        <f aca="false">WEEKDAY(A762,2)</f>
        <v>5</v>
      </c>
      <c r="F762" s="10" t="n">
        <f aca="false">WEEKNUM(A762,2) - WEEKNUM(DATE(YEAR(A762),MONTH(A762),1),2) + 1</f>
        <v>4</v>
      </c>
      <c r="G762" s="10"/>
      <c r="H762" s="11" t="n">
        <v>900</v>
      </c>
      <c r="I762" s="12" t="s">
        <v>20</v>
      </c>
      <c r="J762" s="12" t="s">
        <v>51</v>
      </c>
      <c r="K762" s="12"/>
      <c r="L762" s="9" t="n">
        <f aca="false">L761+H762</f>
        <v>35669.09</v>
      </c>
      <c r="M762" s="10" t="str">
        <f aca="false">VLOOKUP(J762,RECATALOGANDO!A:C,2,0)</f>
        <v>VENTA DE ALIMENTO</v>
      </c>
      <c r="N762" s="12" t="str">
        <f aca="false">VLOOKUP(M762,RECATALOGANDO!B:C,2,0)</f>
        <v>VENTA DE PRODUCTO</v>
      </c>
      <c r="O762" s="2" t="s">
        <v>39</v>
      </c>
    </row>
    <row r="763" customFormat="false" ht="13.8" hidden="false" customHeight="false" outlineLevel="0" collapsed="false">
      <c r="A763" s="8" t="n">
        <v>45373</v>
      </c>
      <c r="B763" s="9" t="n">
        <f aca="false">DAY(A763)</f>
        <v>22</v>
      </c>
      <c r="C763" s="9" t="n">
        <f aca="false">MONTH(A763)</f>
        <v>3</v>
      </c>
      <c r="D763" s="9" t="n">
        <f aca="false">YEAR(A763)</f>
        <v>2024</v>
      </c>
      <c r="E763" s="9" t="n">
        <f aca="false">WEEKDAY(A763,2)</f>
        <v>5</v>
      </c>
      <c r="F763" s="10" t="n">
        <f aca="false">WEEKNUM(A763,2) - WEEKNUM(DATE(YEAR(A763),MONTH(A763),1),2) + 1</f>
        <v>4</v>
      </c>
      <c r="G763" s="10"/>
      <c r="H763" s="11" t="n">
        <v>1165</v>
      </c>
      <c r="I763" s="12" t="s">
        <v>20</v>
      </c>
      <c r="J763" s="12" t="s">
        <v>45</v>
      </c>
      <c r="K763" s="12"/>
      <c r="L763" s="9" t="n">
        <f aca="false">L762+H763</f>
        <v>36834.09</v>
      </c>
      <c r="M763" s="10" t="str">
        <f aca="false">VLOOKUP(J763,RECATALOGANDO!A:C,2,0)</f>
        <v>VENTA DE MEDICAMENTO</v>
      </c>
      <c r="N763" s="12" t="str">
        <f aca="false">VLOOKUP(M763,RECATALOGANDO!B:C,2,0)</f>
        <v>VENTA DE PRODUCTO</v>
      </c>
      <c r="O763" s="2" t="s">
        <v>39</v>
      </c>
    </row>
    <row r="764" customFormat="false" ht="13.8" hidden="false" customHeight="false" outlineLevel="0" collapsed="false">
      <c r="A764" s="8" t="n">
        <v>45375</v>
      </c>
      <c r="B764" s="9" t="n">
        <f aca="false">DAY(A764)</f>
        <v>24</v>
      </c>
      <c r="C764" s="9" t="n">
        <f aca="false">MONTH(A764)</f>
        <v>3</v>
      </c>
      <c r="D764" s="9" t="n">
        <f aca="false">YEAR(A764)</f>
        <v>2024</v>
      </c>
      <c r="E764" s="9" t="n">
        <f aca="false">WEEKDAY(A764,2)</f>
        <v>7</v>
      </c>
      <c r="F764" s="10" t="n">
        <f aca="false">WEEKNUM(A764,2) - WEEKNUM(DATE(YEAR(A764),MONTH(A764),1),2) + 1</f>
        <v>4</v>
      </c>
      <c r="G764" s="10"/>
      <c r="H764" s="11" t="n">
        <v>1065.57</v>
      </c>
      <c r="I764" s="12" t="s">
        <v>15</v>
      </c>
      <c r="J764" s="12" t="s">
        <v>51</v>
      </c>
      <c r="K764" s="12"/>
      <c r="L764" s="9" t="n">
        <f aca="false">L763+H764</f>
        <v>37899.66</v>
      </c>
      <c r="M764" s="10" t="str">
        <f aca="false">VLOOKUP(J764,RECATALOGANDO!A:C,2,0)</f>
        <v>VENTA DE ALIMENTO</v>
      </c>
      <c r="N764" s="12" t="str">
        <f aca="false">VLOOKUP(M764,RECATALOGANDO!B:C,2,0)</f>
        <v>VENTA DE PRODUCTO</v>
      </c>
      <c r="O764" s="2" t="s">
        <v>39</v>
      </c>
    </row>
    <row r="765" customFormat="false" ht="13.8" hidden="false" customHeight="false" outlineLevel="0" collapsed="false">
      <c r="A765" s="8" t="n">
        <v>45377</v>
      </c>
      <c r="B765" s="9" t="n">
        <f aca="false">DAY(A765)</f>
        <v>26</v>
      </c>
      <c r="C765" s="9" t="n">
        <f aca="false">MONTH(A765)</f>
        <v>3</v>
      </c>
      <c r="D765" s="9" t="n">
        <f aca="false">YEAR(A765)</f>
        <v>2024</v>
      </c>
      <c r="E765" s="9" t="n">
        <f aca="false">WEEKDAY(A765,2)</f>
        <v>2</v>
      </c>
      <c r="F765" s="10" t="n">
        <f aca="false">WEEKNUM(A765,2) - WEEKNUM(DATE(YEAR(A765),MONTH(A765),1),2) + 1</f>
        <v>5</v>
      </c>
      <c r="G765" s="10"/>
      <c r="H765" s="11" t="n">
        <v>245</v>
      </c>
      <c r="I765" s="12" t="s">
        <v>20</v>
      </c>
      <c r="J765" s="12" t="s">
        <v>49</v>
      </c>
      <c r="K765" s="12"/>
      <c r="L765" s="9" t="n">
        <f aca="false">L764+H765</f>
        <v>38144.66</v>
      </c>
      <c r="M765" s="10" t="str">
        <f aca="false">VLOOKUP(J765,RECATALOGANDO!A:C,2,0)</f>
        <v>SERVICIO DE GROOMING</v>
      </c>
      <c r="N765" s="12" t="str">
        <f aca="false">VLOOKUP(M765,RECATALOGANDO!B:C,2,0)</f>
        <v>VENTA DE SERVICIO</v>
      </c>
      <c r="O765" s="2" t="s">
        <v>39</v>
      </c>
    </row>
    <row r="766" customFormat="false" ht="13.8" hidden="false" customHeight="false" outlineLevel="0" collapsed="false">
      <c r="A766" s="8" t="n">
        <v>45377</v>
      </c>
      <c r="B766" s="9" t="n">
        <f aca="false">DAY(A766)</f>
        <v>26</v>
      </c>
      <c r="C766" s="9" t="n">
        <f aca="false">MONTH(A766)</f>
        <v>3</v>
      </c>
      <c r="D766" s="9" t="n">
        <f aca="false">YEAR(A766)</f>
        <v>2024</v>
      </c>
      <c r="E766" s="9" t="n">
        <f aca="false">WEEKDAY(A766,2)</f>
        <v>2</v>
      </c>
      <c r="F766" s="10" t="n">
        <f aca="false">WEEKNUM(A766,2) - WEEKNUM(DATE(YEAR(A766),MONTH(A766),1),2) + 1</f>
        <v>5</v>
      </c>
      <c r="G766" s="10"/>
      <c r="H766" s="11" t="n">
        <v>1900</v>
      </c>
      <c r="I766" s="12" t="s">
        <v>20</v>
      </c>
      <c r="J766" s="12" t="s">
        <v>44</v>
      </c>
      <c r="K766" s="12"/>
      <c r="L766" s="9" t="n">
        <f aca="false">L765+H766</f>
        <v>40044.66</v>
      </c>
      <c r="M766" s="10" t="str">
        <f aca="false">VLOOKUP(J766,RECATALOGANDO!A:C,2,0)</f>
        <v>HONORARIOS MEDICOS</v>
      </c>
      <c r="N766" s="12" t="str">
        <f aca="false">VLOOKUP(M766,RECATALOGANDO!B:C,2,0)</f>
        <v>VENTA DE SERVICIO</v>
      </c>
      <c r="O766" s="2" t="s">
        <v>39</v>
      </c>
    </row>
    <row r="767" customFormat="false" ht="13.8" hidden="false" customHeight="false" outlineLevel="0" collapsed="false">
      <c r="A767" s="8" t="n">
        <v>45378</v>
      </c>
      <c r="B767" s="9" t="n">
        <f aca="false">DAY(A767)</f>
        <v>27</v>
      </c>
      <c r="C767" s="9" t="n">
        <f aca="false">MONTH(A767)</f>
        <v>3</v>
      </c>
      <c r="D767" s="9" t="n">
        <f aca="false">YEAR(A767)</f>
        <v>2024</v>
      </c>
      <c r="E767" s="9" t="n">
        <f aca="false">WEEKDAY(A767,2)</f>
        <v>3</v>
      </c>
      <c r="F767" s="10" t="n">
        <f aca="false">WEEKNUM(A767,2) - WEEKNUM(DATE(YEAR(A767),MONTH(A767),1),2) + 1</f>
        <v>5</v>
      </c>
      <c r="G767" s="10"/>
      <c r="H767" s="11" t="n">
        <v>650</v>
      </c>
      <c r="I767" s="12" t="s">
        <v>20</v>
      </c>
      <c r="J767" s="12" t="s">
        <v>51</v>
      </c>
      <c r="K767" s="12"/>
      <c r="L767" s="9" t="n">
        <f aca="false">L766+H767</f>
        <v>40694.66</v>
      </c>
      <c r="M767" s="10" t="str">
        <f aca="false">VLOOKUP(J767,RECATALOGANDO!A:C,2,0)</f>
        <v>VENTA DE ALIMENTO</v>
      </c>
      <c r="N767" s="12" t="str">
        <f aca="false">VLOOKUP(M767,RECATALOGANDO!B:C,2,0)</f>
        <v>VENTA DE PRODUCTO</v>
      </c>
      <c r="O767" s="2" t="s">
        <v>39</v>
      </c>
    </row>
    <row r="768" customFormat="false" ht="13.8" hidden="false" customHeight="false" outlineLevel="0" collapsed="false">
      <c r="A768" s="8" t="n">
        <v>45378</v>
      </c>
      <c r="B768" s="9" t="n">
        <f aca="false">DAY(A768)</f>
        <v>27</v>
      </c>
      <c r="C768" s="9" t="n">
        <f aca="false">MONTH(A768)</f>
        <v>3</v>
      </c>
      <c r="D768" s="9" t="n">
        <f aca="false">YEAR(A768)</f>
        <v>2024</v>
      </c>
      <c r="E768" s="9" t="n">
        <f aca="false">WEEKDAY(A768,2)</f>
        <v>3</v>
      </c>
      <c r="F768" s="10" t="n">
        <f aca="false">WEEKNUM(A768,2) - WEEKNUM(DATE(YEAR(A768),MONTH(A768),1),2) + 1</f>
        <v>5</v>
      </c>
      <c r="G768" s="10"/>
      <c r="H768" s="11" t="n">
        <v>277.89</v>
      </c>
      <c r="I768" s="12" t="s">
        <v>15</v>
      </c>
      <c r="J768" s="12" t="s">
        <v>49</v>
      </c>
      <c r="K768" s="12"/>
      <c r="L768" s="9" t="n">
        <f aca="false">L767+H768</f>
        <v>40972.55</v>
      </c>
      <c r="M768" s="10" t="str">
        <f aca="false">VLOOKUP(J768,RECATALOGANDO!A:C,2,0)</f>
        <v>SERVICIO DE GROOMING</v>
      </c>
      <c r="N768" s="12" t="str">
        <f aca="false">VLOOKUP(M768,RECATALOGANDO!B:C,2,0)</f>
        <v>VENTA DE SERVICIO</v>
      </c>
      <c r="O768" s="2" t="s">
        <v>39</v>
      </c>
    </row>
    <row r="769" customFormat="false" ht="13.8" hidden="false" customHeight="false" outlineLevel="0" collapsed="false">
      <c r="A769" s="8" t="n">
        <v>45378</v>
      </c>
      <c r="B769" s="9" t="n">
        <f aca="false">DAY(A769)</f>
        <v>27</v>
      </c>
      <c r="C769" s="9" t="n">
        <f aca="false">MONTH(A769)</f>
        <v>3</v>
      </c>
      <c r="D769" s="9" t="n">
        <f aca="false">YEAR(A769)</f>
        <v>2024</v>
      </c>
      <c r="E769" s="9" t="n">
        <f aca="false">WEEKDAY(A769,2)</f>
        <v>3</v>
      </c>
      <c r="F769" s="10" t="n">
        <f aca="false">WEEKNUM(A769,2) - WEEKNUM(DATE(YEAR(A769),MONTH(A769),1),2) + 1</f>
        <v>5</v>
      </c>
      <c r="G769" s="10"/>
      <c r="H769" s="11" t="n">
        <v>1080</v>
      </c>
      <c r="I769" s="12" t="s">
        <v>20</v>
      </c>
      <c r="J769" s="12" t="s">
        <v>47</v>
      </c>
      <c r="K769" s="12"/>
      <c r="L769" s="9" t="n">
        <f aca="false">L768+H769</f>
        <v>42052.55</v>
      </c>
      <c r="M769" s="10" t="str">
        <f aca="false">VLOOKUP(J769,RECATALOGANDO!A:C,2,0)</f>
        <v>SERVICIO DE PENSION</v>
      </c>
      <c r="N769" s="12" t="str">
        <f aca="false">VLOOKUP(M769,RECATALOGANDO!B:C,2,0)</f>
        <v>VENTA DE SERVICIO</v>
      </c>
      <c r="O769" s="2" t="s">
        <v>39</v>
      </c>
    </row>
    <row r="770" customFormat="false" ht="13.8" hidden="false" customHeight="false" outlineLevel="0" collapsed="false">
      <c r="A770" s="8" t="n">
        <v>45378</v>
      </c>
      <c r="B770" s="9" t="n">
        <f aca="false">DAY(A770)</f>
        <v>27</v>
      </c>
      <c r="C770" s="9" t="n">
        <f aca="false">MONTH(A770)</f>
        <v>3</v>
      </c>
      <c r="D770" s="9" t="n">
        <f aca="false">YEAR(A770)</f>
        <v>2024</v>
      </c>
      <c r="E770" s="9" t="n">
        <f aca="false">WEEKDAY(A770,2)</f>
        <v>3</v>
      </c>
      <c r="F770" s="10" t="n">
        <f aca="false">WEEKNUM(A770,2) - WEEKNUM(DATE(YEAR(A770),MONTH(A770),1),2) + 1</f>
        <v>5</v>
      </c>
      <c r="G770" s="10"/>
      <c r="H770" s="11" t="n">
        <v>1240</v>
      </c>
      <c r="I770" s="12" t="s">
        <v>15</v>
      </c>
      <c r="J770" s="12" t="s">
        <v>44</v>
      </c>
      <c r="K770" s="12"/>
      <c r="L770" s="9" t="n">
        <f aca="false">L769+H770</f>
        <v>43292.55</v>
      </c>
      <c r="M770" s="10" t="str">
        <f aca="false">VLOOKUP(J770,RECATALOGANDO!A:C,2,0)</f>
        <v>HONORARIOS MEDICOS</v>
      </c>
      <c r="N770" s="12" t="str">
        <f aca="false">VLOOKUP(M770,RECATALOGANDO!B:C,2,0)</f>
        <v>VENTA DE SERVICIO</v>
      </c>
      <c r="O770" s="2" t="s">
        <v>39</v>
      </c>
    </row>
    <row r="771" customFormat="false" ht="13.8" hidden="false" customHeight="false" outlineLevel="0" collapsed="false">
      <c r="A771" s="8" t="n">
        <v>45379</v>
      </c>
      <c r="B771" s="9" t="n">
        <f aca="false">DAY(A771)</f>
        <v>28</v>
      </c>
      <c r="C771" s="9" t="n">
        <f aca="false">MONTH(A771)</f>
        <v>3</v>
      </c>
      <c r="D771" s="9" t="n">
        <f aca="false">YEAR(A771)</f>
        <v>2024</v>
      </c>
      <c r="E771" s="9" t="n">
        <f aca="false">WEEKDAY(A771,2)</f>
        <v>4</v>
      </c>
      <c r="F771" s="10" t="n">
        <f aca="false">WEEKNUM(A771,2) - WEEKNUM(DATE(YEAR(A771),MONTH(A771),1),2) + 1</f>
        <v>5</v>
      </c>
      <c r="G771" s="10"/>
      <c r="H771" s="11" t="n">
        <v>5366.14</v>
      </c>
      <c r="I771" s="12" t="s">
        <v>15</v>
      </c>
      <c r="J771" s="12" t="s">
        <v>45</v>
      </c>
      <c r="K771" s="12"/>
      <c r="L771" s="9" t="n">
        <f aca="false">L770+H771</f>
        <v>48658.69</v>
      </c>
      <c r="M771" s="10" t="str">
        <f aca="false">VLOOKUP(J771,RECATALOGANDO!A:C,2,0)</f>
        <v>VENTA DE MEDICAMENTO</v>
      </c>
      <c r="N771" s="12" t="str">
        <f aca="false">VLOOKUP(M771,RECATALOGANDO!B:C,2,0)</f>
        <v>VENTA DE PRODUCTO</v>
      </c>
      <c r="O771" s="2" t="s">
        <v>39</v>
      </c>
    </row>
    <row r="772" customFormat="false" ht="13.8" hidden="false" customHeight="false" outlineLevel="0" collapsed="false">
      <c r="A772" s="8" t="n">
        <v>45383</v>
      </c>
      <c r="B772" s="9" t="n">
        <f aca="false">DAY(A772)</f>
        <v>1</v>
      </c>
      <c r="C772" s="9" t="n">
        <f aca="false">MONTH(A772)</f>
        <v>4</v>
      </c>
      <c r="D772" s="9" t="n">
        <f aca="false">YEAR(A772)</f>
        <v>2024</v>
      </c>
      <c r="E772" s="9" t="n">
        <f aca="false">WEEKDAY(A772,2)</f>
        <v>1</v>
      </c>
      <c r="F772" s="10" t="n">
        <f aca="false">WEEKNUM(A772,2) - WEEKNUM(DATE(YEAR(A772),MONTH(A772),1),2) + 1</f>
        <v>1</v>
      </c>
      <c r="G772" s="10"/>
      <c r="H772" s="11" t="n">
        <v>1190</v>
      </c>
      <c r="I772" s="22" t="s">
        <v>20</v>
      </c>
      <c r="J772" s="22" t="s">
        <v>51</v>
      </c>
      <c r="K772" s="12"/>
      <c r="L772" s="9" t="n">
        <f aca="false">H772</f>
        <v>1190</v>
      </c>
      <c r="M772" s="10" t="str">
        <f aca="false">VLOOKUP(J772,RECATALOGANDO!A:C,2,0)</f>
        <v>VENTA DE ALIMENTO</v>
      </c>
      <c r="N772" s="12" t="str">
        <f aca="false">VLOOKUP(M772,RECATALOGANDO!B:C,2,0)</f>
        <v>VENTA DE PRODUCTO</v>
      </c>
      <c r="O772" s="2" t="s">
        <v>39</v>
      </c>
    </row>
    <row r="773" customFormat="false" ht="13.8" hidden="false" customHeight="false" outlineLevel="0" collapsed="false">
      <c r="A773" s="8" t="n">
        <v>45383</v>
      </c>
      <c r="B773" s="9" t="n">
        <f aca="false">DAY(A773)</f>
        <v>1</v>
      </c>
      <c r="C773" s="9" t="n">
        <f aca="false">MONTH(A773)</f>
        <v>4</v>
      </c>
      <c r="D773" s="9" t="n">
        <f aca="false">YEAR(A773)</f>
        <v>2024</v>
      </c>
      <c r="E773" s="9" t="n">
        <f aca="false">WEEKDAY(A773,2)</f>
        <v>1</v>
      </c>
      <c r="F773" s="10" t="n">
        <f aca="false">WEEKNUM(A773,2) - WEEKNUM(DATE(YEAR(A773),MONTH(A773),1),2) + 1</f>
        <v>1</v>
      </c>
      <c r="G773" s="10"/>
      <c r="H773" s="11" t="n">
        <v>850</v>
      </c>
      <c r="I773" s="12" t="s">
        <v>20</v>
      </c>
      <c r="J773" s="22" t="s">
        <v>44</v>
      </c>
      <c r="K773" s="12"/>
      <c r="L773" s="9" t="n">
        <f aca="false">L772+H773</f>
        <v>2040</v>
      </c>
      <c r="M773" s="10" t="str">
        <f aca="false">VLOOKUP(J773,RECATALOGANDO!A:C,2,0)</f>
        <v>HONORARIOS MEDICOS</v>
      </c>
      <c r="N773" s="12" t="str">
        <f aca="false">VLOOKUP(M773,RECATALOGANDO!B:C,2,0)</f>
        <v>VENTA DE SERVICIO</v>
      </c>
      <c r="O773" s="2" t="s">
        <v>39</v>
      </c>
    </row>
    <row r="774" customFormat="false" ht="13.8" hidden="false" customHeight="false" outlineLevel="0" collapsed="false">
      <c r="A774" s="8" t="n">
        <v>45383</v>
      </c>
      <c r="B774" s="9" t="n">
        <f aca="false">DAY(A774)</f>
        <v>1</v>
      </c>
      <c r="C774" s="9" t="n">
        <f aca="false">MONTH(A774)</f>
        <v>4</v>
      </c>
      <c r="D774" s="9" t="n">
        <f aca="false">YEAR(A774)</f>
        <v>2024</v>
      </c>
      <c r="E774" s="9" t="n">
        <f aca="false">WEEKDAY(A774,2)</f>
        <v>1</v>
      </c>
      <c r="F774" s="10" t="n">
        <f aca="false">WEEKNUM(A774,2) - WEEKNUM(DATE(YEAR(A774),MONTH(A774),1),2) + 1</f>
        <v>1</v>
      </c>
      <c r="G774" s="10"/>
      <c r="H774" s="11" t="n">
        <v>1110</v>
      </c>
      <c r="I774" s="12" t="s">
        <v>20</v>
      </c>
      <c r="J774" s="22" t="s">
        <v>59</v>
      </c>
      <c r="K774" s="12"/>
      <c r="L774" s="9" t="n">
        <f aca="false">L773+H774</f>
        <v>3150</v>
      </c>
      <c r="M774" s="10" t="str">
        <f aca="false">VLOOKUP(J774,RECATALOGANDO!A:C,2,0)</f>
        <v>SERVICIO DE PENSION</v>
      </c>
      <c r="N774" s="12" t="str">
        <f aca="false">VLOOKUP(M774,RECATALOGANDO!B:C,2,0)</f>
        <v>VENTA DE SERVICIO</v>
      </c>
      <c r="O774" s="2" t="s">
        <v>39</v>
      </c>
    </row>
    <row r="775" customFormat="false" ht="13.8" hidden="false" customHeight="false" outlineLevel="0" collapsed="false">
      <c r="A775" s="8" t="n">
        <v>45383</v>
      </c>
      <c r="B775" s="9" t="n">
        <f aca="false">DAY(A775)</f>
        <v>1</v>
      </c>
      <c r="C775" s="9" t="n">
        <f aca="false">MONTH(A775)</f>
        <v>4</v>
      </c>
      <c r="D775" s="9" t="n">
        <f aca="false">YEAR(A775)</f>
        <v>2024</v>
      </c>
      <c r="E775" s="9" t="n">
        <f aca="false">WEEKDAY(A775,2)</f>
        <v>1</v>
      </c>
      <c r="F775" s="10" t="n">
        <f aca="false">WEEKNUM(A775,2) - WEEKNUM(DATE(YEAR(A775),MONTH(A775),1),2) + 1</f>
        <v>1</v>
      </c>
      <c r="G775" s="10"/>
      <c r="H775" s="11" t="n">
        <v>4260</v>
      </c>
      <c r="I775" s="12" t="s">
        <v>20</v>
      </c>
      <c r="J775" s="12" t="s">
        <v>59</v>
      </c>
      <c r="K775" s="12"/>
      <c r="L775" s="9" t="n">
        <f aca="false">L774+H775</f>
        <v>7410</v>
      </c>
      <c r="M775" s="10" t="str">
        <f aca="false">VLOOKUP(J775,RECATALOGANDO!A:C,2,0)</f>
        <v>SERVICIO DE PENSION</v>
      </c>
      <c r="N775" s="12" t="str">
        <f aca="false">VLOOKUP(M775,RECATALOGANDO!B:C,2,0)</f>
        <v>VENTA DE SERVICIO</v>
      </c>
      <c r="O775" s="2" t="s">
        <v>39</v>
      </c>
    </row>
    <row r="776" customFormat="false" ht="13.8" hidden="false" customHeight="false" outlineLevel="0" collapsed="false">
      <c r="A776" s="8" t="n">
        <v>45384</v>
      </c>
      <c r="B776" s="9" t="n">
        <f aca="false">DAY(A776)</f>
        <v>2</v>
      </c>
      <c r="C776" s="9" t="n">
        <f aca="false">MONTH(A776)</f>
        <v>4</v>
      </c>
      <c r="D776" s="9" t="n">
        <f aca="false">YEAR(A776)</f>
        <v>2024</v>
      </c>
      <c r="E776" s="9" t="n">
        <f aca="false">WEEKDAY(A776,2)</f>
        <v>2</v>
      </c>
      <c r="F776" s="10" t="n">
        <f aca="false">WEEKNUM(A776,2) - WEEKNUM(DATE(YEAR(A776),MONTH(A776),1),2) + 1</f>
        <v>1</v>
      </c>
      <c r="G776" s="10"/>
      <c r="H776" s="11" t="n">
        <v>3370</v>
      </c>
      <c r="I776" s="12" t="s">
        <v>20</v>
      </c>
      <c r="J776" s="22" t="s">
        <v>51</v>
      </c>
      <c r="K776" s="12"/>
      <c r="L776" s="9" t="n">
        <f aca="false">L775+H776</f>
        <v>10780</v>
      </c>
      <c r="M776" s="10" t="str">
        <f aca="false">VLOOKUP(J776,RECATALOGANDO!A:C,2,0)</f>
        <v>VENTA DE ALIMENTO</v>
      </c>
      <c r="N776" s="12" t="str">
        <f aca="false">VLOOKUP(M776,RECATALOGANDO!B:C,2,0)</f>
        <v>VENTA DE PRODUCTO</v>
      </c>
      <c r="O776" s="2" t="s">
        <v>39</v>
      </c>
    </row>
    <row r="777" customFormat="false" ht="13.8" hidden="false" customHeight="false" outlineLevel="0" collapsed="false">
      <c r="A777" s="8" t="n">
        <v>45385</v>
      </c>
      <c r="B777" s="9" t="n">
        <f aca="false">DAY(A777)</f>
        <v>3</v>
      </c>
      <c r="C777" s="9" t="n">
        <f aca="false">MONTH(A777)</f>
        <v>4</v>
      </c>
      <c r="D777" s="9" t="n">
        <f aca="false">YEAR(A777)</f>
        <v>2024</v>
      </c>
      <c r="E777" s="9" t="n">
        <f aca="false">WEEKDAY(A777,2)</f>
        <v>3</v>
      </c>
      <c r="F777" s="10" t="n">
        <f aca="false">WEEKNUM(A777,2) - WEEKNUM(DATE(YEAR(A777),MONTH(A777),1),2) + 1</f>
        <v>1</v>
      </c>
      <c r="G777" s="10"/>
      <c r="H777" s="11" t="n">
        <v>870</v>
      </c>
      <c r="I777" s="12" t="s">
        <v>20</v>
      </c>
      <c r="J777" s="22" t="s">
        <v>44</v>
      </c>
      <c r="K777" s="12"/>
      <c r="L777" s="9" t="n">
        <f aca="false">L776+H777</f>
        <v>11650</v>
      </c>
      <c r="M777" s="10" t="str">
        <f aca="false">VLOOKUP(J777,RECATALOGANDO!A:C,2,0)</f>
        <v>HONORARIOS MEDICOS</v>
      </c>
      <c r="N777" s="12" t="str">
        <f aca="false">VLOOKUP(M777,RECATALOGANDO!B:C,2,0)</f>
        <v>VENTA DE SERVICIO</v>
      </c>
      <c r="O777" s="2" t="s">
        <v>39</v>
      </c>
    </row>
    <row r="778" customFormat="false" ht="13.8" hidden="false" customHeight="false" outlineLevel="0" collapsed="false">
      <c r="A778" s="39" t="n">
        <v>45386</v>
      </c>
      <c r="B778" s="9" t="n">
        <f aca="false">DAY(A778)</f>
        <v>4</v>
      </c>
      <c r="C778" s="9" t="n">
        <f aca="false">MONTH(A778)</f>
        <v>4</v>
      </c>
      <c r="D778" s="9" t="n">
        <f aca="false">YEAR(A778)</f>
        <v>2024</v>
      </c>
      <c r="E778" s="9" t="n">
        <f aca="false">WEEKDAY(A778,2)</f>
        <v>4</v>
      </c>
      <c r="F778" s="10" t="n">
        <f aca="false">WEEKNUM(A778,2) - WEEKNUM(DATE(YEAR(A778),MONTH(A778),1),2) + 1</f>
        <v>1</v>
      </c>
      <c r="G778" s="10"/>
      <c r="H778" s="11" t="n">
        <v>180</v>
      </c>
      <c r="I778" s="22" t="s">
        <v>20</v>
      </c>
      <c r="J778" s="12" t="s">
        <v>53</v>
      </c>
      <c r="K778" s="12"/>
      <c r="L778" s="9" t="n">
        <f aca="false">L777+H778</f>
        <v>11830</v>
      </c>
      <c r="M778" s="10" t="str">
        <f aca="false">VLOOKUP(J778,RECATALOGANDO!A:C,2,0)</f>
        <v>SERVICIO DE GROOMING</v>
      </c>
      <c r="N778" s="12" t="str">
        <f aca="false">VLOOKUP(M778,RECATALOGANDO!B:C,2,0)</f>
        <v>VENTA DE SERVICIO</v>
      </c>
      <c r="O778" s="2" t="s">
        <v>39</v>
      </c>
    </row>
    <row r="779" customFormat="false" ht="13.8" hidden="false" customHeight="false" outlineLevel="0" collapsed="false">
      <c r="A779" s="39" t="n">
        <v>45388</v>
      </c>
      <c r="B779" s="9" t="n">
        <f aca="false">DAY(A779)</f>
        <v>6</v>
      </c>
      <c r="C779" s="9" t="n">
        <f aca="false">MONTH(A779)</f>
        <v>4</v>
      </c>
      <c r="D779" s="9" t="n">
        <f aca="false">YEAR(A779)</f>
        <v>2024</v>
      </c>
      <c r="E779" s="9" t="n">
        <f aca="false">WEEKDAY(A779,2)</f>
        <v>6</v>
      </c>
      <c r="F779" s="10" t="n">
        <f aca="false">WEEKNUM(A779,2) - WEEKNUM(DATE(YEAR(A779),MONTH(A779),1),2) + 1</f>
        <v>1</v>
      </c>
      <c r="G779" s="10"/>
      <c r="H779" s="11" t="n">
        <v>380</v>
      </c>
      <c r="I779" s="22" t="s">
        <v>15</v>
      </c>
      <c r="J779" s="22" t="s">
        <v>45</v>
      </c>
      <c r="K779" s="12"/>
      <c r="L779" s="9" t="n">
        <f aca="false">L778+H779</f>
        <v>12210</v>
      </c>
      <c r="M779" s="10" t="str">
        <f aca="false">VLOOKUP(J779,RECATALOGANDO!A:C,2,0)</f>
        <v>VENTA DE MEDICAMENTO</v>
      </c>
      <c r="N779" s="12" t="str">
        <f aca="false">VLOOKUP(M779,RECATALOGANDO!B:C,2,0)</f>
        <v>VENTA DE PRODUCTO</v>
      </c>
      <c r="O779" s="2" t="s">
        <v>39</v>
      </c>
    </row>
    <row r="780" customFormat="false" ht="13.8" hidden="false" customHeight="false" outlineLevel="0" collapsed="false">
      <c r="A780" s="39" t="n">
        <v>45389</v>
      </c>
      <c r="B780" s="9" t="n">
        <f aca="false">DAY(A780)</f>
        <v>7</v>
      </c>
      <c r="C780" s="9" t="n">
        <f aca="false">MONTH(A780)</f>
        <v>4</v>
      </c>
      <c r="D780" s="9" t="n">
        <f aca="false">YEAR(A780)</f>
        <v>2024</v>
      </c>
      <c r="E780" s="9" t="n">
        <f aca="false">WEEKDAY(A780,2)</f>
        <v>7</v>
      </c>
      <c r="F780" s="10" t="n">
        <f aca="false">WEEKNUM(A780,2) - WEEKNUM(DATE(YEAR(A780),MONTH(A780),1),2) + 1</f>
        <v>1</v>
      </c>
      <c r="G780" s="10"/>
      <c r="H780" s="11" t="n">
        <v>2649</v>
      </c>
      <c r="I780" s="22" t="s">
        <v>15</v>
      </c>
      <c r="J780" s="22" t="s">
        <v>51</v>
      </c>
      <c r="K780" s="12"/>
      <c r="L780" s="9" t="n">
        <f aca="false">L779+H780</f>
        <v>14859</v>
      </c>
      <c r="M780" s="10" t="str">
        <f aca="false">VLOOKUP(J780,RECATALOGANDO!A:C,2,0)</f>
        <v>VENTA DE ALIMENTO</v>
      </c>
      <c r="N780" s="12" t="str">
        <f aca="false">VLOOKUP(M780,RECATALOGANDO!B:C,2,0)</f>
        <v>VENTA DE PRODUCTO</v>
      </c>
      <c r="O780" s="2" t="s">
        <v>39</v>
      </c>
    </row>
    <row r="781" customFormat="false" ht="13.8" hidden="false" customHeight="false" outlineLevel="0" collapsed="false">
      <c r="A781" s="39" t="n">
        <v>45390</v>
      </c>
      <c r="B781" s="9" t="n">
        <f aca="false">DAY(A781)</f>
        <v>8</v>
      </c>
      <c r="C781" s="9" t="n">
        <f aca="false">MONTH(A781)</f>
        <v>4</v>
      </c>
      <c r="D781" s="9" t="n">
        <f aca="false">YEAR(A781)</f>
        <v>2024</v>
      </c>
      <c r="E781" s="9" t="n">
        <f aca="false">WEEKDAY(A781,2)</f>
        <v>1</v>
      </c>
      <c r="F781" s="10" t="n">
        <f aca="false">WEEKNUM(A781,2) - WEEKNUM(DATE(YEAR(A781),MONTH(A781),1),2) + 1</f>
        <v>2</v>
      </c>
      <c r="G781" s="10"/>
      <c r="H781" s="11" t="n">
        <v>499.99</v>
      </c>
      <c r="I781" s="22" t="s">
        <v>20</v>
      </c>
      <c r="J781" s="22" t="s">
        <v>45</v>
      </c>
      <c r="K781" s="12"/>
      <c r="L781" s="9" t="n">
        <f aca="false">L780+H781</f>
        <v>15358.99</v>
      </c>
      <c r="M781" s="10" t="str">
        <f aca="false">VLOOKUP(J781,RECATALOGANDO!A:C,2,0)</f>
        <v>VENTA DE MEDICAMENTO</v>
      </c>
      <c r="N781" s="12" t="str">
        <f aca="false">VLOOKUP(M781,RECATALOGANDO!B:C,2,0)</f>
        <v>VENTA DE PRODUCTO</v>
      </c>
      <c r="O781" s="2" t="s">
        <v>39</v>
      </c>
    </row>
    <row r="782" customFormat="false" ht="13.8" hidden="false" customHeight="false" outlineLevel="0" collapsed="false">
      <c r="A782" s="39" t="n">
        <v>45390</v>
      </c>
      <c r="B782" s="9" t="n">
        <f aca="false">DAY(A782)</f>
        <v>8</v>
      </c>
      <c r="C782" s="9" t="n">
        <f aca="false">MONTH(A782)</f>
        <v>4</v>
      </c>
      <c r="D782" s="9" t="n">
        <f aca="false">YEAR(A782)</f>
        <v>2024</v>
      </c>
      <c r="E782" s="9" t="n">
        <f aca="false">WEEKDAY(A782,2)</f>
        <v>1</v>
      </c>
      <c r="F782" s="10" t="n">
        <f aca="false">WEEKNUM(A782,2) - WEEKNUM(DATE(YEAR(A782),MONTH(A782),1),2) + 1</f>
        <v>2</v>
      </c>
      <c r="G782" s="10"/>
      <c r="H782" s="11" t="n">
        <v>3740</v>
      </c>
      <c r="I782" s="22" t="s">
        <v>20</v>
      </c>
      <c r="J782" s="22" t="s">
        <v>45</v>
      </c>
      <c r="K782" s="12"/>
      <c r="L782" s="9" t="n">
        <f aca="false">L781+H782</f>
        <v>19098.99</v>
      </c>
      <c r="M782" s="10" t="str">
        <f aca="false">VLOOKUP(J782,RECATALOGANDO!A:C,2,0)</f>
        <v>VENTA DE MEDICAMENTO</v>
      </c>
      <c r="N782" s="12" t="str">
        <f aca="false">VLOOKUP(M782,RECATALOGANDO!B:C,2,0)</f>
        <v>VENTA DE PRODUCTO</v>
      </c>
      <c r="O782" s="2" t="s">
        <v>39</v>
      </c>
    </row>
    <row r="783" customFormat="false" ht="13.8" hidden="false" customHeight="false" outlineLevel="0" collapsed="false">
      <c r="A783" s="39" t="n">
        <v>45390</v>
      </c>
      <c r="B783" s="9" t="n">
        <f aca="false">DAY(A783)</f>
        <v>8</v>
      </c>
      <c r="C783" s="9" t="n">
        <f aca="false">MONTH(A783)</f>
        <v>4</v>
      </c>
      <c r="D783" s="9" t="n">
        <f aca="false">YEAR(A783)</f>
        <v>2024</v>
      </c>
      <c r="E783" s="9" t="n">
        <f aca="false">WEEKDAY(A783,2)</f>
        <v>1</v>
      </c>
      <c r="F783" s="10" t="n">
        <f aca="false">WEEKNUM(A783,2) - WEEKNUM(DATE(YEAR(A783),MONTH(A783),1),2) + 1</f>
        <v>2</v>
      </c>
      <c r="G783" s="10"/>
      <c r="H783" s="11" t="n">
        <v>3890</v>
      </c>
      <c r="I783" s="22" t="s">
        <v>20</v>
      </c>
      <c r="J783" s="22" t="s">
        <v>45</v>
      </c>
      <c r="K783" s="12"/>
      <c r="L783" s="9" t="n">
        <f aca="false">L782+H783</f>
        <v>22988.99</v>
      </c>
      <c r="M783" s="10" t="str">
        <f aca="false">VLOOKUP(J783,RECATALOGANDO!A:C,2,0)</f>
        <v>VENTA DE MEDICAMENTO</v>
      </c>
      <c r="N783" s="12" t="str">
        <f aca="false">VLOOKUP(M783,RECATALOGANDO!B:C,2,0)</f>
        <v>VENTA DE PRODUCTO</v>
      </c>
      <c r="O783" s="2" t="s">
        <v>39</v>
      </c>
    </row>
    <row r="784" customFormat="false" ht="13.8" hidden="false" customHeight="false" outlineLevel="0" collapsed="false">
      <c r="A784" s="39" t="n">
        <v>45390</v>
      </c>
      <c r="B784" s="9" t="n">
        <f aca="false">DAY(A784)</f>
        <v>8</v>
      </c>
      <c r="C784" s="9" t="n">
        <f aca="false">MONTH(A784)</f>
        <v>4</v>
      </c>
      <c r="D784" s="9" t="n">
        <f aca="false">YEAR(A784)</f>
        <v>2024</v>
      </c>
      <c r="E784" s="9" t="n">
        <f aca="false">WEEKDAY(A784,2)</f>
        <v>1</v>
      </c>
      <c r="F784" s="10" t="n">
        <f aca="false">WEEKNUM(A784,2) - WEEKNUM(DATE(YEAR(A784),MONTH(A784),1),2) + 1</f>
        <v>2</v>
      </c>
      <c r="G784" s="10"/>
      <c r="H784" s="11" t="n">
        <v>615</v>
      </c>
      <c r="I784" s="22" t="s">
        <v>15</v>
      </c>
      <c r="J784" s="22" t="s">
        <v>44</v>
      </c>
      <c r="K784" s="12"/>
      <c r="L784" s="9" t="n">
        <f aca="false">L783+H784</f>
        <v>23603.99</v>
      </c>
      <c r="M784" s="10" t="str">
        <f aca="false">VLOOKUP(J784,RECATALOGANDO!A:C,2,0)</f>
        <v>HONORARIOS MEDICOS</v>
      </c>
      <c r="N784" s="12" t="str">
        <f aca="false">VLOOKUP(M784,RECATALOGANDO!B:C,2,0)</f>
        <v>VENTA DE SERVICIO</v>
      </c>
      <c r="O784" s="2" t="s">
        <v>39</v>
      </c>
    </row>
    <row r="785" customFormat="false" ht="13.8" hidden="false" customHeight="false" outlineLevel="0" collapsed="false">
      <c r="A785" s="39" t="n">
        <v>45390</v>
      </c>
      <c r="B785" s="9" t="n">
        <f aca="false">DAY(A785)</f>
        <v>8</v>
      </c>
      <c r="C785" s="9" t="n">
        <f aca="false">MONTH(A785)</f>
        <v>4</v>
      </c>
      <c r="D785" s="9" t="n">
        <f aca="false">YEAR(A785)</f>
        <v>2024</v>
      </c>
      <c r="E785" s="9" t="n">
        <f aca="false">WEEKDAY(A785,2)</f>
        <v>1</v>
      </c>
      <c r="F785" s="10" t="n">
        <f aca="false">WEEKNUM(A785,2) - WEEKNUM(DATE(YEAR(A785),MONTH(A785),1),2) + 1</f>
        <v>2</v>
      </c>
      <c r="G785" s="10"/>
      <c r="H785" s="11" t="n">
        <v>1607.92</v>
      </c>
      <c r="I785" s="22" t="s">
        <v>15</v>
      </c>
      <c r="J785" s="22" t="s">
        <v>54</v>
      </c>
      <c r="K785" s="12"/>
      <c r="L785" s="9" t="n">
        <f aca="false">L784+H785</f>
        <v>25211.91</v>
      </c>
      <c r="M785" s="10" t="str">
        <f aca="false">VLOOKUP(J785,RECATALOGANDO!A:C,2,0)</f>
        <v>SERVICIO DE LABORATORIO</v>
      </c>
      <c r="N785" s="12" t="str">
        <f aca="false">VLOOKUP(M785,RECATALOGANDO!B:C,2,0)</f>
        <v>VENTA DE SERVICIO</v>
      </c>
      <c r="O785" s="2" t="s">
        <v>39</v>
      </c>
    </row>
    <row r="786" customFormat="false" ht="13.8" hidden="false" customHeight="false" outlineLevel="0" collapsed="false">
      <c r="A786" s="39" t="n">
        <v>45390</v>
      </c>
      <c r="B786" s="9" t="n">
        <f aca="false">DAY(A786)</f>
        <v>8</v>
      </c>
      <c r="C786" s="9" t="n">
        <f aca="false">MONTH(A786)</f>
        <v>4</v>
      </c>
      <c r="D786" s="9" t="n">
        <f aca="false">YEAR(A786)</f>
        <v>2024</v>
      </c>
      <c r="E786" s="9" t="n">
        <f aca="false">WEEKDAY(A786,2)</f>
        <v>1</v>
      </c>
      <c r="F786" s="10" t="n">
        <f aca="false">WEEKNUM(A786,2) - WEEKNUM(DATE(YEAR(A786),MONTH(A786),1),2) + 1</f>
        <v>2</v>
      </c>
      <c r="G786" s="10"/>
      <c r="H786" s="11" t="n">
        <v>1930</v>
      </c>
      <c r="I786" s="22" t="s">
        <v>20</v>
      </c>
      <c r="J786" s="22" t="s">
        <v>56</v>
      </c>
      <c r="K786" s="12"/>
      <c r="L786" s="9" t="n">
        <f aca="false">L785+H786</f>
        <v>27141.91</v>
      </c>
      <c r="M786" s="10" t="str">
        <f aca="false">VLOOKUP(J786,RECATALOGANDO!A:C,2,0)</f>
        <v>SERVICIO DE IMAGEN</v>
      </c>
      <c r="N786" s="12" t="str">
        <f aca="false">VLOOKUP(M786,RECATALOGANDO!B:C,2,0)</f>
        <v>VENTA DE SERVICIO</v>
      </c>
      <c r="O786" s="2" t="s">
        <v>39</v>
      </c>
    </row>
    <row r="787" customFormat="false" ht="13.8" hidden="false" customHeight="false" outlineLevel="0" collapsed="false">
      <c r="A787" s="8" t="n">
        <v>45392</v>
      </c>
      <c r="B787" s="9" t="n">
        <f aca="false">DAY(A787)</f>
        <v>10</v>
      </c>
      <c r="C787" s="9" t="n">
        <f aca="false">MONTH(A787)</f>
        <v>4</v>
      </c>
      <c r="D787" s="9" t="n">
        <f aca="false">YEAR(A787)</f>
        <v>2024</v>
      </c>
      <c r="E787" s="9" t="n">
        <f aca="false">WEEKDAY(A787,2)</f>
        <v>3</v>
      </c>
      <c r="F787" s="10" t="n">
        <f aca="false">WEEKNUM(A787,2) - WEEKNUM(DATE(YEAR(A787),MONTH(A787),1),2) + 1</f>
        <v>2</v>
      </c>
      <c r="G787" s="10"/>
      <c r="H787" s="11" t="n">
        <v>770</v>
      </c>
      <c r="I787" s="22" t="s">
        <v>20</v>
      </c>
      <c r="J787" s="22" t="s">
        <v>45</v>
      </c>
      <c r="K787" s="12"/>
      <c r="L787" s="9" t="n">
        <f aca="false">L786+H787</f>
        <v>27911.91</v>
      </c>
      <c r="M787" s="10" t="str">
        <f aca="false">VLOOKUP(J787,RECATALOGANDO!A:C,2,0)</f>
        <v>VENTA DE MEDICAMENTO</v>
      </c>
      <c r="N787" s="12" t="str">
        <f aca="false">VLOOKUP(M787,RECATALOGANDO!B:C,2,0)</f>
        <v>VENTA DE PRODUCTO</v>
      </c>
      <c r="O787" s="2" t="s">
        <v>39</v>
      </c>
    </row>
    <row r="788" customFormat="false" ht="13.8" hidden="false" customHeight="false" outlineLevel="0" collapsed="false">
      <c r="A788" s="8" t="n">
        <v>45392</v>
      </c>
      <c r="B788" s="9" t="n">
        <f aca="false">DAY(A788)</f>
        <v>10</v>
      </c>
      <c r="C788" s="9" t="n">
        <f aca="false">MONTH(A788)</f>
        <v>4</v>
      </c>
      <c r="D788" s="9" t="n">
        <f aca="false">YEAR(A788)</f>
        <v>2024</v>
      </c>
      <c r="E788" s="9" t="n">
        <f aca="false">WEEKDAY(A788,2)</f>
        <v>3</v>
      </c>
      <c r="F788" s="10" t="n">
        <f aca="false">WEEKNUM(A788,2) - WEEKNUM(DATE(YEAR(A788),MONTH(A788),1),2) + 1</f>
        <v>2</v>
      </c>
      <c r="G788" s="10"/>
      <c r="H788" s="11" t="n">
        <v>1100</v>
      </c>
      <c r="I788" s="22" t="s">
        <v>20</v>
      </c>
      <c r="J788" s="22" t="s">
        <v>44</v>
      </c>
      <c r="K788" s="12"/>
      <c r="L788" s="9" t="n">
        <f aca="false">L787+H788</f>
        <v>29011.91</v>
      </c>
      <c r="M788" s="10" t="str">
        <f aca="false">VLOOKUP(J788,RECATALOGANDO!A:C,2,0)</f>
        <v>HONORARIOS MEDICOS</v>
      </c>
      <c r="N788" s="12" t="str">
        <f aca="false">VLOOKUP(M788,RECATALOGANDO!B:C,2,0)</f>
        <v>VENTA DE SERVICIO</v>
      </c>
      <c r="O788" s="2" t="s">
        <v>39</v>
      </c>
    </row>
    <row r="789" customFormat="false" ht="13.8" hidden="false" customHeight="false" outlineLevel="0" collapsed="false">
      <c r="A789" s="8" t="n">
        <v>45393</v>
      </c>
      <c r="B789" s="9" t="n">
        <f aca="false">DAY(A789)</f>
        <v>11</v>
      </c>
      <c r="C789" s="9" t="n">
        <f aca="false">MONTH(A789)</f>
        <v>4</v>
      </c>
      <c r="D789" s="9" t="n">
        <f aca="false">YEAR(A789)</f>
        <v>2024</v>
      </c>
      <c r="E789" s="9" t="n">
        <f aca="false">WEEKDAY(A789,2)</f>
        <v>4</v>
      </c>
      <c r="F789" s="10" t="n">
        <f aca="false">WEEKNUM(A789,2) - WEEKNUM(DATE(YEAR(A789),MONTH(A789),1),2) + 1</f>
        <v>2</v>
      </c>
      <c r="G789" s="10"/>
      <c r="H789" s="11" t="n">
        <v>170</v>
      </c>
      <c r="I789" s="22" t="s">
        <v>15</v>
      </c>
      <c r="J789" s="22" t="s">
        <v>53</v>
      </c>
      <c r="K789" s="12"/>
      <c r="L789" s="9" t="n">
        <f aca="false">L788+H789</f>
        <v>29181.91</v>
      </c>
      <c r="M789" s="10" t="str">
        <f aca="false">VLOOKUP(J789,RECATALOGANDO!A:C,2,0)</f>
        <v>SERVICIO DE GROOMING</v>
      </c>
      <c r="N789" s="12" t="str">
        <f aca="false">VLOOKUP(M789,RECATALOGANDO!B:C,2,0)</f>
        <v>VENTA DE SERVICIO</v>
      </c>
      <c r="O789" s="2" t="s">
        <v>39</v>
      </c>
    </row>
    <row r="790" customFormat="false" ht="13.8" hidden="false" customHeight="false" outlineLevel="0" collapsed="false">
      <c r="A790" s="8" t="n">
        <v>45393</v>
      </c>
      <c r="B790" s="9" t="n">
        <f aca="false">DAY(A790)</f>
        <v>11</v>
      </c>
      <c r="C790" s="9" t="n">
        <f aca="false">MONTH(A790)</f>
        <v>4</v>
      </c>
      <c r="D790" s="9" t="n">
        <f aca="false">YEAR(A790)</f>
        <v>2024</v>
      </c>
      <c r="E790" s="9" t="n">
        <f aca="false">WEEKDAY(A790,2)</f>
        <v>4</v>
      </c>
      <c r="F790" s="10" t="n">
        <f aca="false">WEEKNUM(A790,2) - WEEKNUM(DATE(YEAR(A790),MONTH(A790),1),2) + 1</f>
        <v>2</v>
      </c>
      <c r="G790" s="10"/>
      <c r="H790" s="11" t="n">
        <v>300</v>
      </c>
      <c r="I790" s="22" t="s">
        <v>15</v>
      </c>
      <c r="J790" s="22" t="s">
        <v>53</v>
      </c>
      <c r="K790" s="12"/>
      <c r="L790" s="9" t="n">
        <f aca="false">L789+H790</f>
        <v>29481.91</v>
      </c>
      <c r="M790" s="10" t="str">
        <f aca="false">VLOOKUP(J790,RECATALOGANDO!A:C,2,0)</f>
        <v>SERVICIO DE GROOMING</v>
      </c>
      <c r="N790" s="12" t="str">
        <f aca="false">VLOOKUP(M790,RECATALOGANDO!B:C,2,0)</f>
        <v>VENTA DE SERVICIO</v>
      </c>
      <c r="O790" s="2" t="s">
        <v>39</v>
      </c>
    </row>
    <row r="791" customFormat="false" ht="13.8" hidden="false" customHeight="false" outlineLevel="0" collapsed="false">
      <c r="A791" s="8" t="n">
        <v>45394</v>
      </c>
      <c r="B791" s="9" t="n">
        <f aca="false">DAY(A791)</f>
        <v>12</v>
      </c>
      <c r="C791" s="9" t="n">
        <f aca="false">MONTH(A791)</f>
        <v>4</v>
      </c>
      <c r="D791" s="9" t="n">
        <f aca="false">YEAR(A791)</f>
        <v>2024</v>
      </c>
      <c r="E791" s="9" t="n">
        <f aca="false">WEEKDAY(A791,2)</f>
        <v>5</v>
      </c>
      <c r="F791" s="10" t="n">
        <f aca="false">WEEKNUM(A791,2) - WEEKNUM(DATE(YEAR(A791),MONTH(A791),1),2) + 1</f>
        <v>2</v>
      </c>
      <c r="G791" s="10"/>
      <c r="H791" s="11" t="n">
        <v>1124</v>
      </c>
      <c r="I791" s="22" t="s">
        <v>20</v>
      </c>
      <c r="J791" s="12" t="s">
        <v>45</v>
      </c>
      <c r="K791" s="12"/>
      <c r="L791" s="9" t="n">
        <f aca="false">L790+H791</f>
        <v>30605.91</v>
      </c>
      <c r="M791" s="10" t="str">
        <f aca="false">VLOOKUP(J791,RECATALOGANDO!A:C,2,0)</f>
        <v>VENTA DE MEDICAMENTO</v>
      </c>
      <c r="N791" s="12" t="str">
        <f aca="false">VLOOKUP(M791,RECATALOGANDO!B:C,2,0)</f>
        <v>VENTA DE PRODUCTO</v>
      </c>
      <c r="O791" s="2" t="s">
        <v>39</v>
      </c>
    </row>
    <row r="792" customFormat="false" ht="13.8" hidden="false" customHeight="false" outlineLevel="0" collapsed="false">
      <c r="A792" s="39" t="n">
        <v>45396</v>
      </c>
      <c r="B792" s="9" t="n">
        <f aca="false">DAY(A792)</f>
        <v>14</v>
      </c>
      <c r="C792" s="9" t="n">
        <f aca="false">MONTH(A792)</f>
        <v>4</v>
      </c>
      <c r="D792" s="9" t="n">
        <f aca="false">YEAR(A792)</f>
        <v>2024</v>
      </c>
      <c r="E792" s="9" t="n">
        <f aca="false">WEEKDAY(A792,2)</f>
        <v>7</v>
      </c>
      <c r="F792" s="10" t="n">
        <f aca="false">WEEKNUM(A792,2) - WEEKNUM(DATE(YEAR(A792),MONTH(A792),1),2) + 1</f>
        <v>2</v>
      </c>
      <c r="G792" s="10"/>
      <c r="H792" s="11" t="n">
        <v>1773.7</v>
      </c>
      <c r="I792" s="22" t="s">
        <v>15</v>
      </c>
      <c r="J792" s="22" t="s">
        <v>51</v>
      </c>
      <c r="K792" s="12"/>
      <c r="L792" s="9" t="n">
        <f aca="false">L791+H792</f>
        <v>32379.61</v>
      </c>
      <c r="M792" s="10" t="str">
        <f aca="false">VLOOKUP(J792,RECATALOGANDO!A:C,2,0)</f>
        <v>VENTA DE ALIMENTO</v>
      </c>
      <c r="N792" s="12" t="str">
        <f aca="false">VLOOKUP(M792,RECATALOGANDO!B:C,2,0)</f>
        <v>VENTA DE PRODUCTO</v>
      </c>
      <c r="O792" s="2" t="s">
        <v>39</v>
      </c>
    </row>
    <row r="793" customFormat="false" ht="13.8" hidden="false" customHeight="false" outlineLevel="0" collapsed="false">
      <c r="A793" s="39" t="n">
        <v>45398</v>
      </c>
      <c r="B793" s="9" t="n">
        <f aca="false">DAY(A793)</f>
        <v>16</v>
      </c>
      <c r="C793" s="9" t="n">
        <f aca="false">MONTH(A793)</f>
        <v>4</v>
      </c>
      <c r="D793" s="9" t="n">
        <f aca="false">YEAR(A793)</f>
        <v>2024</v>
      </c>
      <c r="E793" s="9" t="n">
        <f aca="false">WEEKDAY(A793,2)</f>
        <v>2</v>
      </c>
      <c r="F793" s="10" t="n">
        <f aca="false">WEEKNUM(A793,2) - WEEKNUM(DATE(YEAR(A793),MONTH(A793),1),2) + 1</f>
        <v>3</v>
      </c>
      <c r="G793" s="10"/>
      <c r="H793" s="11" t="n">
        <v>2900</v>
      </c>
      <c r="I793" s="22" t="s">
        <v>15</v>
      </c>
      <c r="J793" s="22" t="s">
        <v>51</v>
      </c>
      <c r="K793" s="12"/>
      <c r="L793" s="9" t="n">
        <f aca="false">L792+H793</f>
        <v>35279.61</v>
      </c>
      <c r="M793" s="10" t="str">
        <f aca="false">VLOOKUP(J793,RECATALOGANDO!A:C,2,0)</f>
        <v>VENTA DE ALIMENTO</v>
      </c>
      <c r="N793" s="12" t="str">
        <f aca="false">VLOOKUP(M793,RECATALOGANDO!B:C,2,0)</f>
        <v>VENTA DE PRODUCTO</v>
      </c>
      <c r="O793" s="2" t="s">
        <v>39</v>
      </c>
    </row>
    <row r="794" customFormat="false" ht="13.8" hidden="false" customHeight="false" outlineLevel="0" collapsed="false">
      <c r="A794" s="39" t="n">
        <v>45398</v>
      </c>
      <c r="B794" s="9" t="n">
        <f aca="false">DAY(A794)</f>
        <v>16</v>
      </c>
      <c r="C794" s="9" t="n">
        <f aca="false">MONTH(A794)</f>
        <v>4</v>
      </c>
      <c r="D794" s="9" t="n">
        <f aca="false">YEAR(A794)</f>
        <v>2024</v>
      </c>
      <c r="E794" s="9" t="n">
        <f aca="false">WEEKDAY(A794,2)</f>
        <v>2</v>
      </c>
      <c r="F794" s="10" t="n">
        <f aca="false">WEEKNUM(A794,2) - WEEKNUM(DATE(YEAR(A794),MONTH(A794),1),2) + 1</f>
        <v>3</v>
      </c>
      <c r="G794" s="10"/>
      <c r="H794" s="11" t="n">
        <v>260</v>
      </c>
      <c r="I794" s="22" t="s">
        <v>15</v>
      </c>
      <c r="J794" s="22" t="s">
        <v>59</v>
      </c>
      <c r="K794" s="12"/>
      <c r="L794" s="9" t="n">
        <f aca="false">L793+H794</f>
        <v>35539.61</v>
      </c>
      <c r="M794" s="10" t="str">
        <f aca="false">VLOOKUP(J794,RECATALOGANDO!A:C,2,0)</f>
        <v>SERVICIO DE PENSION</v>
      </c>
      <c r="N794" s="12" t="str">
        <f aca="false">VLOOKUP(M794,RECATALOGANDO!B:C,2,0)</f>
        <v>VENTA DE SERVICIO</v>
      </c>
      <c r="O794" s="2" t="s">
        <v>39</v>
      </c>
    </row>
    <row r="795" customFormat="false" ht="13.8" hidden="false" customHeight="false" outlineLevel="0" collapsed="false">
      <c r="A795" s="39" t="n">
        <v>45398</v>
      </c>
      <c r="B795" s="9" t="n">
        <f aca="false">DAY(A795)</f>
        <v>16</v>
      </c>
      <c r="C795" s="9" t="n">
        <f aca="false">MONTH(A795)</f>
        <v>4</v>
      </c>
      <c r="D795" s="9" t="n">
        <f aca="false">YEAR(A795)</f>
        <v>2024</v>
      </c>
      <c r="E795" s="9" t="n">
        <f aca="false">WEEKDAY(A795,2)</f>
        <v>2</v>
      </c>
      <c r="F795" s="10" t="n">
        <f aca="false">WEEKNUM(A795,2) - WEEKNUM(DATE(YEAR(A795),MONTH(A795),1),2) + 1</f>
        <v>3</v>
      </c>
      <c r="G795" s="10"/>
      <c r="H795" s="11" t="n">
        <v>476.2</v>
      </c>
      <c r="I795" s="22" t="s">
        <v>15</v>
      </c>
      <c r="J795" s="22" t="s">
        <v>54</v>
      </c>
      <c r="K795" s="12"/>
      <c r="L795" s="9" t="n">
        <f aca="false">L794+H795</f>
        <v>36015.81</v>
      </c>
      <c r="M795" s="10" t="str">
        <f aca="false">VLOOKUP(J795,RECATALOGANDO!A:C,2,0)</f>
        <v>SERVICIO DE LABORATORIO</v>
      </c>
      <c r="N795" s="12" t="str">
        <f aca="false">VLOOKUP(M795,RECATALOGANDO!B:C,2,0)</f>
        <v>VENTA DE SERVICIO</v>
      </c>
      <c r="O795" s="2" t="s">
        <v>39</v>
      </c>
    </row>
    <row r="796" customFormat="false" ht="13.8" hidden="false" customHeight="false" outlineLevel="0" collapsed="false">
      <c r="A796" s="8" t="n">
        <v>45399</v>
      </c>
      <c r="B796" s="9" t="n">
        <f aca="false">DAY(A796)</f>
        <v>17</v>
      </c>
      <c r="C796" s="9" t="n">
        <f aca="false">MONTH(A796)</f>
        <v>4</v>
      </c>
      <c r="D796" s="9" t="n">
        <f aca="false">YEAR(A796)</f>
        <v>2024</v>
      </c>
      <c r="E796" s="9" t="n">
        <f aca="false">WEEKDAY(A796,2)</f>
        <v>3</v>
      </c>
      <c r="F796" s="10" t="n">
        <f aca="false">WEEKNUM(A796,2) - WEEKNUM(DATE(YEAR(A796),MONTH(A796),1),2) + 1</f>
        <v>3</v>
      </c>
      <c r="G796" s="10"/>
      <c r="H796" s="11" t="n">
        <v>1686.5</v>
      </c>
      <c r="I796" s="22" t="s">
        <v>15</v>
      </c>
      <c r="J796" s="22" t="s">
        <v>45</v>
      </c>
      <c r="K796" s="12"/>
      <c r="L796" s="9" t="n">
        <f aca="false">L795+H796</f>
        <v>37702.31</v>
      </c>
      <c r="M796" s="10" t="str">
        <f aca="false">VLOOKUP(J796,RECATALOGANDO!A:C,2,0)</f>
        <v>VENTA DE MEDICAMENTO</v>
      </c>
      <c r="N796" s="12" t="str">
        <f aca="false">VLOOKUP(M796,RECATALOGANDO!B:C,2,0)</f>
        <v>VENTA DE PRODUCTO</v>
      </c>
      <c r="O796" s="2" t="s">
        <v>39</v>
      </c>
    </row>
    <row r="797" customFormat="false" ht="13.8" hidden="false" customHeight="false" outlineLevel="0" collapsed="false">
      <c r="A797" s="8" t="n">
        <v>45399</v>
      </c>
      <c r="B797" s="9" t="n">
        <f aca="false">DAY(A797)</f>
        <v>17</v>
      </c>
      <c r="C797" s="9" t="n">
        <f aca="false">MONTH(A797)</f>
        <v>4</v>
      </c>
      <c r="D797" s="9" t="n">
        <f aca="false">YEAR(A797)</f>
        <v>2024</v>
      </c>
      <c r="E797" s="9" t="n">
        <f aca="false">WEEKDAY(A797,2)</f>
        <v>3</v>
      </c>
      <c r="F797" s="10" t="n">
        <f aca="false">WEEKNUM(A797,2) - WEEKNUM(DATE(YEAR(A797),MONTH(A797),1),2) + 1</f>
        <v>3</v>
      </c>
      <c r="G797" s="10"/>
      <c r="H797" s="11" t="n">
        <v>2540</v>
      </c>
      <c r="I797" s="22" t="s">
        <v>20</v>
      </c>
      <c r="J797" s="12" t="s">
        <v>45</v>
      </c>
      <c r="K797" s="12"/>
      <c r="L797" s="9" t="n">
        <f aca="false">L796+H797</f>
        <v>40242.31</v>
      </c>
      <c r="M797" s="10" t="str">
        <f aca="false">VLOOKUP(J797,RECATALOGANDO!A:C,2,0)</f>
        <v>VENTA DE MEDICAMENTO</v>
      </c>
      <c r="N797" s="12" t="str">
        <f aca="false">VLOOKUP(M797,RECATALOGANDO!B:C,2,0)</f>
        <v>VENTA DE PRODUCTO</v>
      </c>
      <c r="O797" s="2" t="s">
        <v>39</v>
      </c>
    </row>
    <row r="798" customFormat="false" ht="13.8" hidden="false" customHeight="false" outlineLevel="0" collapsed="false">
      <c r="A798" s="8" t="n">
        <v>45399</v>
      </c>
      <c r="B798" s="9" t="n">
        <f aca="false">DAY(A798)</f>
        <v>17</v>
      </c>
      <c r="C798" s="9" t="n">
        <f aca="false">MONTH(A798)</f>
        <v>4</v>
      </c>
      <c r="D798" s="9" t="n">
        <f aca="false">YEAR(A798)</f>
        <v>2024</v>
      </c>
      <c r="E798" s="9" t="n">
        <f aca="false">WEEKDAY(A798,2)</f>
        <v>3</v>
      </c>
      <c r="F798" s="10" t="n">
        <f aca="false">WEEKNUM(A798,2) - WEEKNUM(DATE(YEAR(A798),MONTH(A798),1),2) + 1</f>
        <v>3</v>
      </c>
      <c r="G798" s="10"/>
      <c r="H798" s="11" t="n">
        <v>370</v>
      </c>
      <c r="I798" s="22" t="s">
        <v>20</v>
      </c>
      <c r="J798" s="12" t="s">
        <v>53</v>
      </c>
      <c r="K798" s="12"/>
      <c r="L798" s="9" t="n">
        <f aca="false">L797+H798</f>
        <v>40612.31</v>
      </c>
      <c r="M798" s="10" t="str">
        <f aca="false">VLOOKUP(J798,RECATALOGANDO!A:C,2,0)</f>
        <v>SERVICIO DE GROOMING</v>
      </c>
      <c r="N798" s="12" t="str">
        <f aca="false">VLOOKUP(M798,RECATALOGANDO!B:C,2,0)</f>
        <v>VENTA DE SERVICIO</v>
      </c>
      <c r="O798" s="2" t="s">
        <v>39</v>
      </c>
    </row>
    <row r="799" customFormat="false" ht="13.8" hidden="false" customHeight="false" outlineLevel="0" collapsed="false">
      <c r="A799" s="8" t="n">
        <v>45399</v>
      </c>
      <c r="B799" s="9" t="n">
        <f aca="false">DAY(A799)</f>
        <v>17</v>
      </c>
      <c r="C799" s="9" t="n">
        <f aca="false">MONTH(A799)</f>
        <v>4</v>
      </c>
      <c r="D799" s="9" t="n">
        <f aca="false">YEAR(A799)</f>
        <v>2024</v>
      </c>
      <c r="E799" s="9" t="n">
        <f aca="false">WEEKDAY(A799,2)</f>
        <v>3</v>
      </c>
      <c r="F799" s="10" t="n">
        <f aca="false">WEEKNUM(A799,2) - WEEKNUM(DATE(YEAR(A799),MONTH(A799),1),2) + 1</f>
        <v>3</v>
      </c>
      <c r="G799" s="10"/>
      <c r="H799" s="11" t="n">
        <v>1089</v>
      </c>
      <c r="I799" s="22" t="s">
        <v>20</v>
      </c>
      <c r="J799" s="12" t="s">
        <v>44</v>
      </c>
      <c r="K799" s="12"/>
      <c r="L799" s="9" t="n">
        <f aca="false">L798+H799</f>
        <v>41701.31</v>
      </c>
      <c r="M799" s="10" t="str">
        <f aca="false">VLOOKUP(J799,RECATALOGANDO!A:C,2,0)</f>
        <v>HONORARIOS MEDICOS</v>
      </c>
      <c r="N799" s="12" t="str">
        <f aca="false">VLOOKUP(M799,RECATALOGANDO!B:C,2,0)</f>
        <v>VENTA DE SERVICIO</v>
      </c>
      <c r="O799" s="2" t="s">
        <v>39</v>
      </c>
    </row>
    <row r="800" customFormat="false" ht="13.8" hidden="false" customHeight="false" outlineLevel="0" collapsed="false">
      <c r="A800" s="8" t="n">
        <v>45400</v>
      </c>
      <c r="B800" s="9" t="n">
        <f aca="false">DAY(A800)</f>
        <v>18</v>
      </c>
      <c r="C800" s="9" t="n">
        <f aca="false">MONTH(A800)</f>
        <v>4</v>
      </c>
      <c r="D800" s="9" t="n">
        <f aca="false">YEAR(A800)</f>
        <v>2024</v>
      </c>
      <c r="E800" s="9" t="n">
        <f aca="false">WEEKDAY(A800,2)</f>
        <v>4</v>
      </c>
      <c r="F800" s="10" t="n">
        <f aca="false">WEEKNUM(A800,2) - WEEKNUM(DATE(YEAR(A800),MONTH(A800),1),2) + 1</f>
        <v>3</v>
      </c>
      <c r="G800" s="10"/>
      <c r="H800" s="11" t="n">
        <v>1169</v>
      </c>
      <c r="I800" s="22" t="s">
        <v>20</v>
      </c>
      <c r="J800" s="12" t="s">
        <v>51</v>
      </c>
      <c r="K800" s="12"/>
      <c r="L800" s="9" t="n">
        <f aca="false">L799+H800</f>
        <v>42870.31</v>
      </c>
      <c r="M800" s="10" t="str">
        <f aca="false">VLOOKUP(J800,RECATALOGANDO!A:C,2,0)</f>
        <v>VENTA DE ALIMENTO</v>
      </c>
      <c r="N800" s="12" t="str">
        <f aca="false">VLOOKUP(M800,RECATALOGANDO!B:C,2,0)</f>
        <v>VENTA DE PRODUCTO</v>
      </c>
      <c r="O800" s="2" t="s">
        <v>39</v>
      </c>
    </row>
    <row r="801" customFormat="false" ht="13.8" hidden="false" customHeight="false" outlineLevel="0" collapsed="false">
      <c r="A801" s="8" t="n">
        <v>45400</v>
      </c>
      <c r="B801" s="9" t="n">
        <f aca="false">DAY(A801)</f>
        <v>18</v>
      </c>
      <c r="C801" s="9" t="n">
        <f aca="false">MONTH(A801)</f>
        <v>4</v>
      </c>
      <c r="D801" s="9" t="n">
        <f aca="false">YEAR(A801)</f>
        <v>2024</v>
      </c>
      <c r="E801" s="9" t="n">
        <f aca="false">WEEKDAY(A801,2)</f>
        <v>4</v>
      </c>
      <c r="F801" s="10" t="n">
        <f aca="false">WEEKNUM(A801,2) - WEEKNUM(DATE(YEAR(A801),MONTH(A801),1),2) + 1</f>
        <v>3</v>
      </c>
      <c r="G801" s="10"/>
      <c r="H801" s="11" t="n">
        <v>1510</v>
      </c>
      <c r="I801" s="22" t="s">
        <v>20</v>
      </c>
      <c r="J801" s="12" t="s">
        <v>45</v>
      </c>
      <c r="K801" s="12"/>
      <c r="L801" s="9" t="n">
        <f aca="false">L800+H801</f>
        <v>44380.31</v>
      </c>
      <c r="M801" s="10" t="str">
        <f aca="false">VLOOKUP(J801,RECATALOGANDO!A:C,2,0)</f>
        <v>VENTA DE MEDICAMENTO</v>
      </c>
      <c r="N801" s="12" t="str">
        <f aca="false">VLOOKUP(M801,RECATALOGANDO!B:C,2,0)</f>
        <v>VENTA DE PRODUCTO</v>
      </c>
      <c r="O801" s="2" t="s">
        <v>39</v>
      </c>
    </row>
    <row r="802" customFormat="false" ht="13.8" hidden="false" customHeight="false" outlineLevel="0" collapsed="false">
      <c r="A802" s="8" t="n">
        <v>45404</v>
      </c>
      <c r="B802" s="9" t="n">
        <f aca="false">DAY(A802)</f>
        <v>22</v>
      </c>
      <c r="C802" s="9" t="n">
        <f aca="false">MONTH(A802)</f>
        <v>4</v>
      </c>
      <c r="D802" s="9" t="n">
        <f aca="false">YEAR(A802)</f>
        <v>2024</v>
      </c>
      <c r="E802" s="9" t="n">
        <f aca="false">WEEKDAY(A802,2)</f>
        <v>1</v>
      </c>
      <c r="F802" s="10" t="n">
        <f aca="false">WEEKNUM(A802,2) - WEEKNUM(DATE(YEAR(A802),MONTH(A802),1),2) + 1</f>
        <v>4</v>
      </c>
      <c r="G802" s="10"/>
      <c r="H802" s="11" t="n">
        <v>240</v>
      </c>
      <c r="I802" s="22" t="s">
        <v>20</v>
      </c>
      <c r="J802" s="12" t="s">
        <v>44</v>
      </c>
      <c r="K802" s="12"/>
      <c r="L802" s="9" t="n">
        <f aca="false">L801+H802</f>
        <v>44620.31</v>
      </c>
      <c r="M802" s="10" t="str">
        <f aca="false">VLOOKUP(J802,RECATALOGANDO!A:C,2,0)</f>
        <v>HONORARIOS MEDICOS</v>
      </c>
      <c r="N802" s="12" t="str">
        <f aca="false">VLOOKUP(M802,RECATALOGANDO!B:C,2,0)</f>
        <v>VENTA DE SERVICIO</v>
      </c>
      <c r="O802" s="2" t="s">
        <v>39</v>
      </c>
    </row>
    <row r="803" customFormat="false" ht="13.8" hidden="false" customHeight="false" outlineLevel="0" collapsed="false">
      <c r="A803" s="8" t="n">
        <v>45404</v>
      </c>
      <c r="B803" s="9" t="n">
        <f aca="false">DAY(A803)</f>
        <v>22</v>
      </c>
      <c r="C803" s="9" t="n">
        <f aca="false">MONTH(A803)</f>
        <v>4</v>
      </c>
      <c r="D803" s="9" t="n">
        <f aca="false">YEAR(A803)</f>
        <v>2024</v>
      </c>
      <c r="E803" s="9" t="n">
        <f aca="false">WEEKDAY(A803,2)</f>
        <v>1</v>
      </c>
      <c r="F803" s="10" t="n">
        <f aca="false">WEEKNUM(A803,2) - WEEKNUM(DATE(YEAR(A803),MONTH(A803),1),2) + 1</f>
        <v>4</v>
      </c>
      <c r="G803" s="10"/>
      <c r="H803" s="11" t="n">
        <v>255</v>
      </c>
      <c r="I803" s="22" t="s">
        <v>20</v>
      </c>
      <c r="J803" s="12" t="s">
        <v>53</v>
      </c>
      <c r="K803" s="12"/>
      <c r="L803" s="9" t="n">
        <f aca="false">L802+H803</f>
        <v>44875.31</v>
      </c>
      <c r="M803" s="10" t="str">
        <f aca="false">VLOOKUP(J803,RECATALOGANDO!A:C,2,0)</f>
        <v>SERVICIO DE GROOMING</v>
      </c>
      <c r="N803" s="12" t="str">
        <f aca="false">VLOOKUP(M803,RECATALOGANDO!B:C,2,0)</f>
        <v>VENTA DE SERVICIO</v>
      </c>
      <c r="O803" s="2" t="s">
        <v>39</v>
      </c>
    </row>
    <row r="804" customFormat="false" ht="13.8" hidden="false" customHeight="false" outlineLevel="0" collapsed="false">
      <c r="A804" s="8" t="n">
        <v>45404</v>
      </c>
      <c r="B804" s="9" t="n">
        <f aca="false">DAY(A804)</f>
        <v>22</v>
      </c>
      <c r="C804" s="9" t="n">
        <f aca="false">MONTH(A804)</f>
        <v>4</v>
      </c>
      <c r="D804" s="9" t="n">
        <f aca="false">YEAR(A804)</f>
        <v>2024</v>
      </c>
      <c r="E804" s="9" t="n">
        <f aca="false">WEEKDAY(A804,2)</f>
        <v>1</v>
      </c>
      <c r="F804" s="10" t="n">
        <f aca="false">WEEKNUM(A804,2) - WEEKNUM(DATE(YEAR(A804),MONTH(A804),1),2) + 1</f>
        <v>4</v>
      </c>
      <c r="G804" s="10"/>
      <c r="H804" s="11" t="n">
        <v>1650</v>
      </c>
      <c r="I804" s="22" t="s">
        <v>20</v>
      </c>
      <c r="J804" s="12" t="s">
        <v>44</v>
      </c>
      <c r="K804" s="12"/>
      <c r="L804" s="9" t="n">
        <f aca="false">L803+H804</f>
        <v>46525.31</v>
      </c>
      <c r="M804" s="10" t="str">
        <f aca="false">VLOOKUP(J804,RECATALOGANDO!A:C,2,0)</f>
        <v>HONORARIOS MEDICOS</v>
      </c>
      <c r="N804" s="12" t="str">
        <f aca="false">VLOOKUP(M804,RECATALOGANDO!B:C,2,0)</f>
        <v>VENTA DE SERVICIO</v>
      </c>
      <c r="O804" s="2" t="s">
        <v>39</v>
      </c>
    </row>
    <row r="805" customFormat="false" ht="13.8" hidden="false" customHeight="false" outlineLevel="0" collapsed="false">
      <c r="A805" s="8" t="n">
        <v>45408</v>
      </c>
      <c r="B805" s="9" t="n">
        <f aca="false">DAY(A805)</f>
        <v>26</v>
      </c>
      <c r="C805" s="9" t="n">
        <f aca="false">MONTH(A805)</f>
        <v>4</v>
      </c>
      <c r="D805" s="9" t="n">
        <f aca="false">YEAR(A805)</f>
        <v>2024</v>
      </c>
      <c r="E805" s="9" t="n">
        <f aca="false">WEEKDAY(A805,2)</f>
        <v>5</v>
      </c>
      <c r="F805" s="10" t="n">
        <f aca="false">WEEKNUM(A805,2) - WEEKNUM(DATE(YEAR(A805),MONTH(A805),1),2) + 1</f>
        <v>4</v>
      </c>
      <c r="G805" s="10"/>
      <c r="H805" s="11" t="n">
        <v>150</v>
      </c>
      <c r="I805" s="22" t="s">
        <v>20</v>
      </c>
      <c r="J805" s="12" t="s">
        <v>45</v>
      </c>
      <c r="K805" s="12"/>
      <c r="L805" s="9" t="n">
        <f aca="false">L804+H805</f>
        <v>46675.31</v>
      </c>
      <c r="M805" s="10" t="str">
        <f aca="false">VLOOKUP(J805,RECATALOGANDO!A:C,2,0)</f>
        <v>VENTA DE MEDICAMENTO</v>
      </c>
      <c r="N805" s="12" t="str">
        <f aca="false">VLOOKUP(M805,RECATALOGANDO!B:C,2,0)</f>
        <v>VENTA DE PRODUCTO</v>
      </c>
      <c r="O805" s="2" t="s">
        <v>39</v>
      </c>
    </row>
    <row r="806" customFormat="false" ht="13.8" hidden="false" customHeight="false" outlineLevel="0" collapsed="false">
      <c r="A806" s="8" t="n">
        <v>45408</v>
      </c>
      <c r="B806" s="9" t="n">
        <f aca="false">DAY(A806)</f>
        <v>26</v>
      </c>
      <c r="C806" s="9" t="n">
        <f aca="false">MONTH(A806)</f>
        <v>4</v>
      </c>
      <c r="D806" s="9" t="n">
        <f aca="false">YEAR(A806)</f>
        <v>2024</v>
      </c>
      <c r="E806" s="9" t="n">
        <f aca="false">WEEKDAY(A806,2)</f>
        <v>5</v>
      </c>
      <c r="F806" s="10" t="n">
        <f aca="false">WEEKNUM(A806,2) - WEEKNUM(DATE(YEAR(A806),MONTH(A806),1),2) + 1</f>
        <v>4</v>
      </c>
      <c r="G806" s="10"/>
      <c r="H806" s="11" t="n">
        <v>1790</v>
      </c>
      <c r="I806" s="22" t="s">
        <v>20</v>
      </c>
      <c r="J806" s="12" t="s">
        <v>45</v>
      </c>
      <c r="K806" s="12"/>
      <c r="L806" s="9" t="n">
        <f aca="false">L805+H806</f>
        <v>48465.31</v>
      </c>
      <c r="M806" s="10" t="str">
        <f aca="false">VLOOKUP(J806,RECATALOGANDO!A:C,2,0)</f>
        <v>VENTA DE MEDICAMENTO</v>
      </c>
      <c r="N806" s="12" t="str">
        <f aca="false">VLOOKUP(M806,RECATALOGANDO!B:C,2,0)</f>
        <v>VENTA DE PRODUCTO</v>
      </c>
      <c r="O806" s="2" t="s">
        <v>39</v>
      </c>
    </row>
    <row r="807" customFormat="false" ht="13.8" hidden="false" customHeight="false" outlineLevel="0" collapsed="false">
      <c r="A807" s="8" t="n">
        <v>45408</v>
      </c>
      <c r="B807" s="9" t="n">
        <f aca="false">DAY(A807)</f>
        <v>26</v>
      </c>
      <c r="C807" s="9" t="n">
        <f aca="false">MONTH(A807)</f>
        <v>4</v>
      </c>
      <c r="D807" s="9" t="n">
        <f aca="false">YEAR(A807)</f>
        <v>2024</v>
      </c>
      <c r="E807" s="9" t="n">
        <f aca="false">WEEKDAY(A807,2)</f>
        <v>5</v>
      </c>
      <c r="F807" s="10" t="n">
        <f aca="false">WEEKNUM(A807,2) - WEEKNUM(DATE(YEAR(A807),MONTH(A807),1),2) + 1</f>
        <v>4</v>
      </c>
      <c r="G807" s="10"/>
      <c r="H807" s="11" t="n">
        <v>825</v>
      </c>
      <c r="I807" s="22" t="s">
        <v>20</v>
      </c>
      <c r="J807" s="12" t="s">
        <v>44</v>
      </c>
      <c r="K807" s="12"/>
      <c r="L807" s="9" t="n">
        <f aca="false">L806+H807</f>
        <v>49290.31</v>
      </c>
      <c r="M807" s="10" t="str">
        <f aca="false">VLOOKUP(J807,RECATALOGANDO!A:C,2,0)</f>
        <v>HONORARIOS MEDICOS</v>
      </c>
      <c r="N807" s="12" t="str">
        <f aca="false">VLOOKUP(M807,RECATALOGANDO!B:C,2,0)</f>
        <v>VENTA DE SERVICIO</v>
      </c>
      <c r="O807" s="2" t="s">
        <v>39</v>
      </c>
    </row>
    <row r="808" customFormat="false" ht="13.8" hidden="false" customHeight="false" outlineLevel="0" collapsed="false">
      <c r="A808" s="8" t="n">
        <v>45411</v>
      </c>
      <c r="B808" s="9" t="n">
        <f aca="false">DAY(A808)</f>
        <v>29</v>
      </c>
      <c r="C808" s="9" t="n">
        <f aca="false">MONTH(A808)</f>
        <v>4</v>
      </c>
      <c r="D808" s="9" t="n">
        <f aca="false">YEAR(A808)</f>
        <v>2024</v>
      </c>
      <c r="E808" s="9" t="n">
        <f aca="false">WEEKDAY(A808,2)</f>
        <v>1</v>
      </c>
      <c r="F808" s="10" t="n">
        <f aca="false">WEEKNUM(A808,2) - WEEKNUM(DATE(YEAR(A808),MONTH(A808),1),2) + 1</f>
        <v>5</v>
      </c>
      <c r="G808" s="10"/>
      <c r="H808" s="11" t="n">
        <v>220</v>
      </c>
      <c r="I808" s="22" t="s">
        <v>20</v>
      </c>
      <c r="J808" s="12" t="s">
        <v>45</v>
      </c>
      <c r="K808" s="12"/>
      <c r="L808" s="9" t="n">
        <f aca="false">L807+H808</f>
        <v>49510.31</v>
      </c>
      <c r="M808" s="10" t="str">
        <f aca="false">VLOOKUP(J808,RECATALOGANDO!A:C,2,0)</f>
        <v>VENTA DE MEDICAMENTO</v>
      </c>
      <c r="N808" s="12" t="str">
        <f aca="false">VLOOKUP(M808,RECATALOGANDO!B:C,2,0)</f>
        <v>VENTA DE PRODUCTO</v>
      </c>
      <c r="O808" s="2" t="s">
        <v>39</v>
      </c>
    </row>
    <row r="809" customFormat="false" ht="13.8" hidden="false" customHeight="false" outlineLevel="0" collapsed="false">
      <c r="A809" s="8" t="n">
        <v>45411</v>
      </c>
      <c r="B809" s="9" t="n">
        <f aca="false">DAY(A809)</f>
        <v>29</v>
      </c>
      <c r="C809" s="9" t="n">
        <f aca="false">MONTH(A809)</f>
        <v>4</v>
      </c>
      <c r="D809" s="9" t="n">
        <f aca="false">YEAR(A809)</f>
        <v>2024</v>
      </c>
      <c r="E809" s="9" t="n">
        <f aca="false">WEEKDAY(A809,2)</f>
        <v>1</v>
      </c>
      <c r="F809" s="10" t="n">
        <f aca="false">WEEKNUM(A809,2) - WEEKNUM(DATE(YEAR(A809),MONTH(A809),1),2) + 1</f>
        <v>5</v>
      </c>
      <c r="G809" s="10"/>
      <c r="H809" s="11" t="n">
        <v>1950</v>
      </c>
      <c r="I809" s="22" t="s">
        <v>15</v>
      </c>
      <c r="J809" s="22" t="s">
        <v>51</v>
      </c>
      <c r="K809" s="12"/>
      <c r="L809" s="9" t="n">
        <f aca="false">L808+H809</f>
        <v>51460.31</v>
      </c>
      <c r="M809" s="10" t="str">
        <f aca="false">VLOOKUP(J809,RECATALOGANDO!A:C,2,0)</f>
        <v>VENTA DE ALIMENTO</v>
      </c>
      <c r="N809" s="12" t="str">
        <f aca="false">VLOOKUP(M809,RECATALOGANDO!B:C,2,0)</f>
        <v>VENTA DE PRODUCTO</v>
      </c>
      <c r="O809" s="2" t="s">
        <v>39</v>
      </c>
    </row>
    <row r="810" customFormat="false" ht="13.8" hidden="false" customHeight="false" outlineLevel="0" collapsed="false">
      <c r="A810" s="8" t="n">
        <v>45411</v>
      </c>
      <c r="B810" s="9" t="n">
        <f aca="false">DAY(A810)</f>
        <v>29</v>
      </c>
      <c r="C810" s="9" t="n">
        <f aca="false">MONTH(A810)</f>
        <v>4</v>
      </c>
      <c r="D810" s="9" t="n">
        <f aca="false">YEAR(A810)</f>
        <v>2024</v>
      </c>
      <c r="E810" s="9" t="n">
        <f aca="false">WEEKDAY(A810,2)</f>
        <v>1</v>
      </c>
      <c r="F810" s="10" t="n">
        <f aca="false">WEEKNUM(A810,2) - WEEKNUM(DATE(YEAR(A810),MONTH(A810),1),2) + 1</f>
        <v>5</v>
      </c>
      <c r="G810" s="10"/>
      <c r="H810" s="11" t="n">
        <v>180</v>
      </c>
      <c r="I810" s="22" t="s">
        <v>20</v>
      </c>
      <c r="J810" s="22" t="s">
        <v>58</v>
      </c>
      <c r="K810" s="12"/>
      <c r="L810" s="9" t="n">
        <f aca="false">L809+H810</f>
        <v>51640.31</v>
      </c>
      <c r="M810" s="10" t="str">
        <f aca="false">VLOOKUP(J810,RECATALOGANDO!A:C,2,0)</f>
        <v>SERVICIO DE LABORATORIO</v>
      </c>
      <c r="N810" s="12" t="str">
        <f aca="false">VLOOKUP(M810,RECATALOGANDO!B:C,2,0)</f>
        <v>VENTA DE SERVICIO</v>
      </c>
      <c r="O810" s="2" t="s">
        <v>39</v>
      </c>
    </row>
    <row r="811" customFormat="false" ht="13.8" hidden="false" customHeight="false" outlineLevel="0" collapsed="false">
      <c r="A811" s="8" t="n">
        <v>45411</v>
      </c>
      <c r="B811" s="9" t="n">
        <f aca="false">DAY(A811)</f>
        <v>29</v>
      </c>
      <c r="C811" s="9" t="n">
        <f aca="false">MONTH(A811)</f>
        <v>4</v>
      </c>
      <c r="D811" s="9" t="n">
        <f aca="false">YEAR(A811)</f>
        <v>2024</v>
      </c>
      <c r="E811" s="9" t="n">
        <f aca="false">WEEKDAY(A811,2)</f>
        <v>1</v>
      </c>
      <c r="F811" s="10" t="n">
        <f aca="false">WEEKNUM(A811,2) - WEEKNUM(DATE(YEAR(A811),MONTH(A811),1),2) + 1</f>
        <v>5</v>
      </c>
      <c r="G811" s="10"/>
      <c r="H811" s="11" t="n">
        <v>220</v>
      </c>
      <c r="I811" s="22" t="s">
        <v>20</v>
      </c>
      <c r="J811" s="12" t="s">
        <v>53</v>
      </c>
      <c r="K811" s="12"/>
      <c r="L811" s="9" t="n">
        <f aca="false">L810+H811</f>
        <v>51860.31</v>
      </c>
      <c r="M811" s="10" t="str">
        <f aca="false">VLOOKUP(J811,RECATALOGANDO!A:C,2,0)</f>
        <v>SERVICIO DE GROOMING</v>
      </c>
      <c r="N811" s="12" t="str">
        <f aca="false">VLOOKUP(M811,RECATALOGANDO!B:C,2,0)</f>
        <v>VENTA DE SERVICIO</v>
      </c>
      <c r="O811" s="2" t="s">
        <v>39</v>
      </c>
    </row>
    <row r="812" customFormat="false" ht="13.8" hidden="false" customHeight="false" outlineLevel="0" collapsed="false">
      <c r="A812" s="8" t="n">
        <v>45412</v>
      </c>
      <c r="B812" s="9" t="n">
        <f aca="false">DAY(A812)</f>
        <v>30</v>
      </c>
      <c r="C812" s="9" t="n">
        <f aca="false">MONTH(A812)</f>
        <v>4</v>
      </c>
      <c r="D812" s="9" t="n">
        <f aca="false">YEAR(A812)</f>
        <v>2024</v>
      </c>
      <c r="E812" s="9" t="n">
        <f aca="false">WEEKDAY(A812,2)</f>
        <v>2</v>
      </c>
      <c r="F812" s="10" t="n">
        <f aca="false">WEEKNUM(A812,2) - WEEKNUM(DATE(YEAR(A812),MONTH(A812),1),2) + 1</f>
        <v>5</v>
      </c>
      <c r="G812" s="10" t="n">
        <v>2</v>
      </c>
      <c r="H812" s="11" t="n">
        <v>2030</v>
      </c>
      <c r="I812" s="22" t="s">
        <v>20</v>
      </c>
      <c r="J812" s="12" t="s">
        <v>64</v>
      </c>
      <c r="K812" s="12"/>
      <c r="L812" s="9" t="n">
        <f aca="false">L811+H812</f>
        <v>53890.31</v>
      </c>
      <c r="M812" s="10" t="str">
        <f aca="false">VLOOKUP(J812,RECATALOGANDO!A:C,2,0)</f>
        <v>HONORARIOS QUIRURGICOS</v>
      </c>
      <c r="N812" s="12" t="str">
        <f aca="false">VLOOKUP(M812,RECATALOGANDO!B:C,2,0)</f>
        <v>VENTA DE SERVICIO</v>
      </c>
      <c r="O812" s="2" t="s">
        <v>39</v>
      </c>
    </row>
    <row r="813" customFormat="false" ht="13.8" hidden="false" customHeight="false" outlineLevel="0" collapsed="false">
      <c r="A813" s="8" t="n">
        <v>45414</v>
      </c>
      <c r="B813" s="9" t="n">
        <f aca="false">DAY(A813)</f>
        <v>2</v>
      </c>
      <c r="C813" s="9" t="n">
        <f aca="false">MONTH(A813)</f>
        <v>5</v>
      </c>
      <c r="D813" s="9" t="n">
        <f aca="false">YEAR(A813)</f>
        <v>2024</v>
      </c>
      <c r="E813" s="9" t="n">
        <f aca="false">WEEKDAY(A813,2)</f>
        <v>4</v>
      </c>
      <c r="F813" s="10" t="n">
        <f aca="false">WEEKNUM(A813,2) - WEEKNUM(DATE(YEAR(A813),MONTH(A813),1),2) + 1</f>
        <v>1</v>
      </c>
      <c r="G813" s="10"/>
      <c r="H813" s="11" t="n">
        <v>480</v>
      </c>
      <c r="I813" s="22" t="s">
        <v>20</v>
      </c>
      <c r="J813" s="22" t="s">
        <v>44</v>
      </c>
      <c r="K813" s="12"/>
      <c r="L813" s="9" t="n">
        <f aca="false">H813</f>
        <v>480</v>
      </c>
      <c r="M813" s="10" t="str">
        <f aca="false">VLOOKUP(J813,RECATALOGANDO!A:C,2,0)</f>
        <v>HONORARIOS MEDICOS</v>
      </c>
      <c r="N813" s="12" t="str">
        <f aca="false">VLOOKUP(M813,RECATALOGANDO!B:C,2,0)</f>
        <v>VENTA DE SERVICIO</v>
      </c>
      <c r="O813" s="2" t="s">
        <v>39</v>
      </c>
    </row>
    <row r="814" customFormat="false" ht="13.8" hidden="false" customHeight="false" outlineLevel="0" collapsed="false">
      <c r="A814" s="8" t="n">
        <v>45415</v>
      </c>
      <c r="B814" s="9" t="n">
        <f aca="false">DAY(A814)</f>
        <v>3</v>
      </c>
      <c r="C814" s="9" t="n">
        <f aca="false">MONTH(A814)</f>
        <v>5</v>
      </c>
      <c r="D814" s="9" t="n">
        <f aca="false">YEAR(A814)</f>
        <v>2024</v>
      </c>
      <c r="E814" s="9" t="n">
        <f aca="false">WEEKDAY(A814,2)</f>
        <v>5</v>
      </c>
      <c r="F814" s="10" t="n">
        <f aca="false">WEEKNUM(A814,2) - WEEKNUM(DATE(YEAR(A814),MONTH(A814),1),2) + 1</f>
        <v>1</v>
      </c>
      <c r="G814" s="10"/>
      <c r="H814" s="11" t="n">
        <v>775</v>
      </c>
      <c r="I814" s="12" t="s">
        <v>20</v>
      </c>
      <c r="J814" s="12" t="s">
        <v>45</v>
      </c>
      <c r="K814" s="12"/>
      <c r="L814" s="9" t="n">
        <f aca="false">L813+H814</f>
        <v>1255</v>
      </c>
      <c r="M814" s="10" t="str">
        <f aca="false">VLOOKUP(J814,RECATALOGANDO!A:C,2,0)</f>
        <v>VENTA DE MEDICAMENTO</v>
      </c>
      <c r="N814" s="12" t="str">
        <f aca="false">VLOOKUP(M814,RECATALOGANDO!B:C,2,0)</f>
        <v>VENTA DE PRODUCTO</v>
      </c>
      <c r="O814" s="2" t="s">
        <v>39</v>
      </c>
    </row>
    <row r="815" customFormat="false" ht="13.8" hidden="false" customHeight="false" outlineLevel="0" collapsed="false">
      <c r="A815" s="8" t="n">
        <v>45415</v>
      </c>
      <c r="B815" s="9" t="n">
        <f aca="false">DAY(A815)</f>
        <v>3</v>
      </c>
      <c r="C815" s="9" t="n">
        <f aca="false">MONTH(A815)</f>
        <v>5</v>
      </c>
      <c r="D815" s="9" t="n">
        <f aca="false">YEAR(A815)</f>
        <v>2024</v>
      </c>
      <c r="E815" s="9" t="n">
        <f aca="false">WEEKDAY(A815,2)</f>
        <v>5</v>
      </c>
      <c r="F815" s="10" t="n">
        <f aca="false">WEEKNUM(A815,2) - WEEKNUM(DATE(YEAR(A815),MONTH(A815),1),2) + 1</f>
        <v>1</v>
      </c>
      <c r="G815" s="10"/>
      <c r="H815" s="11" t="n">
        <v>819</v>
      </c>
      <c r="I815" s="12" t="s">
        <v>20</v>
      </c>
      <c r="J815" s="12" t="s">
        <v>51</v>
      </c>
      <c r="K815" s="12"/>
      <c r="L815" s="9" t="n">
        <f aca="false">L814+H815</f>
        <v>2074</v>
      </c>
      <c r="M815" s="10" t="str">
        <f aca="false">VLOOKUP(J815,RECATALOGANDO!A:C,2,0)</f>
        <v>VENTA DE ALIMENTO</v>
      </c>
      <c r="N815" s="12" t="str">
        <f aca="false">VLOOKUP(M815,RECATALOGANDO!B:C,2,0)</f>
        <v>VENTA DE PRODUCTO</v>
      </c>
      <c r="O815" s="2" t="s">
        <v>39</v>
      </c>
    </row>
    <row r="816" customFormat="false" ht="13.8" hidden="false" customHeight="false" outlineLevel="0" collapsed="false">
      <c r="A816" s="8" t="n">
        <v>45416</v>
      </c>
      <c r="B816" s="9" t="n">
        <f aca="false">DAY(A816)</f>
        <v>4</v>
      </c>
      <c r="C816" s="9" t="n">
        <f aca="false">MONTH(A816)</f>
        <v>5</v>
      </c>
      <c r="D816" s="9" t="n">
        <f aca="false">YEAR(A816)</f>
        <v>2024</v>
      </c>
      <c r="E816" s="9" t="n">
        <f aca="false">WEEKDAY(A816,2)</f>
        <v>6</v>
      </c>
      <c r="F816" s="10" t="n">
        <f aca="false">WEEKNUM(A816,2) - WEEKNUM(DATE(YEAR(A816),MONTH(A816),1),2) + 1</f>
        <v>1</v>
      </c>
      <c r="G816" s="10"/>
      <c r="H816" s="11" t="n">
        <v>279.81</v>
      </c>
      <c r="I816" s="12" t="s">
        <v>15</v>
      </c>
      <c r="J816" s="12" t="s">
        <v>49</v>
      </c>
      <c r="K816" s="12"/>
      <c r="L816" s="9" t="n">
        <f aca="false">L815+H816</f>
        <v>2353.81</v>
      </c>
      <c r="M816" s="10" t="str">
        <f aca="false">VLOOKUP(J816,RECATALOGANDO!A:C,2,0)</f>
        <v>SERVICIO DE GROOMING</v>
      </c>
      <c r="N816" s="12" t="str">
        <f aca="false">VLOOKUP(M816,RECATALOGANDO!B:C,2,0)</f>
        <v>VENTA DE SERVICIO</v>
      </c>
      <c r="O816" s="2" t="s">
        <v>39</v>
      </c>
    </row>
    <row r="817" customFormat="false" ht="13.8" hidden="false" customHeight="false" outlineLevel="0" collapsed="false">
      <c r="A817" s="8" t="n">
        <v>45416</v>
      </c>
      <c r="B817" s="9" t="n">
        <f aca="false">DAY(A817)</f>
        <v>4</v>
      </c>
      <c r="C817" s="9" t="n">
        <f aca="false">MONTH(A817)</f>
        <v>5</v>
      </c>
      <c r="D817" s="9" t="n">
        <f aca="false">YEAR(A817)</f>
        <v>2024</v>
      </c>
      <c r="E817" s="9" t="n">
        <f aca="false">WEEKDAY(A817,2)</f>
        <v>6</v>
      </c>
      <c r="F817" s="10" t="n">
        <f aca="false">WEEKNUM(A817,2) - WEEKNUM(DATE(YEAR(A817),MONTH(A817),1),2) + 1</f>
        <v>1</v>
      </c>
      <c r="G817" s="10"/>
      <c r="H817" s="11" t="n">
        <v>1091</v>
      </c>
      <c r="I817" s="12" t="s">
        <v>15</v>
      </c>
      <c r="J817" s="12" t="s">
        <v>59</v>
      </c>
      <c r="K817" s="12"/>
      <c r="L817" s="9" t="n">
        <f aca="false">L816+H817</f>
        <v>3444.81</v>
      </c>
      <c r="M817" s="10" t="str">
        <f aca="false">VLOOKUP(J817,RECATALOGANDO!A:C,2,0)</f>
        <v>SERVICIO DE PENSION</v>
      </c>
      <c r="N817" s="12" t="str">
        <f aca="false">VLOOKUP(M817,RECATALOGANDO!B:C,2,0)</f>
        <v>VENTA DE SERVICIO</v>
      </c>
      <c r="O817" s="2" t="s">
        <v>39</v>
      </c>
    </row>
    <row r="818" customFormat="false" ht="13.8" hidden="false" customHeight="false" outlineLevel="0" collapsed="false">
      <c r="A818" s="8" t="n">
        <v>45417</v>
      </c>
      <c r="B818" s="9" t="n">
        <f aca="false">DAY(A818)</f>
        <v>5</v>
      </c>
      <c r="C818" s="9" t="n">
        <f aca="false">MONTH(A818)</f>
        <v>5</v>
      </c>
      <c r="D818" s="9" t="n">
        <f aca="false">YEAR(A818)</f>
        <v>2024</v>
      </c>
      <c r="E818" s="9" t="n">
        <f aca="false">WEEKDAY(A818,2)</f>
        <v>7</v>
      </c>
      <c r="F818" s="10" t="n">
        <f aca="false">WEEKNUM(A818,2) - WEEKNUM(DATE(YEAR(A818),MONTH(A818),1),2) + 1</f>
        <v>1</v>
      </c>
      <c r="G818" s="10"/>
      <c r="H818" s="11" t="n">
        <v>2768.36</v>
      </c>
      <c r="I818" s="12" t="s">
        <v>15</v>
      </c>
      <c r="J818" s="12" t="s">
        <v>44</v>
      </c>
      <c r="K818" s="12"/>
      <c r="L818" s="9" t="n">
        <f aca="false">L817+H818</f>
        <v>6213.17</v>
      </c>
      <c r="M818" s="10" t="str">
        <f aca="false">VLOOKUP(J818,RECATALOGANDO!A:C,2,0)</f>
        <v>HONORARIOS MEDICOS</v>
      </c>
      <c r="N818" s="12" t="str">
        <f aca="false">VLOOKUP(M818,RECATALOGANDO!B:C,2,0)</f>
        <v>VENTA DE SERVICIO</v>
      </c>
      <c r="O818" s="2" t="s">
        <v>39</v>
      </c>
    </row>
    <row r="819" customFormat="false" ht="13.8" hidden="false" customHeight="false" outlineLevel="0" collapsed="false">
      <c r="A819" s="8" t="n">
        <v>45418</v>
      </c>
      <c r="B819" s="9" t="n">
        <f aca="false">DAY(A819)</f>
        <v>6</v>
      </c>
      <c r="C819" s="9" t="n">
        <f aca="false">MONTH(A819)</f>
        <v>5</v>
      </c>
      <c r="D819" s="9" t="n">
        <f aca="false">YEAR(A819)</f>
        <v>2024</v>
      </c>
      <c r="E819" s="9" t="n">
        <f aca="false">WEEKDAY(A819,2)</f>
        <v>1</v>
      </c>
      <c r="F819" s="10" t="n">
        <f aca="false">WEEKNUM(A819,2) - WEEKNUM(DATE(YEAR(A819),MONTH(A819),1),2) + 1</f>
        <v>2</v>
      </c>
      <c r="G819" s="10"/>
      <c r="H819" s="11" t="n">
        <v>800</v>
      </c>
      <c r="I819" s="12" t="s">
        <v>20</v>
      </c>
      <c r="J819" s="12" t="s">
        <v>55</v>
      </c>
      <c r="K819" s="12"/>
      <c r="L819" s="9" t="n">
        <f aca="false">L818+H819</f>
        <v>7013.17</v>
      </c>
      <c r="M819" s="10" t="str">
        <f aca="false">VLOOKUP(J819,RECATALOGANDO!A:C,2,0)</f>
        <v>VENTA DE MEDICAMENTO</v>
      </c>
      <c r="N819" s="12" t="str">
        <f aca="false">VLOOKUP(M819,RECATALOGANDO!B:C,2,0)</f>
        <v>VENTA DE PRODUCTO</v>
      </c>
      <c r="O819" s="2" t="s">
        <v>39</v>
      </c>
    </row>
    <row r="820" customFormat="false" ht="13.8" hidden="false" customHeight="false" outlineLevel="0" collapsed="false">
      <c r="A820" s="8" t="n">
        <v>45418</v>
      </c>
      <c r="B820" s="9" t="n">
        <f aca="false">DAY(A820)</f>
        <v>6</v>
      </c>
      <c r="C820" s="9" t="n">
        <f aca="false">MONTH(A820)</f>
        <v>5</v>
      </c>
      <c r="D820" s="9" t="n">
        <f aca="false">YEAR(A820)</f>
        <v>2024</v>
      </c>
      <c r="E820" s="9" t="n">
        <f aca="false">WEEKDAY(A820,2)</f>
        <v>1</v>
      </c>
      <c r="F820" s="10" t="n">
        <f aca="false">WEEKNUM(A820,2) - WEEKNUM(DATE(YEAR(A820),MONTH(A820),1),2) + 1</f>
        <v>2</v>
      </c>
      <c r="G820" s="10"/>
      <c r="H820" s="11" t="n">
        <v>1114</v>
      </c>
      <c r="I820" s="12" t="s">
        <v>20</v>
      </c>
      <c r="J820" s="12" t="s">
        <v>45</v>
      </c>
      <c r="K820" s="12"/>
      <c r="L820" s="9" t="n">
        <f aca="false">L819+H820</f>
        <v>8127.17</v>
      </c>
      <c r="M820" s="10" t="str">
        <f aca="false">VLOOKUP(J820,RECATALOGANDO!A:C,2,0)</f>
        <v>VENTA DE MEDICAMENTO</v>
      </c>
      <c r="N820" s="12" t="str">
        <f aca="false">VLOOKUP(M820,RECATALOGANDO!B:C,2,0)</f>
        <v>VENTA DE PRODUCTO</v>
      </c>
      <c r="O820" s="2" t="s">
        <v>39</v>
      </c>
    </row>
    <row r="821" customFormat="false" ht="13.8" hidden="false" customHeight="false" outlineLevel="0" collapsed="false">
      <c r="A821" s="8" t="n">
        <v>45418</v>
      </c>
      <c r="B821" s="9" t="n">
        <f aca="false">DAY(A821)</f>
        <v>6</v>
      </c>
      <c r="C821" s="9" t="n">
        <f aca="false">MONTH(A821)</f>
        <v>5</v>
      </c>
      <c r="D821" s="9" t="n">
        <f aca="false">YEAR(A821)</f>
        <v>2024</v>
      </c>
      <c r="E821" s="9" t="n">
        <f aca="false">WEEKDAY(A821,2)</f>
        <v>1</v>
      </c>
      <c r="F821" s="10" t="n">
        <f aca="false">WEEKNUM(A821,2) - WEEKNUM(DATE(YEAR(A821),MONTH(A821),1),2) + 1</f>
        <v>2</v>
      </c>
      <c r="G821" s="10"/>
      <c r="H821" s="11" t="n">
        <v>180</v>
      </c>
      <c r="I821" s="12" t="s">
        <v>20</v>
      </c>
      <c r="J821" s="12" t="s">
        <v>69</v>
      </c>
      <c r="K821" s="12"/>
      <c r="L821" s="9" t="n">
        <f aca="false">L820+H821</f>
        <v>8307.17</v>
      </c>
      <c r="M821" s="10" t="str">
        <f aca="false">VLOOKUP(J821,RECATALOGANDO!A:C,2,0)</f>
        <v>SERVICIO DE GROOMING</v>
      </c>
      <c r="N821" s="12" t="str">
        <f aca="false">VLOOKUP(M821,RECATALOGANDO!B:C,2,0)</f>
        <v>VENTA DE SERVICIO</v>
      </c>
      <c r="O821" s="2" t="s">
        <v>39</v>
      </c>
    </row>
    <row r="822" customFormat="false" ht="13.8" hidden="false" customHeight="false" outlineLevel="0" collapsed="false">
      <c r="A822" s="8" t="n">
        <v>45418</v>
      </c>
      <c r="B822" s="9" t="n">
        <f aca="false">DAY(A822)</f>
        <v>6</v>
      </c>
      <c r="C822" s="9" t="n">
        <f aca="false">MONTH(A822)</f>
        <v>5</v>
      </c>
      <c r="D822" s="9" t="n">
        <f aca="false">YEAR(A822)</f>
        <v>2024</v>
      </c>
      <c r="E822" s="9" t="n">
        <f aca="false">WEEKDAY(A822,2)</f>
        <v>1</v>
      </c>
      <c r="F822" s="10" t="n">
        <f aca="false">WEEKNUM(A822,2) - WEEKNUM(DATE(YEAR(A822),MONTH(A822),1),2) + 1</f>
        <v>2</v>
      </c>
      <c r="G822" s="10"/>
      <c r="H822" s="11" t="n">
        <v>1610</v>
      </c>
      <c r="I822" s="12" t="s">
        <v>20</v>
      </c>
      <c r="J822" s="8" t="s">
        <v>44</v>
      </c>
      <c r="K822" s="12"/>
      <c r="L822" s="9" t="n">
        <f aca="false">L821+H822</f>
        <v>9917.17</v>
      </c>
      <c r="M822" s="10" t="str">
        <f aca="false">VLOOKUP(J822,RECATALOGANDO!A:C,2,0)</f>
        <v>HONORARIOS MEDICOS</v>
      </c>
      <c r="N822" s="12" t="str">
        <f aca="false">VLOOKUP(M822,RECATALOGANDO!B:C,2,0)</f>
        <v>VENTA DE SERVICIO</v>
      </c>
      <c r="O822" s="2" t="s">
        <v>39</v>
      </c>
    </row>
    <row r="823" customFormat="false" ht="13.8" hidden="false" customHeight="false" outlineLevel="0" collapsed="false">
      <c r="A823" s="8" t="n">
        <v>45418</v>
      </c>
      <c r="B823" s="9" t="n">
        <f aca="false">DAY(A823)</f>
        <v>6</v>
      </c>
      <c r="C823" s="9" t="n">
        <f aca="false">MONTH(A823)</f>
        <v>5</v>
      </c>
      <c r="D823" s="9" t="n">
        <f aca="false">YEAR(A823)</f>
        <v>2024</v>
      </c>
      <c r="E823" s="9" t="n">
        <f aca="false">WEEKDAY(A823,2)</f>
        <v>1</v>
      </c>
      <c r="F823" s="10" t="n">
        <f aca="false">WEEKNUM(A823,2) - WEEKNUM(DATE(YEAR(A823),MONTH(A823),1),2) + 1</f>
        <v>2</v>
      </c>
      <c r="G823" s="10"/>
      <c r="H823" s="11" t="n">
        <v>2800</v>
      </c>
      <c r="I823" s="12" t="s">
        <v>20</v>
      </c>
      <c r="J823" s="22" t="s">
        <v>54</v>
      </c>
      <c r="K823" s="12"/>
      <c r="L823" s="9" t="n">
        <f aca="false">L822+H823</f>
        <v>12717.17</v>
      </c>
      <c r="M823" s="10" t="str">
        <f aca="false">VLOOKUP(J823,RECATALOGANDO!A:C,2,0)</f>
        <v>SERVICIO DE LABORATORIO</v>
      </c>
      <c r="N823" s="12" t="str">
        <f aca="false">VLOOKUP(M823,RECATALOGANDO!B:C,2,0)</f>
        <v>VENTA DE SERVICIO</v>
      </c>
      <c r="O823" s="2" t="s">
        <v>39</v>
      </c>
    </row>
    <row r="824" customFormat="false" ht="13.8" hidden="false" customHeight="false" outlineLevel="0" collapsed="false">
      <c r="A824" s="8" t="n">
        <v>45419</v>
      </c>
      <c r="B824" s="9" t="n">
        <f aca="false">DAY(A824)</f>
        <v>7</v>
      </c>
      <c r="C824" s="9" t="n">
        <f aca="false">MONTH(A824)</f>
        <v>5</v>
      </c>
      <c r="D824" s="9" t="n">
        <f aca="false">YEAR(A824)</f>
        <v>2024</v>
      </c>
      <c r="E824" s="9" t="n">
        <f aca="false">WEEKDAY(A824,2)</f>
        <v>2</v>
      </c>
      <c r="F824" s="10" t="n">
        <f aca="false">WEEKNUM(A824,2) - WEEKNUM(DATE(YEAR(A824),MONTH(A824),1),2) + 1</f>
        <v>2</v>
      </c>
      <c r="G824" s="10"/>
      <c r="H824" s="11" t="n">
        <v>900</v>
      </c>
      <c r="I824" s="12" t="s">
        <v>20</v>
      </c>
      <c r="J824" s="12" t="s">
        <v>51</v>
      </c>
      <c r="K824" s="12"/>
      <c r="L824" s="9" t="n">
        <f aca="false">L823+H824</f>
        <v>13617.17</v>
      </c>
      <c r="M824" s="10" t="str">
        <f aca="false">VLOOKUP(J824,RECATALOGANDO!A:C,2,0)</f>
        <v>VENTA DE ALIMENTO</v>
      </c>
      <c r="N824" s="12" t="str">
        <f aca="false">VLOOKUP(M824,RECATALOGANDO!B:C,2,0)</f>
        <v>VENTA DE PRODUCTO</v>
      </c>
      <c r="O824" s="2" t="s">
        <v>39</v>
      </c>
    </row>
    <row r="825" customFormat="false" ht="13.8" hidden="false" customHeight="false" outlineLevel="0" collapsed="false">
      <c r="A825" s="8" t="n">
        <v>45419</v>
      </c>
      <c r="B825" s="9" t="n">
        <f aca="false">DAY(A825)</f>
        <v>7</v>
      </c>
      <c r="C825" s="9" t="n">
        <f aca="false">MONTH(A825)</f>
        <v>5</v>
      </c>
      <c r="D825" s="9" t="n">
        <f aca="false">YEAR(A825)</f>
        <v>2024</v>
      </c>
      <c r="E825" s="9" t="n">
        <f aca="false">WEEKDAY(A825,2)</f>
        <v>2</v>
      </c>
      <c r="F825" s="10" t="n">
        <f aca="false">WEEKNUM(A825,2) - WEEKNUM(DATE(YEAR(A825),MONTH(A825),1),2) + 1</f>
        <v>2</v>
      </c>
      <c r="G825" s="10"/>
      <c r="H825" s="11" t="n">
        <v>1830</v>
      </c>
      <c r="I825" s="12" t="s">
        <v>20</v>
      </c>
      <c r="J825" s="12" t="s">
        <v>51</v>
      </c>
      <c r="K825" s="12"/>
      <c r="L825" s="9" t="n">
        <f aca="false">L824+H825</f>
        <v>15447.17</v>
      </c>
      <c r="M825" s="10" t="str">
        <f aca="false">VLOOKUP(J825,RECATALOGANDO!A:C,2,0)</f>
        <v>VENTA DE ALIMENTO</v>
      </c>
      <c r="N825" s="12" t="str">
        <f aca="false">VLOOKUP(M825,RECATALOGANDO!B:C,2,0)</f>
        <v>VENTA DE PRODUCTO</v>
      </c>
      <c r="O825" s="2" t="s">
        <v>39</v>
      </c>
    </row>
    <row r="826" customFormat="false" ht="13.8" hidden="false" customHeight="false" outlineLevel="0" collapsed="false">
      <c r="A826" s="8" t="n">
        <v>45419</v>
      </c>
      <c r="B826" s="9" t="n">
        <f aca="false">DAY(A826)</f>
        <v>7</v>
      </c>
      <c r="C826" s="9" t="n">
        <f aca="false">MONTH(A826)</f>
        <v>5</v>
      </c>
      <c r="D826" s="9" t="n">
        <f aca="false">YEAR(A826)</f>
        <v>2024</v>
      </c>
      <c r="E826" s="9" t="n">
        <f aca="false">WEEKDAY(A826,2)</f>
        <v>2</v>
      </c>
      <c r="F826" s="10" t="n">
        <f aca="false">WEEKNUM(A826,2) - WEEKNUM(DATE(YEAR(A826),MONTH(A826),1),2) + 1</f>
        <v>2</v>
      </c>
      <c r="G826" s="10"/>
      <c r="H826" s="11" t="n">
        <v>200</v>
      </c>
      <c r="I826" s="12" t="s">
        <v>20</v>
      </c>
      <c r="J826" s="12" t="s">
        <v>69</v>
      </c>
      <c r="K826" s="12"/>
      <c r="L826" s="9" t="n">
        <f aca="false">L825+H826</f>
        <v>15647.17</v>
      </c>
      <c r="M826" s="10" t="str">
        <f aca="false">VLOOKUP(J826,RECATALOGANDO!A:C,2,0)</f>
        <v>SERVICIO DE GROOMING</v>
      </c>
      <c r="N826" s="12" t="str">
        <f aca="false">VLOOKUP(M826,RECATALOGANDO!B:C,2,0)</f>
        <v>VENTA DE SERVICIO</v>
      </c>
      <c r="O826" s="2" t="s">
        <v>39</v>
      </c>
    </row>
    <row r="827" customFormat="false" ht="13.8" hidden="false" customHeight="false" outlineLevel="0" collapsed="false">
      <c r="A827" s="8" t="n">
        <v>45419</v>
      </c>
      <c r="B827" s="9" t="n">
        <f aca="false">DAY(A827)</f>
        <v>7</v>
      </c>
      <c r="C827" s="9" t="n">
        <f aca="false">MONTH(A827)</f>
        <v>5</v>
      </c>
      <c r="D827" s="9" t="n">
        <f aca="false">YEAR(A827)</f>
        <v>2024</v>
      </c>
      <c r="E827" s="9" t="n">
        <f aca="false">WEEKDAY(A827,2)</f>
        <v>2</v>
      </c>
      <c r="F827" s="10" t="n">
        <f aca="false">WEEKNUM(A827,2) - WEEKNUM(DATE(YEAR(A827),MONTH(A827),1),2) + 1</f>
        <v>2</v>
      </c>
      <c r="G827" s="10"/>
      <c r="H827" s="11" t="n">
        <v>2230</v>
      </c>
      <c r="I827" s="12" t="s">
        <v>20</v>
      </c>
      <c r="J827" s="12" t="s">
        <v>44</v>
      </c>
      <c r="K827" s="12"/>
      <c r="L827" s="9" t="n">
        <f aca="false">L826+H827</f>
        <v>17877.17</v>
      </c>
      <c r="M827" s="10" t="str">
        <f aca="false">VLOOKUP(J827,RECATALOGANDO!A:C,2,0)</f>
        <v>HONORARIOS MEDICOS</v>
      </c>
      <c r="N827" s="12" t="str">
        <f aca="false">VLOOKUP(M827,RECATALOGANDO!B:C,2,0)</f>
        <v>VENTA DE SERVICIO</v>
      </c>
      <c r="O827" s="2" t="s">
        <v>39</v>
      </c>
    </row>
    <row r="828" customFormat="false" ht="13.8" hidden="false" customHeight="false" outlineLevel="0" collapsed="false">
      <c r="A828" s="8" t="n">
        <v>45420</v>
      </c>
      <c r="B828" s="9" t="n">
        <f aca="false">DAY(A828)</f>
        <v>8</v>
      </c>
      <c r="C828" s="9" t="n">
        <f aca="false">MONTH(A828)</f>
        <v>5</v>
      </c>
      <c r="D828" s="9" t="n">
        <f aca="false">YEAR(A828)</f>
        <v>2024</v>
      </c>
      <c r="E828" s="9" t="n">
        <f aca="false">WEEKDAY(A828,2)</f>
        <v>3</v>
      </c>
      <c r="F828" s="10" t="n">
        <f aca="false">WEEKNUM(A828,2) - WEEKNUM(DATE(YEAR(A828),MONTH(A828),1),2) + 1</f>
        <v>2</v>
      </c>
      <c r="G828" s="10"/>
      <c r="H828" s="11" t="n">
        <v>470</v>
      </c>
      <c r="I828" s="12" t="s">
        <v>20</v>
      </c>
      <c r="J828" s="12" t="s">
        <v>51</v>
      </c>
      <c r="K828" s="12"/>
      <c r="L828" s="9" t="n">
        <f aca="false">L827+H828</f>
        <v>18347.17</v>
      </c>
      <c r="M828" s="10" t="str">
        <f aca="false">VLOOKUP(J828,RECATALOGANDO!A:C,2,0)</f>
        <v>VENTA DE ALIMENTO</v>
      </c>
      <c r="N828" s="12" t="str">
        <f aca="false">VLOOKUP(M828,RECATALOGANDO!B:C,2,0)</f>
        <v>VENTA DE PRODUCTO</v>
      </c>
      <c r="O828" s="2" t="s">
        <v>39</v>
      </c>
    </row>
    <row r="829" customFormat="false" ht="13.8" hidden="false" customHeight="false" outlineLevel="0" collapsed="false">
      <c r="A829" s="8" t="n">
        <v>45420</v>
      </c>
      <c r="B829" s="9" t="n">
        <f aca="false">DAY(A829)</f>
        <v>8</v>
      </c>
      <c r="C829" s="9" t="n">
        <f aca="false">MONTH(A829)</f>
        <v>5</v>
      </c>
      <c r="D829" s="9" t="n">
        <f aca="false">YEAR(A829)</f>
        <v>2024</v>
      </c>
      <c r="E829" s="9" t="n">
        <f aca="false">WEEKDAY(A829,2)</f>
        <v>3</v>
      </c>
      <c r="F829" s="10" t="n">
        <f aca="false">WEEKNUM(A829,2) - WEEKNUM(DATE(YEAR(A829),MONTH(A829),1),2) + 1</f>
        <v>2</v>
      </c>
      <c r="G829" s="10"/>
      <c r="H829" s="11" t="n">
        <v>245</v>
      </c>
      <c r="I829" s="12" t="s">
        <v>15</v>
      </c>
      <c r="J829" s="12" t="s">
        <v>49</v>
      </c>
      <c r="K829" s="12"/>
      <c r="L829" s="9" t="n">
        <f aca="false">L828+H829</f>
        <v>18592.17</v>
      </c>
      <c r="M829" s="10" t="str">
        <f aca="false">VLOOKUP(J829,RECATALOGANDO!A:C,2,0)</f>
        <v>SERVICIO DE GROOMING</v>
      </c>
      <c r="N829" s="12" t="str">
        <f aca="false">VLOOKUP(M829,RECATALOGANDO!B:C,2,0)</f>
        <v>VENTA DE SERVICIO</v>
      </c>
      <c r="O829" s="2" t="s">
        <v>39</v>
      </c>
    </row>
    <row r="830" customFormat="false" ht="13.8" hidden="false" customHeight="false" outlineLevel="0" collapsed="false">
      <c r="A830" s="8" t="n">
        <v>45420</v>
      </c>
      <c r="B830" s="9" t="n">
        <f aca="false">DAY(A830)</f>
        <v>8</v>
      </c>
      <c r="C830" s="9" t="n">
        <f aca="false">MONTH(A830)</f>
        <v>5</v>
      </c>
      <c r="D830" s="9" t="n">
        <f aca="false">YEAR(A830)</f>
        <v>2024</v>
      </c>
      <c r="E830" s="9" t="n">
        <f aca="false">WEEKDAY(A830,2)</f>
        <v>3</v>
      </c>
      <c r="F830" s="10" t="n">
        <f aca="false">WEEKNUM(A830,2) - WEEKNUM(DATE(YEAR(A830),MONTH(A830),1),2) + 1</f>
        <v>2</v>
      </c>
      <c r="G830" s="10"/>
      <c r="H830" s="11" t="n">
        <v>770</v>
      </c>
      <c r="I830" s="12" t="s">
        <v>20</v>
      </c>
      <c r="J830" s="12" t="s">
        <v>44</v>
      </c>
      <c r="K830" s="12"/>
      <c r="L830" s="9" t="n">
        <f aca="false">L829+H830</f>
        <v>19362.17</v>
      </c>
      <c r="M830" s="10" t="str">
        <f aca="false">VLOOKUP(J830,RECATALOGANDO!A:C,2,0)</f>
        <v>HONORARIOS MEDICOS</v>
      </c>
      <c r="N830" s="12" t="str">
        <f aca="false">VLOOKUP(M830,RECATALOGANDO!B:C,2,0)</f>
        <v>VENTA DE SERVICIO</v>
      </c>
      <c r="O830" s="2" t="s">
        <v>39</v>
      </c>
    </row>
    <row r="831" customFormat="false" ht="13.8" hidden="false" customHeight="false" outlineLevel="0" collapsed="false">
      <c r="A831" s="8" t="n">
        <v>45422</v>
      </c>
      <c r="B831" s="9" t="n">
        <f aca="false">DAY(A831)</f>
        <v>10</v>
      </c>
      <c r="C831" s="9" t="n">
        <f aca="false">MONTH(A831)</f>
        <v>5</v>
      </c>
      <c r="D831" s="9" t="n">
        <f aca="false">YEAR(A831)</f>
        <v>2024</v>
      </c>
      <c r="E831" s="9" t="n">
        <f aca="false">WEEKDAY(A831,2)</f>
        <v>5</v>
      </c>
      <c r="F831" s="10" t="n">
        <f aca="false">WEEKNUM(A831,2) - WEEKNUM(DATE(YEAR(A831),MONTH(A831),1),2) + 1</f>
        <v>2</v>
      </c>
      <c r="G831" s="10"/>
      <c r="H831" s="11" t="n">
        <v>160</v>
      </c>
      <c r="I831" s="12" t="s">
        <v>15</v>
      </c>
      <c r="J831" s="12" t="s">
        <v>44</v>
      </c>
      <c r="K831" s="12"/>
      <c r="L831" s="9" t="n">
        <f aca="false">L830+H831</f>
        <v>19522.17</v>
      </c>
      <c r="M831" s="10" t="str">
        <f aca="false">VLOOKUP(J831,RECATALOGANDO!A:C,2,0)</f>
        <v>HONORARIOS MEDICOS</v>
      </c>
      <c r="N831" s="12" t="str">
        <f aca="false">VLOOKUP(M831,RECATALOGANDO!B:C,2,0)</f>
        <v>VENTA DE SERVICIO</v>
      </c>
      <c r="O831" s="2" t="s">
        <v>39</v>
      </c>
    </row>
    <row r="832" customFormat="false" ht="13.8" hidden="false" customHeight="false" outlineLevel="0" collapsed="false">
      <c r="A832" s="8" t="n">
        <v>45422</v>
      </c>
      <c r="B832" s="9" t="n">
        <f aca="false">DAY(A832)</f>
        <v>10</v>
      </c>
      <c r="C832" s="9" t="n">
        <f aca="false">MONTH(A832)</f>
        <v>5</v>
      </c>
      <c r="D832" s="9" t="n">
        <f aca="false">YEAR(A832)</f>
        <v>2024</v>
      </c>
      <c r="E832" s="9" t="n">
        <f aca="false">WEEKDAY(A832,2)</f>
        <v>5</v>
      </c>
      <c r="F832" s="10" t="n">
        <f aca="false">WEEKNUM(A832,2) - WEEKNUM(DATE(YEAR(A832),MONTH(A832),1),2) + 1</f>
        <v>2</v>
      </c>
      <c r="G832" s="10"/>
      <c r="H832" s="11" t="n">
        <v>200</v>
      </c>
      <c r="I832" s="12" t="s">
        <v>20</v>
      </c>
      <c r="J832" s="12" t="s">
        <v>49</v>
      </c>
      <c r="K832" s="12"/>
      <c r="L832" s="9" t="n">
        <f aca="false">L831+H832</f>
        <v>19722.17</v>
      </c>
      <c r="M832" s="10" t="str">
        <f aca="false">VLOOKUP(J832,RECATALOGANDO!A:C,2,0)</f>
        <v>SERVICIO DE GROOMING</v>
      </c>
      <c r="N832" s="12" t="str">
        <f aca="false">VLOOKUP(M832,RECATALOGANDO!B:C,2,0)</f>
        <v>VENTA DE SERVICIO</v>
      </c>
      <c r="O832" s="2" t="s">
        <v>39</v>
      </c>
    </row>
    <row r="833" customFormat="false" ht="13.8" hidden="false" customHeight="false" outlineLevel="0" collapsed="false">
      <c r="A833" s="8" t="n">
        <v>45422</v>
      </c>
      <c r="B833" s="9" t="n">
        <f aca="false">DAY(A833)</f>
        <v>10</v>
      </c>
      <c r="C833" s="9" t="n">
        <f aca="false">MONTH(A833)</f>
        <v>5</v>
      </c>
      <c r="D833" s="9" t="n">
        <f aca="false">YEAR(A833)</f>
        <v>2024</v>
      </c>
      <c r="E833" s="9" t="n">
        <f aca="false">WEEKDAY(A833,2)</f>
        <v>5</v>
      </c>
      <c r="F833" s="10" t="n">
        <f aca="false">WEEKNUM(A833,2) - WEEKNUM(DATE(YEAR(A833),MONTH(A833),1),2) + 1</f>
        <v>2</v>
      </c>
      <c r="G833" s="10"/>
      <c r="H833" s="11" t="n">
        <v>643</v>
      </c>
      <c r="I833" s="12" t="s">
        <v>20</v>
      </c>
      <c r="J833" s="12" t="s">
        <v>49</v>
      </c>
      <c r="K833" s="12"/>
      <c r="L833" s="9" t="n">
        <f aca="false">L832+H833</f>
        <v>20365.17</v>
      </c>
      <c r="M833" s="10" t="str">
        <f aca="false">VLOOKUP(J833,RECATALOGANDO!A:C,2,0)</f>
        <v>SERVICIO DE GROOMING</v>
      </c>
      <c r="N833" s="12" t="str">
        <f aca="false">VLOOKUP(M833,RECATALOGANDO!B:C,2,0)</f>
        <v>VENTA DE SERVICIO</v>
      </c>
      <c r="O833" s="2" t="s">
        <v>39</v>
      </c>
    </row>
    <row r="834" customFormat="false" ht="13.8" hidden="false" customHeight="false" outlineLevel="0" collapsed="false">
      <c r="A834" s="8" t="n">
        <v>45422</v>
      </c>
      <c r="B834" s="9" t="n">
        <f aca="false">DAY(A834)</f>
        <v>10</v>
      </c>
      <c r="C834" s="9" t="n">
        <f aca="false">MONTH(A834)</f>
        <v>5</v>
      </c>
      <c r="D834" s="9" t="n">
        <f aca="false">YEAR(A834)</f>
        <v>2024</v>
      </c>
      <c r="E834" s="9" t="n">
        <f aca="false">WEEKDAY(A834,2)</f>
        <v>5</v>
      </c>
      <c r="F834" s="10" t="n">
        <f aca="false">WEEKNUM(A834,2) - WEEKNUM(DATE(YEAR(A834),MONTH(A834),1),2) + 1</f>
        <v>2</v>
      </c>
      <c r="G834" s="10"/>
      <c r="H834" s="11" t="n">
        <v>1500</v>
      </c>
      <c r="I834" s="12" t="s">
        <v>15</v>
      </c>
      <c r="J834" s="12" t="s">
        <v>54</v>
      </c>
      <c r="K834" s="12"/>
      <c r="L834" s="9" t="n">
        <f aca="false">L833+H834</f>
        <v>21865.17</v>
      </c>
      <c r="M834" s="10" t="str">
        <f aca="false">VLOOKUP(J834,RECATALOGANDO!A:C,2,0)</f>
        <v>SERVICIO DE LABORATORIO</v>
      </c>
      <c r="N834" s="12" t="str">
        <f aca="false">VLOOKUP(M834,RECATALOGANDO!B:C,2,0)</f>
        <v>VENTA DE SERVICIO</v>
      </c>
      <c r="O834" s="2" t="s">
        <v>39</v>
      </c>
    </row>
    <row r="835" customFormat="false" ht="13.8" hidden="false" customHeight="false" outlineLevel="0" collapsed="false">
      <c r="A835" s="8" t="n">
        <v>45423</v>
      </c>
      <c r="B835" s="9" t="n">
        <f aca="false">DAY(A835)</f>
        <v>11</v>
      </c>
      <c r="C835" s="9" t="n">
        <f aca="false">MONTH(A835)</f>
        <v>5</v>
      </c>
      <c r="D835" s="9" t="n">
        <f aca="false">YEAR(A835)</f>
        <v>2024</v>
      </c>
      <c r="E835" s="9" t="n">
        <f aca="false">WEEKDAY(A835,2)</f>
        <v>6</v>
      </c>
      <c r="F835" s="10" t="n">
        <f aca="false">WEEKNUM(A835,2) - WEEKNUM(DATE(YEAR(A835),MONTH(A835),1),2) + 1</f>
        <v>2</v>
      </c>
      <c r="G835" s="10"/>
      <c r="H835" s="11" t="n">
        <v>1848.45</v>
      </c>
      <c r="I835" s="12" t="s">
        <v>15</v>
      </c>
      <c r="J835" s="22" t="s">
        <v>56</v>
      </c>
      <c r="K835" s="12"/>
      <c r="L835" s="9" t="n">
        <f aca="false">L834+H835</f>
        <v>23713.62</v>
      </c>
      <c r="M835" s="10" t="str">
        <f aca="false">VLOOKUP(J835,RECATALOGANDO!A:C,2,0)</f>
        <v>SERVICIO DE IMAGEN</v>
      </c>
      <c r="N835" s="12" t="str">
        <f aca="false">VLOOKUP(M835,RECATALOGANDO!B:C,2,0)</f>
        <v>VENTA DE SERVICIO</v>
      </c>
      <c r="O835" s="2" t="s">
        <v>39</v>
      </c>
    </row>
    <row r="836" customFormat="false" ht="13.8" hidden="false" customHeight="false" outlineLevel="0" collapsed="false">
      <c r="A836" s="8" t="n">
        <v>45425</v>
      </c>
      <c r="B836" s="9" t="n">
        <f aca="false">DAY(A836)</f>
        <v>13</v>
      </c>
      <c r="C836" s="9" t="n">
        <f aca="false">MONTH(A836)</f>
        <v>5</v>
      </c>
      <c r="D836" s="9" t="n">
        <f aca="false">YEAR(A836)</f>
        <v>2024</v>
      </c>
      <c r="E836" s="9" t="n">
        <f aca="false">WEEKDAY(A836,2)</f>
        <v>1</v>
      </c>
      <c r="F836" s="10" t="n">
        <f aca="false">WEEKNUM(A836,2) - WEEKNUM(DATE(YEAR(A836),MONTH(A836),1),2) + 1</f>
        <v>3</v>
      </c>
      <c r="G836" s="10"/>
      <c r="H836" s="11" t="n">
        <v>350</v>
      </c>
      <c r="I836" s="12" t="s">
        <v>20</v>
      </c>
      <c r="J836" s="12" t="s">
        <v>55</v>
      </c>
      <c r="K836" s="12"/>
      <c r="L836" s="9" t="n">
        <f aca="false">L835+H836</f>
        <v>24063.62</v>
      </c>
      <c r="M836" s="10" t="str">
        <f aca="false">VLOOKUP(J836,RECATALOGANDO!A:C,2,0)</f>
        <v>VENTA DE MEDICAMENTO</v>
      </c>
      <c r="N836" s="12" t="str">
        <f aca="false">VLOOKUP(M836,RECATALOGANDO!B:C,2,0)</f>
        <v>VENTA DE PRODUCTO</v>
      </c>
      <c r="O836" s="2" t="s">
        <v>39</v>
      </c>
    </row>
    <row r="837" customFormat="false" ht="13.8" hidden="false" customHeight="false" outlineLevel="0" collapsed="false">
      <c r="A837" s="8" t="n">
        <v>45425</v>
      </c>
      <c r="B837" s="9" t="n">
        <f aca="false">DAY(A837)</f>
        <v>13</v>
      </c>
      <c r="C837" s="9" t="n">
        <f aca="false">MONTH(A837)</f>
        <v>5</v>
      </c>
      <c r="D837" s="9" t="n">
        <f aca="false">YEAR(A837)</f>
        <v>2024</v>
      </c>
      <c r="E837" s="9" t="n">
        <f aca="false">WEEKDAY(A837,2)</f>
        <v>1</v>
      </c>
      <c r="F837" s="10" t="n">
        <f aca="false">WEEKNUM(A837,2) - WEEKNUM(DATE(YEAR(A837),MONTH(A837),1),2) + 1</f>
        <v>3</v>
      </c>
      <c r="G837" s="10"/>
      <c r="H837" s="11" t="n">
        <v>380</v>
      </c>
      <c r="I837" s="12" t="s">
        <v>20</v>
      </c>
      <c r="J837" s="12" t="s">
        <v>54</v>
      </c>
      <c r="K837" s="12"/>
      <c r="L837" s="9" t="n">
        <f aca="false">L836+H837</f>
        <v>24443.62</v>
      </c>
      <c r="M837" s="10" t="str">
        <f aca="false">VLOOKUP(J837,RECATALOGANDO!A:C,2,0)</f>
        <v>SERVICIO DE LABORATORIO</v>
      </c>
      <c r="N837" s="12" t="str">
        <f aca="false">VLOOKUP(M837,RECATALOGANDO!B:C,2,0)</f>
        <v>VENTA DE SERVICIO</v>
      </c>
      <c r="O837" s="2" t="s">
        <v>39</v>
      </c>
    </row>
    <row r="838" customFormat="false" ht="13.8" hidden="false" customHeight="false" outlineLevel="0" collapsed="false">
      <c r="A838" s="8" t="n">
        <v>45426</v>
      </c>
      <c r="B838" s="9" t="n">
        <f aca="false">DAY(A838)</f>
        <v>14</v>
      </c>
      <c r="C838" s="9" t="n">
        <f aca="false">MONTH(A838)</f>
        <v>5</v>
      </c>
      <c r="D838" s="9" t="n">
        <f aca="false">YEAR(A838)</f>
        <v>2024</v>
      </c>
      <c r="E838" s="9" t="n">
        <f aca="false">WEEKDAY(A838,2)</f>
        <v>2</v>
      </c>
      <c r="F838" s="10" t="n">
        <f aca="false">WEEKNUM(A838,2) - WEEKNUM(DATE(YEAR(A838),MONTH(A838),1),2) + 1</f>
        <v>3</v>
      </c>
      <c r="G838" s="10"/>
      <c r="H838" s="11" t="n">
        <v>336.34</v>
      </c>
      <c r="I838" s="12" t="s">
        <v>15</v>
      </c>
      <c r="J838" s="12" t="s">
        <v>49</v>
      </c>
      <c r="K838" s="12"/>
      <c r="L838" s="9" t="n">
        <f aca="false">L837+H838</f>
        <v>24779.96</v>
      </c>
      <c r="M838" s="10" t="str">
        <f aca="false">VLOOKUP(J838,RECATALOGANDO!A:C,2,0)</f>
        <v>SERVICIO DE GROOMING</v>
      </c>
      <c r="N838" s="12" t="str">
        <f aca="false">VLOOKUP(M838,RECATALOGANDO!B:C,2,0)</f>
        <v>VENTA DE SERVICIO</v>
      </c>
      <c r="O838" s="2" t="s">
        <v>39</v>
      </c>
    </row>
    <row r="839" customFormat="false" ht="13.8" hidden="false" customHeight="false" outlineLevel="0" collapsed="false">
      <c r="A839" s="8" t="n">
        <v>45427</v>
      </c>
      <c r="B839" s="9" t="n">
        <f aca="false">DAY(A839)</f>
        <v>15</v>
      </c>
      <c r="C839" s="9" t="n">
        <f aca="false">MONTH(A839)</f>
        <v>5</v>
      </c>
      <c r="D839" s="9" t="n">
        <f aca="false">YEAR(A839)</f>
        <v>2024</v>
      </c>
      <c r="E839" s="9" t="n">
        <f aca="false">WEEKDAY(A839,2)</f>
        <v>3</v>
      </c>
      <c r="F839" s="10" t="n">
        <f aca="false">WEEKNUM(A839,2) - WEEKNUM(DATE(YEAR(A839),MONTH(A839),1),2) + 1</f>
        <v>3</v>
      </c>
      <c r="G839" s="10" t="n">
        <v>1</v>
      </c>
      <c r="H839" s="11" t="n">
        <v>325</v>
      </c>
      <c r="I839" s="12" t="s">
        <v>20</v>
      </c>
      <c r="J839" s="12" t="s">
        <v>45</v>
      </c>
      <c r="K839" s="12"/>
      <c r="L839" s="9" t="n">
        <f aca="false">L838+H839</f>
        <v>25104.96</v>
      </c>
      <c r="M839" s="10" t="str">
        <f aca="false">VLOOKUP(J839,RECATALOGANDO!A:C,2,0)</f>
        <v>VENTA DE MEDICAMENTO</v>
      </c>
      <c r="N839" s="12" t="str">
        <f aca="false">VLOOKUP(M839,RECATALOGANDO!B:C,2,0)</f>
        <v>VENTA DE PRODUCTO</v>
      </c>
      <c r="O839" s="2" t="s">
        <v>39</v>
      </c>
    </row>
    <row r="840" customFormat="false" ht="13.8" hidden="false" customHeight="false" outlineLevel="0" collapsed="false">
      <c r="A840" s="8" t="n">
        <v>45428</v>
      </c>
      <c r="B840" s="9" t="n">
        <f aca="false">DAY(A840)</f>
        <v>16</v>
      </c>
      <c r="C840" s="9" t="n">
        <f aca="false">MONTH(A840)</f>
        <v>5</v>
      </c>
      <c r="D840" s="9" t="n">
        <f aca="false">YEAR(A840)</f>
        <v>2024</v>
      </c>
      <c r="E840" s="9" t="n">
        <f aca="false">WEEKDAY(A840,2)</f>
        <v>4</v>
      </c>
      <c r="F840" s="10" t="n">
        <f aca="false">WEEKNUM(A840,2) - WEEKNUM(DATE(YEAR(A840),MONTH(A840),1),2) + 1</f>
        <v>3</v>
      </c>
      <c r="G840" s="10"/>
      <c r="H840" s="11" t="n">
        <v>617.11</v>
      </c>
      <c r="I840" s="12" t="s">
        <v>15</v>
      </c>
      <c r="J840" s="12" t="s">
        <v>51</v>
      </c>
      <c r="K840" s="12"/>
      <c r="L840" s="9" t="n">
        <f aca="false">L839+H840</f>
        <v>25722.07</v>
      </c>
      <c r="M840" s="10" t="str">
        <f aca="false">VLOOKUP(J840,RECATALOGANDO!A:C,2,0)</f>
        <v>VENTA DE ALIMENTO</v>
      </c>
      <c r="N840" s="12" t="str">
        <f aca="false">VLOOKUP(M840,RECATALOGANDO!B:C,2,0)</f>
        <v>VENTA DE PRODUCTO</v>
      </c>
      <c r="O840" s="2" t="s">
        <v>39</v>
      </c>
    </row>
    <row r="841" customFormat="false" ht="13.8" hidden="false" customHeight="false" outlineLevel="0" collapsed="false">
      <c r="A841" s="8" t="n">
        <v>45428</v>
      </c>
      <c r="B841" s="9" t="n">
        <f aca="false">DAY(A841)</f>
        <v>16</v>
      </c>
      <c r="C841" s="9" t="n">
        <f aca="false">MONTH(A841)</f>
        <v>5</v>
      </c>
      <c r="D841" s="9" t="n">
        <f aca="false">YEAR(A841)</f>
        <v>2024</v>
      </c>
      <c r="E841" s="9" t="n">
        <f aca="false">WEEKDAY(A841,2)</f>
        <v>4</v>
      </c>
      <c r="F841" s="10" t="n">
        <f aca="false">WEEKNUM(A841,2) - WEEKNUM(DATE(YEAR(A841),MONTH(A841),1),2) + 1</f>
        <v>3</v>
      </c>
      <c r="G841" s="10"/>
      <c r="H841" s="11" t="n">
        <v>2334</v>
      </c>
      <c r="I841" s="12" t="s">
        <v>20</v>
      </c>
      <c r="J841" s="12" t="s">
        <v>51</v>
      </c>
      <c r="K841" s="12"/>
      <c r="L841" s="9" t="n">
        <f aca="false">L840+H841</f>
        <v>28056.07</v>
      </c>
      <c r="M841" s="10" t="str">
        <f aca="false">VLOOKUP(J841,RECATALOGANDO!A:C,2,0)</f>
        <v>VENTA DE ALIMENTO</v>
      </c>
      <c r="N841" s="12" t="str">
        <f aca="false">VLOOKUP(M841,RECATALOGANDO!B:C,2,0)</f>
        <v>VENTA DE PRODUCTO</v>
      </c>
      <c r="O841" s="2" t="s">
        <v>39</v>
      </c>
    </row>
    <row r="842" customFormat="false" ht="13.8" hidden="false" customHeight="false" outlineLevel="0" collapsed="false">
      <c r="A842" s="8" t="n">
        <v>45429</v>
      </c>
      <c r="B842" s="9" t="n">
        <f aca="false">DAY(A842)</f>
        <v>17</v>
      </c>
      <c r="C842" s="9" t="n">
        <f aca="false">MONTH(A842)</f>
        <v>5</v>
      </c>
      <c r="D842" s="9" t="n">
        <f aca="false">YEAR(A842)</f>
        <v>2024</v>
      </c>
      <c r="E842" s="9" t="n">
        <f aca="false">WEEKDAY(A842,2)</f>
        <v>5</v>
      </c>
      <c r="F842" s="10" t="n">
        <f aca="false">WEEKNUM(A842,2) - WEEKNUM(DATE(YEAR(A842),MONTH(A842),1),2) + 1</f>
        <v>3</v>
      </c>
      <c r="G842" s="10"/>
      <c r="H842" s="11" t="n">
        <v>250</v>
      </c>
      <c r="I842" s="12" t="s">
        <v>20</v>
      </c>
      <c r="J842" s="12" t="s">
        <v>49</v>
      </c>
      <c r="K842" s="12"/>
      <c r="L842" s="9" t="n">
        <f aca="false">L841+H842</f>
        <v>28306.07</v>
      </c>
      <c r="M842" s="10" t="str">
        <f aca="false">VLOOKUP(J842,RECATALOGANDO!A:C,2,0)</f>
        <v>SERVICIO DE GROOMING</v>
      </c>
      <c r="N842" s="12" t="str">
        <f aca="false">VLOOKUP(M842,RECATALOGANDO!B:C,2,0)</f>
        <v>VENTA DE SERVICIO</v>
      </c>
      <c r="O842" s="2" t="s">
        <v>39</v>
      </c>
    </row>
    <row r="843" customFormat="false" ht="13.8" hidden="false" customHeight="false" outlineLevel="0" collapsed="false">
      <c r="A843" s="8" t="n">
        <v>45430</v>
      </c>
      <c r="B843" s="9" t="n">
        <f aca="false">DAY(A843)</f>
        <v>18</v>
      </c>
      <c r="C843" s="9" t="n">
        <f aca="false">MONTH(A843)</f>
        <v>5</v>
      </c>
      <c r="D843" s="9" t="n">
        <f aca="false">YEAR(A843)</f>
        <v>2024</v>
      </c>
      <c r="E843" s="9" t="n">
        <f aca="false">WEEKDAY(A843,2)</f>
        <v>6</v>
      </c>
      <c r="F843" s="10" t="n">
        <f aca="false">WEEKNUM(A843,2) - WEEKNUM(DATE(YEAR(A843),MONTH(A843),1),2) + 1</f>
        <v>3</v>
      </c>
      <c r="G843" s="10"/>
      <c r="H843" s="11" t="n">
        <v>1082.81</v>
      </c>
      <c r="I843" s="12" t="s">
        <v>15</v>
      </c>
      <c r="J843" s="12" t="s">
        <v>54</v>
      </c>
      <c r="K843" s="12"/>
      <c r="L843" s="9" t="n">
        <f aca="false">L842+H843</f>
        <v>29388.88</v>
      </c>
      <c r="M843" s="10" t="str">
        <f aca="false">VLOOKUP(J843,RECATALOGANDO!A:C,2,0)</f>
        <v>SERVICIO DE LABORATORIO</v>
      </c>
      <c r="N843" s="12" t="str">
        <f aca="false">VLOOKUP(M843,RECATALOGANDO!B:C,2,0)</f>
        <v>VENTA DE SERVICIO</v>
      </c>
      <c r="O843" s="2" t="s">
        <v>39</v>
      </c>
    </row>
    <row r="844" customFormat="false" ht="13.8" hidden="false" customHeight="false" outlineLevel="0" collapsed="false">
      <c r="A844" s="8" t="n">
        <v>45431</v>
      </c>
      <c r="B844" s="9" t="n">
        <f aca="false">DAY(A844)</f>
        <v>19</v>
      </c>
      <c r="C844" s="9" t="n">
        <f aca="false">MONTH(A844)</f>
        <v>5</v>
      </c>
      <c r="D844" s="9" t="n">
        <f aca="false">YEAR(A844)</f>
        <v>2024</v>
      </c>
      <c r="E844" s="9" t="n">
        <f aca="false">WEEKDAY(A844,2)</f>
        <v>7</v>
      </c>
      <c r="F844" s="10" t="n">
        <f aca="false">WEEKNUM(A844,2) - WEEKNUM(DATE(YEAR(A844),MONTH(A844),1),2) + 1</f>
        <v>3</v>
      </c>
      <c r="G844" s="10"/>
      <c r="H844" s="11" t="n">
        <v>408.21</v>
      </c>
      <c r="I844" s="12" t="s">
        <v>15</v>
      </c>
      <c r="J844" s="12" t="s">
        <v>45</v>
      </c>
      <c r="K844" s="12"/>
      <c r="L844" s="9" t="n">
        <f aca="false">L843+H844</f>
        <v>29797.09</v>
      </c>
      <c r="M844" s="10" t="str">
        <f aca="false">VLOOKUP(J844,RECATALOGANDO!A:C,2,0)</f>
        <v>VENTA DE MEDICAMENTO</v>
      </c>
      <c r="N844" s="12" t="str">
        <f aca="false">VLOOKUP(M844,RECATALOGANDO!B:C,2,0)</f>
        <v>VENTA DE PRODUCTO</v>
      </c>
      <c r="O844" s="2" t="s">
        <v>39</v>
      </c>
    </row>
    <row r="845" customFormat="false" ht="13.8" hidden="false" customHeight="false" outlineLevel="0" collapsed="false">
      <c r="A845" s="8" t="n">
        <v>45432</v>
      </c>
      <c r="B845" s="9" t="n">
        <f aca="false">DAY(A845)</f>
        <v>20</v>
      </c>
      <c r="C845" s="9" t="n">
        <f aca="false">MONTH(A845)</f>
        <v>5</v>
      </c>
      <c r="D845" s="9" t="n">
        <f aca="false">YEAR(A845)</f>
        <v>2024</v>
      </c>
      <c r="E845" s="9" t="n">
        <f aca="false">WEEKDAY(A845,2)</f>
        <v>1</v>
      </c>
      <c r="F845" s="10" t="n">
        <f aca="false">WEEKNUM(A845,2) - WEEKNUM(DATE(YEAR(A845),MONTH(A845),1),2) + 1</f>
        <v>4</v>
      </c>
      <c r="G845" s="10"/>
      <c r="H845" s="11" t="n">
        <v>2087</v>
      </c>
      <c r="I845" s="12" t="s">
        <v>20</v>
      </c>
      <c r="J845" s="12" t="s">
        <v>51</v>
      </c>
      <c r="K845" s="12"/>
      <c r="L845" s="9" t="n">
        <f aca="false">L844+H845</f>
        <v>31884.09</v>
      </c>
      <c r="M845" s="10" t="str">
        <f aca="false">VLOOKUP(J845,RECATALOGANDO!A:C,2,0)</f>
        <v>VENTA DE ALIMENTO</v>
      </c>
      <c r="N845" s="12" t="str">
        <f aca="false">VLOOKUP(M845,RECATALOGANDO!B:C,2,0)</f>
        <v>VENTA DE PRODUCTO</v>
      </c>
      <c r="O845" s="2" t="s">
        <v>39</v>
      </c>
    </row>
    <row r="846" customFormat="false" ht="13.8" hidden="false" customHeight="false" outlineLevel="0" collapsed="false">
      <c r="A846" s="8" t="n">
        <v>45432</v>
      </c>
      <c r="B846" s="9" t="n">
        <f aca="false">DAY(A846)</f>
        <v>20</v>
      </c>
      <c r="C846" s="9" t="n">
        <f aca="false">MONTH(A846)</f>
        <v>5</v>
      </c>
      <c r="D846" s="9" t="n">
        <f aca="false">YEAR(A846)</f>
        <v>2024</v>
      </c>
      <c r="E846" s="9" t="n">
        <f aca="false">WEEKDAY(A846,2)</f>
        <v>1</v>
      </c>
      <c r="F846" s="10" t="n">
        <f aca="false">WEEKNUM(A846,2) - WEEKNUM(DATE(YEAR(A846),MONTH(A846),1),2) + 1</f>
        <v>4</v>
      </c>
      <c r="G846" s="10"/>
      <c r="H846" s="11" t="n">
        <v>200</v>
      </c>
      <c r="I846" s="12" t="s">
        <v>20</v>
      </c>
      <c r="J846" s="12" t="s">
        <v>44</v>
      </c>
      <c r="K846" s="12"/>
      <c r="L846" s="9" t="n">
        <f aca="false">L845+H846</f>
        <v>32084.09</v>
      </c>
      <c r="M846" s="10" t="str">
        <f aca="false">VLOOKUP(J846,RECATALOGANDO!A:C,2,0)</f>
        <v>HONORARIOS MEDICOS</v>
      </c>
      <c r="N846" s="12" t="str">
        <f aca="false">VLOOKUP(M846,RECATALOGANDO!B:C,2,0)</f>
        <v>VENTA DE SERVICIO</v>
      </c>
      <c r="O846" s="2" t="s">
        <v>39</v>
      </c>
    </row>
    <row r="847" customFormat="false" ht="13.8" hidden="false" customHeight="false" outlineLevel="0" collapsed="false">
      <c r="A847" s="8" t="n">
        <v>45432</v>
      </c>
      <c r="B847" s="9" t="n">
        <f aca="false">DAY(A847)</f>
        <v>20</v>
      </c>
      <c r="C847" s="9" t="n">
        <f aca="false">MONTH(A847)</f>
        <v>5</v>
      </c>
      <c r="D847" s="9" t="n">
        <f aca="false">YEAR(A847)</f>
        <v>2024</v>
      </c>
      <c r="E847" s="9" t="n">
        <f aca="false">WEEKDAY(A847,2)</f>
        <v>1</v>
      </c>
      <c r="F847" s="10" t="n">
        <f aca="false">WEEKNUM(A847,2) - WEEKNUM(DATE(YEAR(A847),MONTH(A847),1),2) + 1</f>
        <v>4</v>
      </c>
      <c r="G847" s="10"/>
      <c r="H847" s="11" t="n">
        <v>360</v>
      </c>
      <c r="I847" s="12" t="s">
        <v>20</v>
      </c>
      <c r="J847" s="12" t="s">
        <v>44</v>
      </c>
      <c r="K847" s="12"/>
      <c r="L847" s="9" t="n">
        <f aca="false">L846+H847</f>
        <v>32444.09</v>
      </c>
      <c r="M847" s="10" t="str">
        <f aca="false">VLOOKUP(J847,RECATALOGANDO!A:C,2,0)</f>
        <v>HONORARIOS MEDICOS</v>
      </c>
      <c r="N847" s="12" t="str">
        <f aca="false">VLOOKUP(M847,RECATALOGANDO!B:C,2,0)</f>
        <v>VENTA DE SERVICIO</v>
      </c>
      <c r="O847" s="2" t="s">
        <v>39</v>
      </c>
    </row>
    <row r="848" customFormat="false" ht="13.8" hidden="false" customHeight="false" outlineLevel="0" collapsed="false">
      <c r="A848" s="8" t="n">
        <v>45432</v>
      </c>
      <c r="B848" s="9" t="n">
        <f aca="false">DAY(A848)</f>
        <v>20</v>
      </c>
      <c r="C848" s="9" t="n">
        <f aca="false">MONTH(A848)</f>
        <v>5</v>
      </c>
      <c r="D848" s="9" t="n">
        <f aca="false">YEAR(A848)</f>
        <v>2024</v>
      </c>
      <c r="E848" s="9" t="n">
        <f aca="false">WEEKDAY(A848,2)</f>
        <v>1</v>
      </c>
      <c r="F848" s="10" t="n">
        <f aca="false">WEEKNUM(A848,2) - WEEKNUM(DATE(YEAR(A848),MONTH(A848),1),2) + 1</f>
        <v>4</v>
      </c>
      <c r="G848" s="10"/>
      <c r="H848" s="11" t="n">
        <v>1200</v>
      </c>
      <c r="I848" s="12" t="s">
        <v>20</v>
      </c>
      <c r="J848" s="12" t="s">
        <v>44</v>
      </c>
      <c r="K848" s="12"/>
      <c r="L848" s="9" t="n">
        <f aca="false">L847+H848</f>
        <v>33644.09</v>
      </c>
      <c r="M848" s="10" t="str">
        <f aca="false">VLOOKUP(J848,RECATALOGANDO!A:C,2,0)</f>
        <v>HONORARIOS MEDICOS</v>
      </c>
      <c r="N848" s="12" t="str">
        <f aca="false">VLOOKUP(M848,RECATALOGANDO!B:C,2,0)</f>
        <v>VENTA DE SERVICIO</v>
      </c>
      <c r="O848" s="2" t="s">
        <v>39</v>
      </c>
    </row>
    <row r="849" customFormat="false" ht="13.8" hidden="false" customHeight="false" outlineLevel="0" collapsed="false">
      <c r="A849" s="8" t="n">
        <v>45434</v>
      </c>
      <c r="B849" s="9" t="n">
        <f aca="false">DAY(A849)</f>
        <v>22</v>
      </c>
      <c r="C849" s="9" t="n">
        <f aca="false">MONTH(A849)</f>
        <v>5</v>
      </c>
      <c r="D849" s="9" t="n">
        <f aca="false">YEAR(A849)</f>
        <v>2024</v>
      </c>
      <c r="E849" s="9" t="n">
        <f aca="false">WEEKDAY(A849,2)</f>
        <v>3</v>
      </c>
      <c r="F849" s="10" t="n">
        <f aca="false">WEEKNUM(A849,2) - WEEKNUM(DATE(YEAR(A849),MONTH(A849),1),2) + 1</f>
        <v>4</v>
      </c>
      <c r="G849" s="10"/>
      <c r="H849" s="11" t="n">
        <v>260</v>
      </c>
      <c r="I849" s="12" t="s">
        <v>20</v>
      </c>
      <c r="J849" s="12" t="s">
        <v>55</v>
      </c>
      <c r="K849" s="12"/>
      <c r="L849" s="9" t="n">
        <f aca="false">L848+H849</f>
        <v>33904.09</v>
      </c>
      <c r="M849" s="10" t="str">
        <f aca="false">VLOOKUP(J849,RECATALOGANDO!A:C,2,0)</f>
        <v>VENTA DE MEDICAMENTO</v>
      </c>
      <c r="N849" s="12" t="str">
        <f aca="false">VLOOKUP(M849,RECATALOGANDO!B:C,2,0)</f>
        <v>VENTA DE PRODUCTO</v>
      </c>
      <c r="O849" s="2" t="s">
        <v>39</v>
      </c>
    </row>
    <row r="850" customFormat="false" ht="13.8" hidden="false" customHeight="false" outlineLevel="0" collapsed="false">
      <c r="A850" s="8" t="n">
        <v>45434</v>
      </c>
      <c r="B850" s="9" t="n">
        <f aca="false">DAY(A850)</f>
        <v>22</v>
      </c>
      <c r="C850" s="9" t="n">
        <f aca="false">MONTH(A850)</f>
        <v>5</v>
      </c>
      <c r="D850" s="9" t="n">
        <f aca="false">YEAR(A850)</f>
        <v>2024</v>
      </c>
      <c r="E850" s="9" t="n">
        <f aca="false">WEEKDAY(A850,2)</f>
        <v>3</v>
      </c>
      <c r="F850" s="10" t="n">
        <f aca="false">WEEKNUM(A850,2) - WEEKNUM(DATE(YEAR(A850),MONTH(A850),1),2) + 1</f>
        <v>4</v>
      </c>
      <c r="G850" s="10"/>
      <c r="H850" s="11" t="n">
        <v>1350</v>
      </c>
      <c r="I850" s="12" t="s">
        <v>15</v>
      </c>
      <c r="J850" s="12" t="s">
        <v>51</v>
      </c>
      <c r="K850" s="12"/>
      <c r="L850" s="9" t="n">
        <f aca="false">L849+H850</f>
        <v>35254.09</v>
      </c>
      <c r="M850" s="10" t="str">
        <f aca="false">VLOOKUP(J850,RECATALOGANDO!A:C,2,0)</f>
        <v>VENTA DE ALIMENTO</v>
      </c>
      <c r="N850" s="12" t="str">
        <f aca="false">VLOOKUP(M850,RECATALOGANDO!B:C,2,0)</f>
        <v>VENTA DE PRODUCTO</v>
      </c>
      <c r="O850" s="2" t="s">
        <v>39</v>
      </c>
    </row>
    <row r="851" customFormat="false" ht="13.8" hidden="false" customHeight="false" outlineLevel="0" collapsed="false">
      <c r="A851" s="8" t="n">
        <v>45434</v>
      </c>
      <c r="B851" s="9" t="n">
        <f aca="false">DAY(A851)</f>
        <v>22</v>
      </c>
      <c r="C851" s="9" t="n">
        <f aca="false">MONTH(A851)</f>
        <v>5</v>
      </c>
      <c r="D851" s="9" t="n">
        <f aca="false">YEAR(A851)</f>
        <v>2024</v>
      </c>
      <c r="E851" s="9" t="n">
        <f aca="false">WEEKDAY(A851,2)</f>
        <v>3</v>
      </c>
      <c r="F851" s="10" t="n">
        <f aca="false">WEEKNUM(A851,2) - WEEKNUM(DATE(YEAR(A851),MONTH(A851),1),2) + 1</f>
        <v>4</v>
      </c>
      <c r="G851" s="10"/>
      <c r="H851" s="11" t="n">
        <v>560</v>
      </c>
      <c r="I851" s="12" t="s">
        <v>20</v>
      </c>
      <c r="J851" s="12" t="s">
        <v>44</v>
      </c>
      <c r="K851" s="12"/>
      <c r="L851" s="9" t="n">
        <f aca="false">L850+H851</f>
        <v>35814.09</v>
      </c>
      <c r="M851" s="10" t="str">
        <f aca="false">VLOOKUP(J851,RECATALOGANDO!A:C,2,0)</f>
        <v>HONORARIOS MEDICOS</v>
      </c>
      <c r="N851" s="12" t="str">
        <f aca="false">VLOOKUP(M851,RECATALOGANDO!B:C,2,0)</f>
        <v>VENTA DE SERVICIO</v>
      </c>
      <c r="O851" s="2" t="s">
        <v>39</v>
      </c>
    </row>
    <row r="852" customFormat="false" ht="13.8" hidden="false" customHeight="false" outlineLevel="0" collapsed="false">
      <c r="A852" s="8" t="n">
        <v>45434</v>
      </c>
      <c r="B852" s="9" t="n">
        <f aca="false">DAY(A852)</f>
        <v>22</v>
      </c>
      <c r="C852" s="9" t="n">
        <f aca="false">MONTH(A852)</f>
        <v>5</v>
      </c>
      <c r="D852" s="9" t="n">
        <f aca="false">YEAR(A852)</f>
        <v>2024</v>
      </c>
      <c r="E852" s="9" t="n">
        <f aca="false">WEEKDAY(A852,2)</f>
        <v>3</v>
      </c>
      <c r="F852" s="10" t="n">
        <f aca="false">WEEKNUM(A852,2) - WEEKNUM(DATE(YEAR(A852),MONTH(A852),1),2) + 1</f>
        <v>4</v>
      </c>
      <c r="G852" s="10"/>
      <c r="H852" s="11" t="n">
        <v>894</v>
      </c>
      <c r="I852" s="12" t="s">
        <v>15</v>
      </c>
      <c r="J852" s="12" t="s">
        <v>44</v>
      </c>
      <c r="K852" s="12"/>
      <c r="L852" s="9" t="n">
        <f aca="false">L851+H852</f>
        <v>36708.09</v>
      </c>
      <c r="M852" s="10" t="str">
        <f aca="false">VLOOKUP(J852,RECATALOGANDO!A:C,2,0)</f>
        <v>HONORARIOS MEDICOS</v>
      </c>
      <c r="N852" s="12" t="str">
        <f aca="false">VLOOKUP(M852,RECATALOGANDO!B:C,2,0)</f>
        <v>VENTA DE SERVICIO</v>
      </c>
      <c r="O852" s="2" t="s">
        <v>39</v>
      </c>
    </row>
    <row r="853" customFormat="false" ht="13.8" hidden="false" customHeight="false" outlineLevel="0" collapsed="false">
      <c r="A853" s="8" t="n">
        <v>45435</v>
      </c>
      <c r="B853" s="9" t="n">
        <f aca="false">DAY(A853)</f>
        <v>23</v>
      </c>
      <c r="C853" s="9" t="n">
        <f aca="false">MONTH(A853)</f>
        <v>5</v>
      </c>
      <c r="D853" s="9" t="n">
        <f aca="false">YEAR(A853)</f>
        <v>2024</v>
      </c>
      <c r="E853" s="9" t="n">
        <f aca="false">WEEKDAY(A853,2)</f>
        <v>4</v>
      </c>
      <c r="F853" s="10" t="n">
        <f aca="false">WEEKNUM(A853,2) - WEEKNUM(DATE(YEAR(A853),MONTH(A853),1),2) + 1</f>
        <v>4</v>
      </c>
      <c r="G853" s="10"/>
      <c r="H853" s="11" t="n">
        <v>900</v>
      </c>
      <c r="I853" s="12" t="s">
        <v>15</v>
      </c>
      <c r="J853" s="12" t="s">
        <v>70</v>
      </c>
      <c r="K853" s="12"/>
      <c r="L853" s="9" t="n">
        <f aca="false">L852+H853</f>
        <v>37608.09</v>
      </c>
      <c r="M853" s="10" t="str">
        <f aca="false">VLOOKUP(J853,RECATALOGANDO!A:C,2,0)</f>
        <v>SERVICIO DE CREMACION</v>
      </c>
      <c r="N853" s="12" t="str">
        <f aca="false">VLOOKUP(M853,RECATALOGANDO!B:C,2,0)</f>
        <v>VENTA DE SERVICIO</v>
      </c>
      <c r="O853" s="2" t="s">
        <v>39</v>
      </c>
    </row>
    <row r="854" customFormat="false" ht="13.8" hidden="false" customHeight="false" outlineLevel="0" collapsed="false">
      <c r="A854" s="8" t="n">
        <v>45437</v>
      </c>
      <c r="B854" s="9" t="n">
        <f aca="false">DAY(A854)</f>
        <v>25</v>
      </c>
      <c r="C854" s="9" t="n">
        <f aca="false">MONTH(A854)</f>
        <v>5</v>
      </c>
      <c r="D854" s="9" t="n">
        <f aca="false">YEAR(A854)</f>
        <v>2024</v>
      </c>
      <c r="E854" s="9" t="n">
        <f aca="false">WEEKDAY(A854,2)</f>
        <v>6</v>
      </c>
      <c r="F854" s="10" t="n">
        <f aca="false">WEEKNUM(A854,2) - WEEKNUM(DATE(YEAR(A854),MONTH(A854),1),2) + 1</f>
        <v>4</v>
      </c>
      <c r="G854" s="10"/>
      <c r="H854" s="11" t="n">
        <v>1389.45</v>
      </c>
      <c r="I854" s="12" t="s">
        <v>15</v>
      </c>
      <c r="J854" s="12" t="s">
        <v>64</v>
      </c>
      <c r="K854" s="12"/>
      <c r="L854" s="9" t="n">
        <f aca="false">L853+H854</f>
        <v>38997.54</v>
      </c>
      <c r="M854" s="10" t="str">
        <f aca="false">VLOOKUP(J854,RECATALOGANDO!A:C,2,0)</f>
        <v>HONORARIOS QUIRURGICOS</v>
      </c>
      <c r="N854" s="12" t="str">
        <f aca="false">VLOOKUP(M854,RECATALOGANDO!B:C,2,0)</f>
        <v>VENTA DE SERVICIO</v>
      </c>
      <c r="O854" s="2" t="s">
        <v>39</v>
      </c>
    </row>
    <row r="855" customFormat="false" ht="13.8" hidden="false" customHeight="false" outlineLevel="0" collapsed="false">
      <c r="A855" s="8" t="n">
        <v>45438</v>
      </c>
      <c r="B855" s="9" t="n">
        <f aca="false">DAY(A855)</f>
        <v>26</v>
      </c>
      <c r="C855" s="9" t="n">
        <f aca="false">MONTH(A855)</f>
        <v>5</v>
      </c>
      <c r="D855" s="9" t="n">
        <f aca="false">YEAR(A855)</f>
        <v>2024</v>
      </c>
      <c r="E855" s="9" t="n">
        <f aca="false">WEEKDAY(A855,2)</f>
        <v>7</v>
      </c>
      <c r="F855" s="10" t="n">
        <f aca="false">WEEKNUM(A855,2) - WEEKNUM(DATE(YEAR(A855),MONTH(A855),1),2) + 1</f>
        <v>4</v>
      </c>
      <c r="G855" s="10"/>
      <c r="H855" s="11" t="n">
        <v>4347.54</v>
      </c>
      <c r="I855" s="12" t="s">
        <v>15</v>
      </c>
      <c r="J855" s="12" t="s">
        <v>51</v>
      </c>
      <c r="K855" s="12"/>
      <c r="L855" s="9" t="n">
        <f aca="false">L854+H855</f>
        <v>43345.08</v>
      </c>
      <c r="M855" s="10" t="str">
        <f aca="false">VLOOKUP(J855,RECATALOGANDO!A:C,2,0)</f>
        <v>VENTA DE ALIMENTO</v>
      </c>
      <c r="N855" s="12" t="str">
        <f aca="false">VLOOKUP(M855,RECATALOGANDO!B:C,2,0)</f>
        <v>VENTA DE PRODUCTO</v>
      </c>
      <c r="O855" s="2" t="s">
        <v>39</v>
      </c>
    </row>
    <row r="856" customFormat="false" ht="13.8" hidden="false" customHeight="false" outlineLevel="0" collapsed="false">
      <c r="A856" s="8" t="n">
        <v>45439</v>
      </c>
      <c r="B856" s="9" t="n">
        <f aca="false">DAY(A856)</f>
        <v>27</v>
      </c>
      <c r="C856" s="9" t="n">
        <f aca="false">MONTH(A856)</f>
        <v>5</v>
      </c>
      <c r="D856" s="9" t="n">
        <f aca="false">YEAR(A856)</f>
        <v>2024</v>
      </c>
      <c r="E856" s="9" t="n">
        <f aca="false">WEEKDAY(A856,2)</f>
        <v>1</v>
      </c>
      <c r="F856" s="10" t="n">
        <f aca="false">WEEKNUM(A856,2) - WEEKNUM(DATE(YEAR(A856),MONTH(A856),1),2) + 1</f>
        <v>5</v>
      </c>
      <c r="G856" s="10"/>
      <c r="H856" s="11" t="n">
        <v>420</v>
      </c>
      <c r="I856" s="12" t="s">
        <v>20</v>
      </c>
      <c r="J856" s="12" t="s">
        <v>45</v>
      </c>
      <c r="K856" s="12"/>
      <c r="L856" s="9" t="n">
        <f aca="false">L855+H856</f>
        <v>43765.08</v>
      </c>
      <c r="M856" s="10" t="str">
        <f aca="false">VLOOKUP(J856,RECATALOGANDO!A:C,2,0)</f>
        <v>VENTA DE MEDICAMENTO</v>
      </c>
      <c r="N856" s="12" t="str">
        <f aca="false">VLOOKUP(M856,RECATALOGANDO!B:C,2,0)</f>
        <v>VENTA DE PRODUCTO</v>
      </c>
      <c r="O856" s="2" t="s">
        <v>39</v>
      </c>
    </row>
    <row r="857" customFormat="false" ht="13.8" hidden="false" customHeight="false" outlineLevel="0" collapsed="false">
      <c r="A857" s="8" t="n">
        <v>45439</v>
      </c>
      <c r="B857" s="9" t="n">
        <f aca="false">DAY(A857)</f>
        <v>27</v>
      </c>
      <c r="C857" s="9" t="n">
        <f aca="false">MONTH(A857)</f>
        <v>5</v>
      </c>
      <c r="D857" s="9" t="n">
        <f aca="false">YEAR(A857)</f>
        <v>2024</v>
      </c>
      <c r="E857" s="9" t="n">
        <f aca="false">WEEKDAY(A857,2)</f>
        <v>1</v>
      </c>
      <c r="F857" s="10" t="n">
        <f aca="false">WEEKNUM(A857,2) - WEEKNUM(DATE(YEAR(A857),MONTH(A857),1),2) + 1</f>
        <v>5</v>
      </c>
      <c r="G857" s="10"/>
      <c r="H857" s="11" t="n">
        <v>725</v>
      </c>
      <c r="I857" s="12" t="s">
        <v>20</v>
      </c>
      <c r="J857" s="12" t="s">
        <v>45</v>
      </c>
      <c r="K857" s="12"/>
      <c r="L857" s="9" t="n">
        <f aca="false">L856+H857</f>
        <v>44490.08</v>
      </c>
      <c r="M857" s="10" t="str">
        <f aca="false">VLOOKUP(J857,RECATALOGANDO!A:C,2,0)</f>
        <v>VENTA DE MEDICAMENTO</v>
      </c>
      <c r="N857" s="12" t="str">
        <f aca="false">VLOOKUP(M857,RECATALOGANDO!B:C,2,0)</f>
        <v>VENTA DE PRODUCTO</v>
      </c>
      <c r="O857" s="2" t="s">
        <v>39</v>
      </c>
    </row>
    <row r="858" customFormat="false" ht="13.8" hidden="false" customHeight="false" outlineLevel="0" collapsed="false">
      <c r="A858" s="8" t="n">
        <v>45439</v>
      </c>
      <c r="B858" s="9" t="n">
        <f aca="false">DAY(A858)</f>
        <v>27</v>
      </c>
      <c r="C858" s="9" t="n">
        <f aca="false">MONTH(A858)</f>
        <v>5</v>
      </c>
      <c r="D858" s="9" t="n">
        <f aca="false">YEAR(A858)</f>
        <v>2024</v>
      </c>
      <c r="E858" s="9" t="n">
        <f aca="false">WEEKDAY(A858,2)</f>
        <v>1</v>
      </c>
      <c r="F858" s="10" t="n">
        <f aca="false">WEEKNUM(A858,2) - WEEKNUM(DATE(YEAR(A858),MONTH(A858),1),2) + 1</f>
        <v>5</v>
      </c>
      <c r="G858" s="10"/>
      <c r="H858" s="11" t="n">
        <v>2850</v>
      </c>
      <c r="I858" s="12" t="s">
        <v>20</v>
      </c>
      <c r="J858" s="12" t="s">
        <v>51</v>
      </c>
      <c r="K858" s="12"/>
      <c r="L858" s="9" t="n">
        <f aca="false">L857+H858</f>
        <v>47340.08</v>
      </c>
      <c r="M858" s="10" t="str">
        <f aca="false">VLOOKUP(J858,RECATALOGANDO!A:C,2,0)</f>
        <v>VENTA DE ALIMENTO</v>
      </c>
      <c r="N858" s="12" t="str">
        <f aca="false">VLOOKUP(M858,RECATALOGANDO!B:C,2,0)</f>
        <v>VENTA DE PRODUCTO</v>
      </c>
      <c r="O858" s="2" t="s">
        <v>39</v>
      </c>
    </row>
    <row r="859" customFormat="false" ht="13.8" hidden="false" customHeight="false" outlineLevel="0" collapsed="false">
      <c r="A859" s="8" t="n">
        <v>45439</v>
      </c>
      <c r="B859" s="9" t="n">
        <f aca="false">DAY(A859)</f>
        <v>27</v>
      </c>
      <c r="C859" s="9" t="n">
        <f aca="false">MONTH(A859)</f>
        <v>5</v>
      </c>
      <c r="D859" s="9" t="n">
        <f aca="false">YEAR(A859)</f>
        <v>2024</v>
      </c>
      <c r="E859" s="9" t="n">
        <f aca="false">WEEKDAY(A859,2)</f>
        <v>1</v>
      </c>
      <c r="F859" s="10" t="n">
        <f aca="false">WEEKNUM(A859,2) - WEEKNUM(DATE(YEAR(A859),MONTH(A859),1),2) + 1</f>
        <v>5</v>
      </c>
      <c r="G859" s="10"/>
      <c r="H859" s="11" t="n">
        <v>190</v>
      </c>
      <c r="I859" s="12" t="s">
        <v>20</v>
      </c>
      <c r="J859" s="12" t="s">
        <v>49</v>
      </c>
      <c r="K859" s="12"/>
      <c r="L859" s="9" t="n">
        <f aca="false">L858+H859</f>
        <v>47530.08</v>
      </c>
      <c r="M859" s="10" t="str">
        <f aca="false">VLOOKUP(J859,RECATALOGANDO!A:C,2,0)</f>
        <v>SERVICIO DE GROOMING</v>
      </c>
      <c r="N859" s="12" t="str">
        <f aca="false">VLOOKUP(M859,RECATALOGANDO!B:C,2,0)</f>
        <v>VENTA DE SERVICIO</v>
      </c>
      <c r="O859" s="2" t="s">
        <v>39</v>
      </c>
    </row>
    <row r="860" customFormat="false" ht="13.8" hidden="false" customHeight="false" outlineLevel="0" collapsed="false">
      <c r="A860" s="8" t="n">
        <v>45439</v>
      </c>
      <c r="B860" s="9" t="n">
        <f aca="false">DAY(A860)</f>
        <v>27</v>
      </c>
      <c r="C860" s="9" t="n">
        <f aca="false">MONTH(A860)</f>
        <v>5</v>
      </c>
      <c r="D860" s="9" t="n">
        <f aca="false">YEAR(A860)</f>
        <v>2024</v>
      </c>
      <c r="E860" s="9" t="n">
        <f aca="false">WEEKDAY(A860,2)</f>
        <v>1</v>
      </c>
      <c r="F860" s="10" t="n">
        <f aca="false">WEEKNUM(A860,2) - WEEKNUM(DATE(YEAR(A860),MONTH(A860),1),2) + 1</f>
        <v>5</v>
      </c>
      <c r="G860" s="10"/>
      <c r="H860" s="11" t="n">
        <v>960</v>
      </c>
      <c r="I860" s="12" t="s">
        <v>20</v>
      </c>
      <c r="J860" s="12" t="s">
        <v>59</v>
      </c>
      <c r="K860" s="12"/>
      <c r="L860" s="9" t="n">
        <f aca="false">L859+H860</f>
        <v>48490.08</v>
      </c>
      <c r="M860" s="10" t="str">
        <f aca="false">VLOOKUP(J860,RECATALOGANDO!A:C,2,0)</f>
        <v>SERVICIO DE PENSION</v>
      </c>
      <c r="N860" s="12" t="str">
        <f aca="false">VLOOKUP(M860,RECATALOGANDO!B:C,2,0)</f>
        <v>VENTA DE SERVICIO</v>
      </c>
      <c r="O860" s="2" t="s">
        <v>39</v>
      </c>
    </row>
    <row r="861" customFormat="false" ht="13.8" hidden="false" customHeight="false" outlineLevel="0" collapsed="false">
      <c r="A861" s="8" t="n">
        <v>45439</v>
      </c>
      <c r="B861" s="9" t="n">
        <f aca="false">DAY(A861)</f>
        <v>27</v>
      </c>
      <c r="C861" s="9" t="n">
        <f aca="false">MONTH(A861)</f>
        <v>5</v>
      </c>
      <c r="D861" s="9" t="n">
        <f aca="false">YEAR(A861)</f>
        <v>2024</v>
      </c>
      <c r="E861" s="9" t="n">
        <f aca="false">WEEKDAY(A861,2)</f>
        <v>1</v>
      </c>
      <c r="F861" s="10" t="n">
        <f aca="false">WEEKNUM(A861,2) - WEEKNUM(DATE(YEAR(A861),MONTH(A861),1),2) + 1</f>
        <v>5</v>
      </c>
      <c r="G861" s="10"/>
      <c r="H861" s="11" t="n">
        <v>1900</v>
      </c>
      <c r="I861" s="12" t="s">
        <v>20</v>
      </c>
      <c r="J861" s="12" t="s">
        <v>44</v>
      </c>
      <c r="K861" s="12"/>
      <c r="L861" s="9" t="n">
        <f aca="false">L860+H861</f>
        <v>50390.08</v>
      </c>
      <c r="M861" s="10" t="str">
        <f aca="false">VLOOKUP(J861,RECATALOGANDO!A:C,2,0)</f>
        <v>HONORARIOS MEDICOS</v>
      </c>
      <c r="N861" s="12" t="str">
        <f aca="false">VLOOKUP(M861,RECATALOGANDO!B:C,2,0)</f>
        <v>VENTA DE SERVICIO</v>
      </c>
      <c r="O861" s="2" t="s">
        <v>39</v>
      </c>
    </row>
    <row r="862" customFormat="false" ht="13.8" hidden="false" customHeight="false" outlineLevel="0" collapsed="false">
      <c r="A862" s="8" t="n">
        <v>45440</v>
      </c>
      <c r="B862" s="9" t="n">
        <f aca="false">DAY(A862)</f>
        <v>28</v>
      </c>
      <c r="C862" s="9" t="n">
        <f aca="false">MONTH(A862)</f>
        <v>5</v>
      </c>
      <c r="D862" s="9" t="n">
        <f aca="false">YEAR(A862)</f>
        <v>2024</v>
      </c>
      <c r="E862" s="9" t="n">
        <f aca="false">WEEKDAY(A862,2)</f>
        <v>2</v>
      </c>
      <c r="F862" s="10" t="n">
        <f aca="false">WEEKNUM(A862,2) - WEEKNUM(DATE(YEAR(A862),MONTH(A862),1),2) + 1</f>
        <v>5</v>
      </c>
      <c r="G862" s="10"/>
      <c r="H862" s="11" t="n">
        <v>855</v>
      </c>
      <c r="I862" s="12" t="s">
        <v>15</v>
      </c>
      <c r="J862" s="12" t="s">
        <v>44</v>
      </c>
      <c r="K862" s="12"/>
      <c r="L862" s="9" t="n">
        <f aca="false">L861+H862</f>
        <v>51245.08</v>
      </c>
      <c r="M862" s="10" t="str">
        <f aca="false">VLOOKUP(J862,RECATALOGANDO!A:C,2,0)</f>
        <v>HONORARIOS MEDICOS</v>
      </c>
      <c r="N862" s="12" t="str">
        <f aca="false">VLOOKUP(M862,RECATALOGANDO!B:C,2,0)</f>
        <v>VENTA DE SERVICIO</v>
      </c>
      <c r="O862" s="2" t="s">
        <v>39</v>
      </c>
    </row>
    <row r="863" customFormat="false" ht="13.8" hidden="false" customHeight="false" outlineLevel="0" collapsed="false">
      <c r="A863" s="8" t="n">
        <v>45441</v>
      </c>
      <c r="B863" s="9" t="n">
        <f aca="false">DAY(A863)</f>
        <v>29</v>
      </c>
      <c r="C863" s="9" t="n">
        <f aca="false">MONTH(A863)</f>
        <v>5</v>
      </c>
      <c r="D863" s="9" t="n">
        <f aca="false">YEAR(A863)</f>
        <v>2024</v>
      </c>
      <c r="E863" s="9" t="n">
        <f aca="false">WEEKDAY(A863,2)</f>
        <v>3</v>
      </c>
      <c r="F863" s="10" t="n">
        <f aca="false">WEEKNUM(A863,2) - WEEKNUM(DATE(YEAR(A863),MONTH(A863),1),2) + 1</f>
        <v>5</v>
      </c>
      <c r="G863" s="10"/>
      <c r="H863" s="11" t="n">
        <v>420</v>
      </c>
      <c r="I863" s="12" t="s">
        <v>20</v>
      </c>
      <c r="J863" s="12" t="s">
        <v>49</v>
      </c>
      <c r="K863" s="12"/>
      <c r="L863" s="9" t="n">
        <f aca="false">L862+H863</f>
        <v>51665.08</v>
      </c>
      <c r="M863" s="10" t="str">
        <f aca="false">VLOOKUP(J863,RECATALOGANDO!A:C,2,0)</f>
        <v>SERVICIO DE GROOMING</v>
      </c>
      <c r="N863" s="12" t="str">
        <f aca="false">VLOOKUP(M863,RECATALOGANDO!B:C,2,0)</f>
        <v>VENTA DE SERVICIO</v>
      </c>
      <c r="O863" s="2" t="s">
        <v>39</v>
      </c>
    </row>
    <row r="864" customFormat="false" ht="13.8" hidden="false" customHeight="false" outlineLevel="0" collapsed="false">
      <c r="A864" s="8" t="n">
        <v>45442</v>
      </c>
      <c r="B864" s="9" t="n">
        <f aca="false">DAY(A864)</f>
        <v>30</v>
      </c>
      <c r="C864" s="9" t="n">
        <f aca="false">MONTH(A864)</f>
        <v>5</v>
      </c>
      <c r="D864" s="9" t="n">
        <f aca="false">YEAR(A864)</f>
        <v>2024</v>
      </c>
      <c r="E864" s="9" t="n">
        <f aca="false">WEEKDAY(A864,2)</f>
        <v>4</v>
      </c>
      <c r="F864" s="10" t="n">
        <f aca="false">WEEKNUM(A864,2) - WEEKNUM(DATE(YEAR(A864),MONTH(A864),1),2) + 1</f>
        <v>5</v>
      </c>
      <c r="G864" s="10" t="n">
        <v>2</v>
      </c>
      <c r="H864" s="11" t="n">
        <v>860</v>
      </c>
      <c r="I864" s="12" t="s">
        <v>20</v>
      </c>
      <c r="J864" s="12" t="s">
        <v>45</v>
      </c>
      <c r="K864" s="12"/>
      <c r="L864" s="9" t="n">
        <f aca="false">L863+H864</f>
        <v>52525.08</v>
      </c>
      <c r="M864" s="10" t="str">
        <f aca="false">VLOOKUP(J864,RECATALOGANDO!A:C,2,0)</f>
        <v>VENTA DE MEDICAMENTO</v>
      </c>
      <c r="N864" s="12" t="str">
        <f aca="false">VLOOKUP(M864,RECATALOGANDO!B:C,2,0)</f>
        <v>VENTA DE PRODUCTO</v>
      </c>
      <c r="O864" s="2" t="s">
        <v>39</v>
      </c>
    </row>
    <row r="865" customFormat="false" ht="13.8" hidden="false" customHeight="false" outlineLevel="0" collapsed="false">
      <c r="A865" s="8" t="n">
        <v>45442</v>
      </c>
      <c r="B865" s="9" t="n">
        <f aca="false">DAY(A865)</f>
        <v>30</v>
      </c>
      <c r="C865" s="9" t="n">
        <f aca="false">MONTH(A865)</f>
        <v>5</v>
      </c>
      <c r="D865" s="9" t="n">
        <f aca="false">YEAR(A865)</f>
        <v>2024</v>
      </c>
      <c r="E865" s="9" t="n">
        <f aca="false">WEEKDAY(A865,2)</f>
        <v>4</v>
      </c>
      <c r="F865" s="10" t="n">
        <f aca="false">WEEKNUM(A865,2) - WEEKNUM(DATE(YEAR(A865),MONTH(A865),1),2) + 1</f>
        <v>5</v>
      </c>
      <c r="G865" s="10" t="n">
        <v>2</v>
      </c>
      <c r="H865" s="11" t="n">
        <v>890</v>
      </c>
      <c r="I865" s="12" t="s">
        <v>20</v>
      </c>
      <c r="J865" s="12" t="s">
        <v>51</v>
      </c>
      <c r="K865" s="12"/>
      <c r="L865" s="9" t="n">
        <f aca="false">L864+H865</f>
        <v>53415.08</v>
      </c>
      <c r="M865" s="10" t="str">
        <f aca="false">VLOOKUP(J865,RECATALOGANDO!A:C,2,0)</f>
        <v>VENTA DE ALIMENTO</v>
      </c>
      <c r="N865" s="12" t="str">
        <f aca="false">VLOOKUP(M865,RECATALOGANDO!B:C,2,0)</f>
        <v>VENTA DE PRODUCTO</v>
      </c>
      <c r="O865" s="2" t="s">
        <v>39</v>
      </c>
    </row>
    <row r="866" customFormat="false" ht="13.8" hidden="false" customHeight="false" outlineLevel="0" collapsed="false">
      <c r="A866" s="8" t="n">
        <v>45443</v>
      </c>
      <c r="B866" s="9" t="n">
        <f aca="false">DAY(A866)</f>
        <v>31</v>
      </c>
      <c r="C866" s="9" t="n">
        <f aca="false">MONTH(A866)</f>
        <v>5</v>
      </c>
      <c r="D866" s="9" t="n">
        <f aca="false">YEAR(A866)</f>
        <v>2024</v>
      </c>
      <c r="E866" s="9" t="n">
        <f aca="false">WEEKDAY(A866,2)</f>
        <v>5</v>
      </c>
      <c r="F866" s="10" t="n">
        <f aca="false">WEEKNUM(A866,2) - WEEKNUM(DATE(YEAR(A866),MONTH(A866),1),2) + 1</f>
        <v>5</v>
      </c>
      <c r="G866" s="10"/>
      <c r="H866" s="11" t="n">
        <v>2639</v>
      </c>
      <c r="I866" s="12" t="s">
        <v>20</v>
      </c>
      <c r="J866" s="12" t="s">
        <v>51</v>
      </c>
      <c r="K866" s="12"/>
      <c r="L866" s="9" t="n">
        <f aca="false">L865+H866</f>
        <v>56054.08</v>
      </c>
      <c r="M866" s="10" t="str">
        <f aca="false">VLOOKUP(J866,RECATALOGANDO!A:C,2,0)</f>
        <v>VENTA DE ALIMENTO</v>
      </c>
      <c r="N866" s="12" t="str">
        <f aca="false">VLOOKUP(M866,RECATALOGANDO!B:C,2,0)</f>
        <v>VENTA DE PRODUCTO</v>
      </c>
      <c r="O866" s="2" t="s">
        <v>39</v>
      </c>
    </row>
    <row r="867" customFormat="false" ht="13.8" hidden="false" customHeight="false" outlineLevel="0" collapsed="false">
      <c r="A867" s="8" t="n">
        <v>45443</v>
      </c>
      <c r="B867" s="9" t="n">
        <f aca="false">DAY(A867)</f>
        <v>31</v>
      </c>
      <c r="C867" s="9" t="n">
        <f aca="false">MONTH(A867)</f>
        <v>5</v>
      </c>
      <c r="D867" s="9" t="n">
        <f aca="false">YEAR(A867)</f>
        <v>2024</v>
      </c>
      <c r="E867" s="9" t="n">
        <f aca="false">WEEKDAY(A867,2)</f>
        <v>5</v>
      </c>
      <c r="F867" s="10" t="n">
        <f aca="false">WEEKNUM(A867,2) - WEEKNUM(DATE(YEAR(A867),MONTH(A867),1),2) + 1</f>
        <v>5</v>
      </c>
      <c r="G867" s="10"/>
      <c r="H867" s="11" t="n">
        <v>350</v>
      </c>
      <c r="I867" s="12" t="s">
        <v>20</v>
      </c>
      <c r="J867" s="12" t="s">
        <v>49</v>
      </c>
      <c r="K867" s="12"/>
      <c r="L867" s="9" t="n">
        <f aca="false">L866+H867</f>
        <v>56404.08</v>
      </c>
      <c r="M867" s="10" t="str">
        <f aca="false">VLOOKUP(J867,RECATALOGANDO!A:C,2,0)</f>
        <v>SERVICIO DE GROOMING</v>
      </c>
      <c r="N867" s="12" t="str">
        <f aca="false">VLOOKUP(M867,RECATALOGANDO!B:C,2,0)</f>
        <v>VENTA DE SERVICIO</v>
      </c>
      <c r="O867" s="2" t="s">
        <v>39</v>
      </c>
    </row>
    <row r="868" customFormat="false" ht="13.8" hidden="false" customHeight="false" outlineLevel="0" collapsed="false">
      <c r="A868" s="8" t="n">
        <v>45443</v>
      </c>
      <c r="B868" s="9" t="n">
        <f aca="false">DAY(A868)</f>
        <v>31</v>
      </c>
      <c r="C868" s="9" t="n">
        <f aca="false">MONTH(A868)</f>
        <v>5</v>
      </c>
      <c r="D868" s="9" t="n">
        <f aca="false">YEAR(A868)</f>
        <v>2024</v>
      </c>
      <c r="E868" s="9" t="n">
        <f aca="false">WEEKDAY(A868,2)</f>
        <v>5</v>
      </c>
      <c r="F868" s="10" t="n">
        <f aca="false">WEEKNUM(A868,2) - WEEKNUM(DATE(YEAR(A868),MONTH(A868),1),2) + 1</f>
        <v>5</v>
      </c>
      <c r="G868" s="10"/>
      <c r="H868" s="11" t="n">
        <v>1600</v>
      </c>
      <c r="I868" s="12" t="s">
        <v>20</v>
      </c>
      <c r="J868" s="12" t="s">
        <v>64</v>
      </c>
      <c r="K868" s="12"/>
      <c r="L868" s="9" t="n">
        <f aca="false">L867+H868</f>
        <v>58004.08</v>
      </c>
      <c r="M868" s="10" t="str">
        <f aca="false">VLOOKUP(J868,RECATALOGANDO!A:C,2,0)</f>
        <v>HONORARIOS QUIRURGICOS</v>
      </c>
      <c r="N868" s="12" t="str">
        <f aca="false">VLOOKUP(M868,RECATALOGANDO!B:C,2,0)</f>
        <v>VENTA DE SERVICIO</v>
      </c>
      <c r="O868" s="2" t="s">
        <v>39</v>
      </c>
    </row>
    <row r="869" customFormat="false" ht="13.8" hidden="false" customHeight="false" outlineLevel="0" collapsed="false">
      <c r="A869" s="8" t="n">
        <v>45446</v>
      </c>
      <c r="B869" s="9" t="n">
        <f aca="false">DAY(A869)</f>
        <v>3</v>
      </c>
      <c r="C869" s="9" t="n">
        <f aca="false">MONTH(A869)</f>
        <v>6</v>
      </c>
      <c r="D869" s="9" t="n">
        <f aca="false">YEAR(A869)</f>
        <v>2024</v>
      </c>
      <c r="E869" s="9" t="n">
        <f aca="false">WEEKDAY(A869,2)</f>
        <v>1</v>
      </c>
      <c r="F869" s="10" t="n">
        <f aca="false">WEEKNUM(A869,2) - WEEKNUM(DATE(YEAR(A869),MONTH(A869),1),2) + 1</f>
        <v>2</v>
      </c>
      <c r="G869" s="10"/>
      <c r="H869" s="11" t="n">
        <v>430</v>
      </c>
      <c r="I869" s="12" t="s">
        <v>20</v>
      </c>
      <c r="J869" s="22" t="s">
        <v>51</v>
      </c>
      <c r="K869" s="12"/>
      <c r="L869" s="9" t="n">
        <f aca="false">H869</f>
        <v>430</v>
      </c>
      <c r="M869" s="10" t="str">
        <f aca="false">VLOOKUP(J869,RECATALOGANDO!A:C,2,0)</f>
        <v>VENTA DE ALIMENTO</v>
      </c>
      <c r="N869" s="12" t="str">
        <f aca="false">VLOOKUP(M869,RECATALOGANDO!B:C,2,0)</f>
        <v>VENTA DE PRODUCTO</v>
      </c>
      <c r="O869" s="2" t="s">
        <v>39</v>
      </c>
    </row>
    <row r="870" customFormat="false" ht="13.8" hidden="false" customHeight="false" outlineLevel="0" collapsed="false">
      <c r="A870" s="8" t="n">
        <v>45446</v>
      </c>
      <c r="B870" s="9" t="n">
        <f aca="false">DAY(A870)</f>
        <v>3</v>
      </c>
      <c r="C870" s="9" t="n">
        <f aca="false">MONTH(A870)</f>
        <v>6</v>
      </c>
      <c r="D870" s="9" t="n">
        <f aca="false">YEAR(A870)</f>
        <v>2024</v>
      </c>
      <c r="E870" s="9" t="n">
        <f aca="false">WEEKDAY(A870,2)</f>
        <v>1</v>
      </c>
      <c r="F870" s="10" t="n">
        <f aca="false">WEEKNUM(A870,2) - WEEKNUM(DATE(YEAR(A870),MONTH(A870),1),2) + 1</f>
        <v>2</v>
      </c>
      <c r="G870" s="10"/>
      <c r="H870" s="11" t="n">
        <v>860</v>
      </c>
      <c r="I870" s="12" t="s">
        <v>20</v>
      </c>
      <c r="J870" s="12" t="s">
        <v>45</v>
      </c>
      <c r="K870" s="12"/>
      <c r="L870" s="9" t="n">
        <f aca="false">L869+H870</f>
        <v>1290</v>
      </c>
      <c r="M870" s="10" t="str">
        <f aca="false">VLOOKUP(J870,RECATALOGANDO!A:C,2,0)</f>
        <v>VENTA DE MEDICAMENTO</v>
      </c>
      <c r="N870" s="12" t="str">
        <f aca="false">VLOOKUP(M870,RECATALOGANDO!B:C,2,0)</f>
        <v>VENTA DE PRODUCTO</v>
      </c>
      <c r="O870" s="2" t="s">
        <v>39</v>
      </c>
    </row>
    <row r="871" customFormat="false" ht="13.8" hidden="false" customHeight="false" outlineLevel="0" collapsed="false">
      <c r="A871" s="8" t="n">
        <v>45446</v>
      </c>
      <c r="B871" s="9" t="n">
        <f aca="false">DAY(A871)</f>
        <v>3</v>
      </c>
      <c r="C871" s="9" t="n">
        <f aca="false">MONTH(A871)</f>
        <v>6</v>
      </c>
      <c r="D871" s="9" t="n">
        <f aca="false">YEAR(A871)</f>
        <v>2024</v>
      </c>
      <c r="E871" s="9" t="n">
        <f aca="false">WEEKDAY(A871,2)</f>
        <v>1</v>
      </c>
      <c r="F871" s="10" t="n">
        <f aca="false">WEEKNUM(A871,2) - WEEKNUM(DATE(YEAR(A871),MONTH(A871),1),2) + 1</f>
        <v>2</v>
      </c>
      <c r="G871" s="10"/>
      <c r="H871" s="11" t="n">
        <v>930</v>
      </c>
      <c r="I871" s="12" t="s">
        <v>20</v>
      </c>
      <c r="J871" s="12" t="s">
        <v>45</v>
      </c>
      <c r="K871" s="12"/>
      <c r="L871" s="9" t="n">
        <f aca="false">L870+H871</f>
        <v>2220</v>
      </c>
      <c r="M871" s="10" t="str">
        <f aca="false">VLOOKUP(J871,RECATALOGANDO!A:C,2,0)</f>
        <v>VENTA DE MEDICAMENTO</v>
      </c>
      <c r="N871" s="12" t="str">
        <f aca="false">VLOOKUP(M871,RECATALOGANDO!B:C,2,0)</f>
        <v>VENTA DE PRODUCTO</v>
      </c>
      <c r="O871" s="2" t="s">
        <v>39</v>
      </c>
    </row>
    <row r="872" customFormat="false" ht="13.8" hidden="false" customHeight="false" outlineLevel="0" collapsed="false">
      <c r="A872" s="8" t="n">
        <v>45446</v>
      </c>
      <c r="B872" s="9" t="n">
        <f aca="false">DAY(A872)</f>
        <v>3</v>
      </c>
      <c r="C872" s="9" t="n">
        <f aca="false">MONTH(A872)</f>
        <v>6</v>
      </c>
      <c r="D872" s="9" t="n">
        <f aca="false">YEAR(A872)</f>
        <v>2024</v>
      </c>
      <c r="E872" s="9" t="n">
        <f aca="false">WEEKDAY(A872,2)</f>
        <v>1</v>
      </c>
      <c r="F872" s="10" t="n">
        <f aca="false">WEEKNUM(A872,2) - WEEKNUM(DATE(YEAR(A872),MONTH(A872),1),2) + 1</f>
        <v>2</v>
      </c>
      <c r="G872" s="10"/>
      <c r="H872" s="11" t="n">
        <v>200</v>
      </c>
      <c r="I872" s="12" t="s">
        <v>20</v>
      </c>
      <c r="J872" s="12" t="s">
        <v>49</v>
      </c>
      <c r="K872" s="12"/>
      <c r="L872" s="9" t="n">
        <f aca="false">L871+H872</f>
        <v>2420</v>
      </c>
      <c r="M872" s="10" t="str">
        <f aca="false">VLOOKUP(J872,RECATALOGANDO!A:C,2,0)</f>
        <v>SERVICIO DE GROOMING</v>
      </c>
      <c r="N872" s="12" t="str">
        <f aca="false">VLOOKUP(M872,RECATALOGANDO!B:C,2,0)</f>
        <v>VENTA DE SERVICIO</v>
      </c>
      <c r="O872" s="2" t="s">
        <v>39</v>
      </c>
    </row>
    <row r="873" customFormat="false" ht="13.8" hidden="false" customHeight="false" outlineLevel="0" collapsed="false">
      <c r="A873" s="8" t="n">
        <v>45447</v>
      </c>
      <c r="B873" s="9" t="n">
        <f aca="false">DAY(A873)</f>
        <v>4</v>
      </c>
      <c r="C873" s="9" t="n">
        <f aca="false">MONTH(A873)</f>
        <v>6</v>
      </c>
      <c r="D873" s="9" t="n">
        <f aca="false">YEAR(A873)</f>
        <v>2024</v>
      </c>
      <c r="E873" s="9" t="n">
        <f aca="false">WEEKDAY(A873,2)</f>
        <v>2</v>
      </c>
      <c r="F873" s="10" t="n">
        <f aca="false">WEEKNUM(A873,2) - WEEKNUM(DATE(YEAR(A873),MONTH(A873),1),2) + 1</f>
        <v>2</v>
      </c>
      <c r="G873" s="10"/>
      <c r="H873" s="11" t="n">
        <v>5950</v>
      </c>
      <c r="I873" s="12" t="s">
        <v>20</v>
      </c>
      <c r="J873" s="12" t="s">
        <v>54</v>
      </c>
      <c r="K873" s="12"/>
      <c r="L873" s="9" t="n">
        <f aca="false">L872+H873</f>
        <v>8370</v>
      </c>
      <c r="M873" s="10" t="str">
        <f aca="false">VLOOKUP(J873,RECATALOGANDO!A:C,2,0)</f>
        <v>SERVICIO DE LABORATORIO</v>
      </c>
      <c r="N873" s="12" t="str">
        <f aca="false">VLOOKUP(M873,RECATALOGANDO!B:C,2,0)</f>
        <v>VENTA DE SERVICIO</v>
      </c>
      <c r="O873" s="2" t="s">
        <v>39</v>
      </c>
    </row>
    <row r="874" customFormat="false" ht="13.8" hidden="false" customHeight="false" outlineLevel="0" collapsed="false">
      <c r="A874" s="8" t="n">
        <v>45449</v>
      </c>
      <c r="B874" s="9" t="n">
        <f aca="false">DAY(A874)</f>
        <v>6</v>
      </c>
      <c r="C874" s="9" t="n">
        <f aca="false">MONTH(A874)</f>
        <v>6</v>
      </c>
      <c r="D874" s="9" t="n">
        <f aca="false">YEAR(A874)</f>
        <v>2024</v>
      </c>
      <c r="E874" s="9" t="n">
        <f aca="false">WEEKDAY(A874,2)</f>
        <v>4</v>
      </c>
      <c r="F874" s="10" t="n">
        <f aca="false">WEEKNUM(A874,2) - WEEKNUM(DATE(YEAR(A874),MONTH(A874),1),2) + 1</f>
        <v>2</v>
      </c>
      <c r="G874" s="10"/>
      <c r="H874" s="11" t="n">
        <v>2000</v>
      </c>
      <c r="I874" s="12" t="s">
        <v>20</v>
      </c>
      <c r="J874" s="12" t="s">
        <v>64</v>
      </c>
      <c r="K874" s="12"/>
      <c r="L874" s="9" t="n">
        <f aca="false">L873+H874</f>
        <v>10370</v>
      </c>
      <c r="M874" s="10" t="str">
        <f aca="false">VLOOKUP(J874,RECATALOGANDO!A:C,2,0)</f>
        <v>HONORARIOS QUIRURGICOS</v>
      </c>
      <c r="N874" s="12" t="str">
        <f aca="false">VLOOKUP(M874,RECATALOGANDO!B:C,2,0)</f>
        <v>VENTA DE SERVICIO</v>
      </c>
      <c r="O874" s="2" t="s">
        <v>39</v>
      </c>
    </row>
    <row r="875" customFormat="false" ht="13.8" hidden="false" customHeight="false" outlineLevel="0" collapsed="false">
      <c r="A875" s="8" t="n">
        <v>45450</v>
      </c>
      <c r="B875" s="9" t="n">
        <f aca="false">DAY(A875)</f>
        <v>7</v>
      </c>
      <c r="C875" s="9" t="n">
        <f aca="false">MONTH(A875)</f>
        <v>6</v>
      </c>
      <c r="D875" s="9" t="n">
        <f aca="false">YEAR(A875)</f>
        <v>2024</v>
      </c>
      <c r="E875" s="9" t="n">
        <f aca="false">WEEKDAY(A875,2)</f>
        <v>5</v>
      </c>
      <c r="F875" s="10" t="n">
        <f aca="false">WEEKNUM(A875,2) - WEEKNUM(DATE(YEAR(A875),MONTH(A875),1),2) + 1</f>
        <v>2</v>
      </c>
      <c r="G875" s="10"/>
      <c r="H875" s="11" t="n">
        <v>1040</v>
      </c>
      <c r="I875" s="12" t="s">
        <v>20</v>
      </c>
      <c r="J875" s="12" t="s">
        <v>55</v>
      </c>
      <c r="K875" s="12"/>
      <c r="L875" s="9" t="n">
        <f aca="false">L874+H875</f>
        <v>11410</v>
      </c>
      <c r="M875" s="10" t="str">
        <f aca="false">VLOOKUP(J875,RECATALOGANDO!A:C,2,0)</f>
        <v>VENTA DE MEDICAMENTO</v>
      </c>
      <c r="N875" s="12" t="str">
        <f aca="false">VLOOKUP(M875,RECATALOGANDO!B:C,2,0)</f>
        <v>VENTA DE PRODUCTO</v>
      </c>
      <c r="O875" s="2" t="s">
        <v>39</v>
      </c>
    </row>
    <row r="876" customFormat="false" ht="13.8" hidden="false" customHeight="false" outlineLevel="0" collapsed="false">
      <c r="A876" s="8" t="n">
        <v>45450</v>
      </c>
      <c r="B876" s="9" t="n">
        <f aca="false">DAY(A876)</f>
        <v>7</v>
      </c>
      <c r="C876" s="9" t="n">
        <f aca="false">MONTH(A876)</f>
        <v>6</v>
      </c>
      <c r="D876" s="9" t="n">
        <f aca="false">YEAR(A876)</f>
        <v>2024</v>
      </c>
      <c r="E876" s="9" t="n">
        <f aca="false">WEEKDAY(A876,2)</f>
        <v>5</v>
      </c>
      <c r="F876" s="10" t="n">
        <f aca="false">WEEKNUM(A876,2) - WEEKNUM(DATE(YEAR(A876),MONTH(A876),1),2) + 1</f>
        <v>2</v>
      </c>
      <c r="G876" s="10"/>
      <c r="H876" s="11" t="n">
        <v>180</v>
      </c>
      <c r="I876" s="12" t="s">
        <v>20</v>
      </c>
      <c r="J876" s="12" t="s">
        <v>44</v>
      </c>
      <c r="K876" s="12"/>
      <c r="L876" s="9" t="n">
        <f aca="false">L875+H876</f>
        <v>11590</v>
      </c>
      <c r="M876" s="10" t="str">
        <f aca="false">VLOOKUP(J876,RECATALOGANDO!A:C,2,0)</f>
        <v>HONORARIOS MEDICOS</v>
      </c>
      <c r="N876" s="12" t="str">
        <f aca="false">VLOOKUP(M876,RECATALOGANDO!B:C,2,0)</f>
        <v>VENTA DE SERVICIO</v>
      </c>
      <c r="O876" s="2" t="s">
        <v>39</v>
      </c>
    </row>
    <row r="877" customFormat="false" ht="13.8" hidden="false" customHeight="false" outlineLevel="0" collapsed="false">
      <c r="A877" s="8" t="n">
        <v>45450</v>
      </c>
      <c r="B877" s="9" t="n">
        <f aca="false">DAY(A877)</f>
        <v>7</v>
      </c>
      <c r="C877" s="9" t="n">
        <f aca="false">MONTH(A877)</f>
        <v>6</v>
      </c>
      <c r="D877" s="9" t="n">
        <f aca="false">YEAR(A877)</f>
        <v>2024</v>
      </c>
      <c r="E877" s="9" t="n">
        <f aca="false">WEEKDAY(A877,2)</f>
        <v>5</v>
      </c>
      <c r="F877" s="10" t="n">
        <f aca="false">WEEKNUM(A877,2) - WEEKNUM(DATE(YEAR(A877),MONTH(A877),1),2) + 1</f>
        <v>2</v>
      </c>
      <c r="G877" s="10"/>
      <c r="H877" s="11" t="n">
        <v>430</v>
      </c>
      <c r="I877" s="12" t="s">
        <v>20</v>
      </c>
      <c r="J877" s="12" t="s">
        <v>44</v>
      </c>
      <c r="K877" s="12"/>
      <c r="L877" s="9" t="n">
        <f aca="false">L876+H877</f>
        <v>12020</v>
      </c>
      <c r="M877" s="10" t="str">
        <f aca="false">VLOOKUP(J877,RECATALOGANDO!A:C,2,0)</f>
        <v>HONORARIOS MEDICOS</v>
      </c>
      <c r="N877" s="12" t="str">
        <f aca="false">VLOOKUP(M877,RECATALOGANDO!B:C,2,0)</f>
        <v>VENTA DE SERVICIO</v>
      </c>
      <c r="O877" s="2" t="s">
        <v>39</v>
      </c>
    </row>
    <row r="878" customFormat="false" ht="13.8" hidden="false" customHeight="false" outlineLevel="0" collapsed="false">
      <c r="A878" s="8" t="n">
        <v>45450</v>
      </c>
      <c r="B878" s="9" t="n">
        <f aca="false">DAY(A878)</f>
        <v>7</v>
      </c>
      <c r="C878" s="9" t="n">
        <f aca="false">MONTH(A878)</f>
        <v>6</v>
      </c>
      <c r="D878" s="9" t="n">
        <f aca="false">YEAR(A878)</f>
        <v>2024</v>
      </c>
      <c r="E878" s="9" t="n">
        <f aca="false">WEEKDAY(A878,2)</f>
        <v>5</v>
      </c>
      <c r="F878" s="10" t="n">
        <f aca="false">WEEKNUM(A878,2) - WEEKNUM(DATE(YEAR(A878),MONTH(A878),1),2) + 1</f>
        <v>2</v>
      </c>
      <c r="G878" s="10"/>
      <c r="H878" s="11" t="n">
        <v>450</v>
      </c>
      <c r="I878" s="12" t="s">
        <v>15</v>
      </c>
      <c r="J878" s="12" t="s">
        <v>49</v>
      </c>
      <c r="K878" s="12"/>
      <c r="L878" s="9" t="n">
        <f aca="false">L877+H878</f>
        <v>12470</v>
      </c>
      <c r="M878" s="10" t="str">
        <f aca="false">VLOOKUP(J878,RECATALOGANDO!A:C,2,0)</f>
        <v>SERVICIO DE GROOMING</v>
      </c>
      <c r="N878" s="12" t="str">
        <f aca="false">VLOOKUP(M878,RECATALOGANDO!B:C,2,0)</f>
        <v>VENTA DE SERVICIO</v>
      </c>
      <c r="O878" s="2" t="s">
        <v>39</v>
      </c>
    </row>
    <row r="879" customFormat="false" ht="13.8" hidden="false" customHeight="false" outlineLevel="0" collapsed="false">
      <c r="A879" s="8" t="n">
        <v>45451</v>
      </c>
      <c r="B879" s="9" t="n">
        <f aca="false">DAY(A879)</f>
        <v>8</v>
      </c>
      <c r="C879" s="9" t="n">
        <f aca="false">MONTH(A879)</f>
        <v>6</v>
      </c>
      <c r="D879" s="9" t="n">
        <f aca="false">YEAR(A879)</f>
        <v>2024</v>
      </c>
      <c r="E879" s="9" t="n">
        <f aca="false">WEEKDAY(A879,2)</f>
        <v>6</v>
      </c>
      <c r="F879" s="10" t="n">
        <f aca="false">WEEKNUM(A879,2) - WEEKNUM(DATE(YEAR(A879),MONTH(A879),1),2) + 1</f>
        <v>2</v>
      </c>
      <c r="G879" s="10"/>
      <c r="H879" s="11" t="n">
        <v>1002</v>
      </c>
      <c r="I879" s="12" t="s">
        <v>15</v>
      </c>
      <c r="J879" s="12" t="s">
        <v>44</v>
      </c>
      <c r="K879" s="12"/>
      <c r="L879" s="9" t="n">
        <f aca="false">L878+H879</f>
        <v>13472</v>
      </c>
      <c r="M879" s="10" t="str">
        <f aca="false">VLOOKUP(J879,RECATALOGANDO!A:C,2,0)</f>
        <v>HONORARIOS MEDICOS</v>
      </c>
      <c r="N879" s="12" t="str">
        <f aca="false">VLOOKUP(M879,RECATALOGANDO!B:C,2,0)</f>
        <v>VENTA DE SERVICIO</v>
      </c>
      <c r="O879" s="2" t="s">
        <v>39</v>
      </c>
    </row>
    <row r="880" customFormat="false" ht="13.8" hidden="false" customHeight="false" outlineLevel="0" collapsed="false">
      <c r="A880" s="8" t="n">
        <v>45452</v>
      </c>
      <c r="B880" s="9" t="n">
        <f aca="false">DAY(A880)</f>
        <v>9</v>
      </c>
      <c r="C880" s="9" t="n">
        <f aca="false">MONTH(A880)</f>
        <v>6</v>
      </c>
      <c r="D880" s="9" t="n">
        <f aca="false">YEAR(A880)</f>
        <v>2024</v>
      </c>
      <c r="E880" s="9" t="n">
        <f aca="false">WEEKDAY(A880,2)</f>
        <v>7</v>
      </c>
      <c r="F880" s="10" t="n">
        <f aca="false">WEEKNUM(A880,2) - WEEKNUM(DATE(YEAR(A880),MONTH(A880),1),2) + 1</f>
        <v>2</v>
      </c>
      <c r="G880" s="10"/>
      <c r="H880" s="11" t="n">
        <v>967</v>
      </c>
      <c r="I880" s="12" t="s">
        <v>15</v>
      </c>
      <c r="J880" s="12" t="s">
        <v>51</v>
      </c>
      <c r="K880" s="12"/>
      <c r="L880" s="9" t="n">
        <f aca="false">L879+H880</f>
        <v>14439</v>
      </c>
      <c r="M880" s="10" t="str">
        <f aca="false">VLOOKUP(J880,RECATALOGANDO!A:C,2,0)</f>
        <v>VENTA DE ALIMENTO</v>
      </c>
      <c r="N880" s="12" t="str">
        <f aca="false">VLOOKUP(M880,RECATALOGANDO!B:C,2,0)</f>
        <v>VENTA DE PRODUCTO</v>
      </c>
      <c r="O880" s="2" t="s">
        <v>39</v>
      </c>
    </row>
    <row r="881" customFormat="false" ht="13.8" hidden="false" customHeight="false" outlineLevel="0" collapsed="false">
      <c r="A881" s="8" t="n">
        <v>45452</v>
      </c>
      <c r="B881" s="9" t="n">
        <f aca="false">DAY(A881)</f>
        <v>9</v>
      </c>
      <c r="C881" s="9" t="n">
        <f aca="false">MONTH(A881)</f>
        <v>6</v>
      </c>
      <c r="D881" s="9" t="n">
        <f aca="false">YEAR(A881)</f>
        <v>2024</v>
      </c>
      <c r="E881" s="9" t="n">
        <f aca="false">WEEKDAY(A881,2)</f>
        <v>7</v>
      </c>
      <c r="F881" s="10" t="n">
        <f aca="false">WEEKNUM(A881,2) - WEEKNUM(DATE(YEAR(A881),MONTH(A881),1),2) + 1</f>
        <v>2</v>
      </c>
      <c r="G881" s="10"/>
      <c r="H881" s="11" t="n">
        <v>693</v>
      </c>
      <c r="I881" s="12" t="s">
        <v>15</v>
      </c>
      <c r="J881" s="12" t="s">
        <v>57</v>
      </c>
      <c r="K881" s="12"/>
      <c r="L881" s="9" t="n">
        <f aca="false">L880+H881</f>
        <v>15132</v>
      </c>
      <c r="M881" s="10" t="str">
        <f aca="false">VLOOKUP(J881,RECATALOGANDO!A:C,2,0)</f>
        <v>SERVICIO DE CREMACION</v>
      </c>
      <c r="N881" s="12" t="str">
        <f aca="false">VLOOKUP(M881,RECATALOGANDO!B:C,2,0)</f>
        <v>VENTA DE SERVICIO</v>
      </c>
      <c r="O881" s="2" t="s">
        <v>39</v>
      </c>
    </row>
    <row r="882" customFormat="false" ht="13.8" hidden="false" customHeight="false" outlineLevel="0" collapsed="false">
      <c r="A882" s="8" t="n">
        <v>45453</v>
      </c>
      <c r="B882" s="9" t="n">
        <f aca="false">DAY(A882)</f>
        <v>10</v>
      </c>
      <c r="C882" s="9" t="n">
        <f aca="false">MONTH(A882)</f>
        <v>6</v>
      </c>
      <c r="D882" s="9" t="n">
        <f aca="false">YEAR(A882)</f>
        <v>2024</v>
      </c>
      <c r="E882" s="9" t="n">
        <f aca="false">WEEKDAY(A882,2)</f>
        <v>1</v>
      </c>
      <c r="F882" s="10" t="n">
        <f aca="false">WEEKNUM(A882,2) - WEEKNUM(DATE(YEAR(A882),MONTH(A882),1),2) + 1</f>
        <v>3</v>
      </c>
      <c r="G882" s="10"/>
      <c r="H882" s="11" t="n">
        <v>420</v>
      </c>
      <c r="I882" s="12" t="s">
        <v>20</v>
      </c>
      <c r="J882" s="12" t="s">
        <v>45</v>
      </c>
      <c r="K882" s="12"/>
      <c r="L882" s="9" t="n">
        <f aca="false">L881+H882</f>
        <v>15552</v>
      </c>
      <c r="M882" s="10" t="str">
        <f aca="false">VLOOKUP(J882,RECATALOGANDO!A:C,2,0)</f>
        <v>VENTA DE MEDICAMENTO</v>
      </c>
      <c r="N882" s="12" t="str">
        <f aca="false">VLOOKUP(M882,RECATALOGANDO!B:C,2,0)</f>
        <v>VENTA DE PRODUCTO</v>
      </c>
      <c r="O882" s="2" t="s">
        <v>39</v>
      </c>
    </row>
    <row r="883" customFormat="false" ht="13.8" hidden="false" customHeight="false" outlineLevel="0" collapsed="false">
      <c r="A883" s="8" t="n">
        <v>45453</v>
      </c>
      <c r="B883" s="9" t="n">
        <f aca="false">DAY(A883)</f>
        <v>10</v>
      </c>
      <c r="C883" s="9" t="n">
        <f aca="false">MONTH(A883)</f>
        <v>6</v>
      </c>
      <c r="D883" s="9" t="n">
        <f aca="false">YEAR(A883)</f>
        <v>2024</v>
      </c>
      <c r="E883" s="9" t="n">
        <f aca="false">WEEKDAY(A883,2)</f>
        <v>1</v>
      </c>
      <c r="F883" s="10" t="n">
        <f aca="false">WEEKNUM(A883,2) - WEEKNUM(DATE(YEAR(A883),MONTH(A883),1),2) + 1</f>
        <v>3</v>
      </c>
      <c r="G883" s="10"/>
      <c r="H883" s="11" t="n">
        <v>1550</v>
      </c>
      <c r="I883" s="12" t="s">
        <v>20</v>
      </c>
      <c r="J883" s="12" t="s">
        <v>51</v>
      </c>
      <c r="K883" s="12"/>
      <c r="L883" s="9" t="n">
        <f aca="false">L882+H883</f>
        <v>17102</v>
      </c>
      <c r="M883" s="10" t="str">
        <f aca="false">VLOOKUP(J883,RECATALOGANDO!A:C,2,0)</f>
        <v>VENTA DE ALIMENTO</v>
      </c>
      <c r="N883" s="12" t="str">
        <f aca="false">VLOOKUP(M883,RECATALOGANDO!B:C,2,0)</f>
        <v>VENTA DE PRODUCTO</v>
      </c>
      <c r="O883" s="2" t="s">
        <v>39</v>
      </c>
    </row>
    <row r="884" customFormat="false" ht="13.8" hidden="false" customHeight="false" outlineLevel="0" collapsed="false">
      <c r="A884" s="8" t="n">
        <v>45453</v>
      </c>
      <c r="B884" s="9" t="n">
        <f aca="false">DAY(A884)</f>
        <v>10</v>
      </c>
      <c r="C884" s="9" t="n">
        <f aca="false">MONTH(A884)</f>
        <v>6</v>
      </c>
      <c r="D884" s="9" t="n">
        <f aca="false">YEAR(A884)</f>
        <v>2024</v>
      </c>
      <c r="E884" s="9" t="n">
        <f aca="false">WEEKDAY(A884,2)</f>
        <v>1</v>
      </c>
      <c r="F884" s="10" t="n">
        <f aca="false">WEEKNUM(A884,2) - WEEKNUM(DATE(YEAR(A884),MONTH(A884),1),2) + 1</f>
        <v>3</v>
      </c>
      <c r="G884" s="10"/>
      <c r="H884" s="11" t="n">
        <v>1585</v>
      </c>
      <c r="I884" s="12" t="s">
        <v>20</v>
      </c>
      <c r="J884" s="12" t="s">
        <v>55</v>
      </c>
      <c r="K884" s="12"/>
      <c r="L884" s="9" t="n">
        <f aca="false">L883+H884</f>
        <v>18687</v>
      </c>
      <c r="M884" s="10" t="str">
        <f aca="false">VLOOKUP(J884,RECATALOGANDO!A:C,2,0)</f>
        <v>VENTA DE MEDICAMENTO</v>
      </c>
      <c r="N884" s="12" t="str">
        <f aca="false">VLOOKUP(M884,RECATALOGANDO!B:C,2,0)</f>
        <v>VENTA DE PRODUCTO</v>
      </c>
      <c r="O884" s="2" t="s">
        <v>39</v>
      </c>
    </row>
    <row r="885" customFormat="false" ht="13.8" hidden="false" customHeight="false" outlineLevel="0" collapsed="false">
      <c r="A885" s="8" t="n">
        <v>45453</v>
      </c>
      <c r="B885" s="9" t="n">
        <f aca="false">DAY(A885)</f>
        <v>10</v>
      </c>
      <c r="C885" s="9" t="n">
        <f aca="false">MONTH(A885)</f>
        <v>6</v>
      </c>
      <c r="D885" s="9" t="n">
        <f aca="false">YEAR(A885)</f>
        <v>2024</v>
      </c>
      <c r="E885" s="9" t="n">
        <f aca="false">WEEKDAY(A885,2)</f>
        <v>1</v>
      </c>
      <c r="F885" s="10" t="n">
        <f aca="false">WEEKNUM(A885,2) - WEEKNUM(DATE(YEAR(A885),MONTH(A885),1),2) + 1</f>
        <v>3</v>
      </c>
      <c r="G885" s="10"/>
      <c r="H885" s="11" t="n">
        <v>200</v>
      </c>
      <c r="I885" s="12" t="s">
        <v>20</v>
      </c>
      <c r="J885" s="12" t="s">
        <v>49</v>
      </c>
      <c r="K885" s="12"/>
      <c r="L885" s="9" t="n">
        <f aca="false">L884+H885</f>
        <v>18887</v>
      </c>
      <c r="M885" s="10" t="str">
        <f aca="false">VLOOKUP(J885,RECATALOGANDO!A:C,2,0)</f>
        <v>SERVICIO DE GROOMING</v>
      </c>
      <c r="N885" s="12" t="str">
        <f aca="false">VLOOKUP(M885,RECATALOGANDO!B:C,2,0)</f>
        <v>VENTA DE SERVICIO</v>
      </c>
      <c r="O885" s="2" t="s">
        <v>39</v>
      </c>
    </row>
    <row r="886" customFormat="false" ht="13.8" hidden="false" customHeight="false" outlineLevel="0" collapsed="false">
      <c r="A886" s="8" t="n">
        <v>45455</v>
      </c>
      <c r="B886" s="9" t="n">
        <f aca="false">DAY(A886)</f>
        <v>12</v>
      </c>
      <c r="C886" s="9" t="n">
        <f aca="false">MONTH(A886)</f>
        <v>6</v>
      </c>
      <c r="D886" s="9" t="n">
        <f aca="false">YEAR(A886)</f>
        <v>2024</v>
      </c>
      <c r="E886" s="9" t="n">
        <f aca="false">WEEKDAY(A886,2)</f>
        <v>3</v>
      </c>
      <c r="F886" s="10" t="n">
        <f aca="false">WEEKNUM(A886,2) - WEEKNUM(DATE(YEAR(A886),MONTH(A886),1),2) + 1</f>
        <v>3</v>
      </c>
      <c r="G886" s="10"/>
      <c r="H886" s="11" t="n">
        <v>700</v>
      </c>
      <c r="I886" s="12" t="s">
        <v>20</v>
      </c>
      <c r="J886" s="12" t="s">
        <v>54</v>
      </c>
      <c r="K886" s="12"/>
      <c r="L886" s="9" t="n">
        <f aca="false">L885+H886</f>
        <v>19587</v>
      </c>
      <c r="M886" s="10" t="str">
        <f aca="false">VLOOKUP(J886,RECATALOGANDO!A:C,2,0)</f>
        <v>SERVICIO DE LABORATORIO</v>
      </c>
      <c r="N886" s="12" t="str">
        <f aca="false">VLOOKUP(M886,RECATALOGANDO!B:C,2,0)</f>
        <v>VENTA DE SERVICIO</v>
      </c>
      <c r="O886" s="2" t="s">
        <v>39</v>
      </c>
    </row>
    <row r="887" customFormat="false" ht="13.8" hidden="false" customHeight="false" outlineLevel="0" collapsed="false">
      <c r="A887" s="8" t="n">
        <v>45455</v>
      </c>
      <c r="B887" s="9" t="n">
        <f aca="false">DAY(A887)</f>
        <v>12</v>
      </c>
      <c r="C887" s="9" t="n">
        <f aca="false">MONTH(A887)</f>
        <v>6</v>
      </c>
      <c r="D887" s="9" t="n">
        <f aca="false">YEAR(A887)</f>
        <v>2024</v>
      </c>
      <c r="E887" s="9" t="n">
        <f aca="false">WEEKDAY(A887,2)</f>
        <v>3</v>
      </c>
      <c r="F887" s="10" t="n">
        <f aca="false">WEEKNUM(A887,2) - WEEKNUM(DATE(YEAR(A887),MONTH(A887),1),2) + 1</f>
        <v>3</v>
      </c>
      <c r="G887" s="10"/>
      <c r="H887" s="11" t="n">
        <v>713</v>
      </c>
      <c r="I887" s="12" t="s">
        <v>15</v>
      </c>
      <c r="J887" s="12" t="s">
        <v>59</v>
      </c>
      <c r="K887" s="12"/>
      <c r="L887" s="9" t="n">
        <f aca="false">L886+H887</f>
        <v>20300</v>
      </c>
      <c r="M887" s="10" t="str">
        <f aca="false">VLOOKUP(J887,RECATALOGANDO!A:C,2,0)</f>
        <v>SERVICIO DE PENSION</v>
      </c>
      <c r="N887" s="12" t="str">
        <f aca="false">VLOOKUP(M887,RECATALOGANDO!B:C,2,0)</f>
        <v>VENTA DE SERVICIO</v>
      </c>
      <c r="O887" s="2" t="s">
        <v>39</v>
      </c>
    </row>
    <row r="888" customFormat="false" ht="13.8" hidden="false" customHeight="false" outlineLevel="0" collapsed="false">
      <c r="A888" s="8" t="n">
        <v>45456</v>
      </c>
      <c r="B888" s="9" t="n">
        <f aca="false">DAY(A888)</f>
        <v>13</v>
      </c>
      <c r="C888" s="9" t="n">
        <f aca="false">MONTH(A888)</f>
        <v>6</v>
      </c>
      <c r="D888" s="9" t="n">
        <f aca="false">YEAR(A888)</f>
        <v>2024</v>
      </c>
      <c r="E888" s="9" t="n">
        <f aca="false">WEEKDAY(A888,2)</f>
        <v>4</v>
      </c>
      <c r="F888" s="10" t="n">
        <f aca="false">WEEKNUM(A888,2) - WEEKNUM(DATE(YEAR(A888),MONTH(A888),1),2) + 1</f>
        <v>3</v>
      </c>
      <c r="G888" s="10"/>
      <c r="H888" s="11" t="n">
        <v>2410</v>
      </c>
      <c r="I888" s="12" t="s">
        <v>15</v>
      </c>
      <c r="J888" s="12" t="s">
        <v>55</v>
      </c>
      <c r="K888" s="12"/>
      <c r="L888" s="9" t="n">
        <f aca="false">L887+H888</f>
        <v>22710</v>
      </c>
      <c r="M888" s="10" t="str">
        <f aca="false">VLOOKUP(J888,RECATALOGANDO!A:C,2,0)</f>
        <v>VENTA DE MEDICAMENTO</v>
      </c>
      <c r="N888" s="12" t="str">
        <f aca="false">VLOOKUP(M888,RECATALOGANDO!B:C,2,0)</f>
        <v>VENTA DE PRODUCTO</v>
      </c>
      <c r="O888" s="2" t="s">
        <v>39</v>
      </c>
    </row>
    <row r="889" customFormat="false" ht="13.8" hidden="false" customHeight="false" outlineLevel="0" collapsed="false">
      <c r="A889" s="8" t="n">
        <v>45458</v>
      </c>
      <c r="B889" s="9" t="n">
        <f aca="false">DAY(A889)</f>
        <v>15</v>
      </c>
      <c r="C889" s="9" t="n">
        <f aca="false">MONTH(A889)</f>
        <v>6</v>
      </c>
      <c r="D889" s="9" t="n">
        <f aca="false">YEAR(A889)</f>
        <v>2024</v>
      </c>
      <c r="E889" s="9" t="n">
        <f aca="false">WEEKDAY(A889,2)</f>
        <v>6</v>
      </c>
      <c r="F889" s="10" t="n">
        <f aca="false">WEEKNUM(A889,2) - WEEKNUM(DATE(YEAR(A889),MONTH(A889),1),2) + 1</f>
        <v>3</v>
      </c>
      <c r="G889" s="10"/>
      <c r="H889" s="11" t="n">
        <v>2471</v>
      </c>
      <c r="I889" s="12" t="s">
        <v>15</v>
      </c>
      <c r="J889" s="12" t="s">
        <v>51</v>
      </c>
      <c r="K889" s="12"/>
      <c r="L889" s="9" t="n">
        <f aca="false">L888+H889</f>
        <v>25181</v>
      </c>
      <c r="M889" s="10" t="str">
        <f aca="false">VLOOKUP(J889,RECATALOGANDO!A:C,2,0)</f>
        <v>VENTA DE ALIMENTO</v>
      </c>
      <c r="N889" s="12" t="str">
        <f aca="false">VLOOKUP(M889,RECATALOGANDO!B:C,2,0)</f>
        <v>VENTA DE PRODUCTO</v>
      </c>
      <c r="O889" s="2" t="s">
        <v>39</v>
      </c>
    </row>
    <row r="890" customFormat="false" ht="13.8" hidden="false" customHeight="false" outlineLevel="0" collapsed="false">
      <c r="A890" s="8" t="n">
        <v>45460</v>
      </c>
      <c r="B890" s="9" t="n">
        <f aca="false">DAY(A890)</f>
        <v>17</v>
      </c>
      <c r="C890" s="9" t="n">
        <f aca="false">MONTH(A890)</f>
        <v>6</v>
      </c>
      <c r="D890" s="9" t="n">
        <f aca="false">YEAR(A890)</f>
        <v>2024</v>
      </c>
      <c r="E890" s="9" t="n">
        <f aca="false">WEEKDAY(A890,2)</f>
        <v>1</v>
      </c>
      <c r="F890" s="10" t="n">
        <f aca="false">WEEKNUM(A890,2) - WEEKNUM(DATE(YEAR(A890),MONTH(A890),1),2) + 1</f>
        <v>4</v>
      </c>
      <c r="G890" s="10"/>
      <c r="H890" s="11" t="n">
        <v>182</v>
      </c>
      <c r="I890" s="12" t="s">
        <v>20</v>
      </c>
      <c r="J890" s="12" t="s">
        <v>45</v>
      </c>
      <c r="K890" s="12"/>
      <c r="L890" s="9" t="n">
        <f aca="false">L889+H890</f>
        <v>25363</v>
      </c>
      <c r="M890" s="10" t="str">
        <f aca="false">VLOOKUP(J890,RECATALOGANDO!A:C,2,0)</f>
        <v>VENTA DE MEDICAMENTO</v>
      </c>
      <c r="N890" s="12" t="str">
        <f aca="false">VLOOKUP(M890,RECATALOGANDO!B:C,2,0)</f>
        <v>VENTA DE PRODUCTO</v>
      </c>
      <c r="O890" s="2" t="s">
        <v>39</v>
      </c>
    </row>
    <row r="891" customFormat="false" ht="13.8" hidden="false" customHeight="false" outlineLevel="0" collapsed="false">
      <c r="A891" s="8" t="n">
        <v>45460</v>
      </c>
      <c r="B891" s="9" t="n">
        <f aca="false">DAY(A891)</f>
        <v>17</v>
      </c>
      <c r="C891" s="9" t="n">
        <f aca="false">MONTH(A891)</f>
        <v>6</v>
      </c>
      <c r="D891" s="9" t="n">
        <f aca="false">YEAR(A891)</f>
        <v>2024</v>
      </c>
      <c r="E891" s="9" t="n">
        <f aca="false">WEEKDAY(A891,2)</f>
        <v>1</v>
      </c>
      <c r="F891" s="10" t="n">
        <f aca="false">WEEKNUM(A891,2) - WEEKNUM(DATE(YEAR(A891),MONTH(A891),1),2) + 1</f>
        <v>4</v>
      </c>
      <c r="G891" s="10"/>
      <c r="H891" s="11" t="n">
        <v>1160</v>
      </c>
      <c r="I891" s="12" t="s">
        <v>20</v>
      </c>
      <c r="J891" s="12" t="s">
        <v>45</v>
      </c>
      <c r="K891" s="12"/>
      <c r="L891" s="9" t="n">
        <f aca="false">L890+H891</f>
        <v>26523</v>
      </c>
      <c r="M891" s="10" t="str">
        <f aca="false">VLOOKUP(J891,RECATALOGANDO!A:C,2,0)</f>
        <v>VENTA DE MEDICAMENTO</v>
      </c>
      <c r="N891" s="12" t="str">
        <f aca="false">VLOOKUP(M891,RECATALOGANDO!B:C,2,0)</f>
        <v>VENTA DE PRODUCTO</v>
      </c>
      <c r="O891" s="2" t="s">
        <v>39</v>
      </c>
    </row>
    <row r="892" customFormat="false" ht="13.8" hidden="false" customHeight="false" outlineLevel="0" collapsed="false">
      <c r="A892" s="8" t="n">
        <v>45460</v>
      </c>
      <c r="B892" s="9" t="n">
        <f aca="false">DAY(A892)</f>
        <v>17</v>
      </c>
      <c r="C892" s="9" t="n">
        <f aca="false">MONTH(A892)</f>
        <v>6</v>
      </c>
      <c r="D892" s="9" t="n">
        <f aca="false">YEAR(A892)</f>
        <v>2024</v>
      </c>
      <c r="E892" s="9" t="n">
        <f aca="false">WEEKDAY(A892,2)</f>
        <v>1</v>
      </c>
      <c r="F892" s="10" t="n">
        <f aca="false">WEEKNUM(A892,2) - WEEKNUM(DATE(YEAR(A892),MONTH(A892),1),2) + 1</f>
        <v>4</v>
      </c>
      <c r="G892" s="10"/>
      <c r="H892" s="11" t="n">
        <v>70</v>
      </c>
      <c r="I892" s="12" t="s">
        <v>20</v>
      </c>
      <c r="J892" s="12" t="s">
        <v>44</v>
      </c>
      <c r="K892" s="12"/>
      <c r="L892" s="9" t="n">
        <f aca="false">L891+H892</f>
        <v>26593</v>
      </c>
      <c r="M892" s="10" t="str">
        <f aca="false">VLOOKUP(J892,RECATALOGANDO!A:C,2,0)</f>
        <v>HONORARIOS MEDICOS</v>
      </c>
      <c r="N892" s="12" t="str">
        <f aca="false">VLOOKUP(M892,RECATALOGANDO!B:C,2,0)</f>
        <v>VENTA DE SERVICIO</v>
      </c>
      <c r="O892" s="2" t="s">
        <v>39</v>
      </c>
    </row>
    <row r="893" customFormat="false" ht="13.8" hidden="false" customHeight="false" outlineLevel="0" collapsed="false">
      <c r="A893" s="8" t="n">
        <v>45460</v>
      </c>
      <c r="B893" s="9" t="n">
        <f aca="false">DAY(A893)</f>
        <v>17</v>
      </c>
      <c r="C893" s="9" t="n">
        <f aca="false">MONTH(A893)</f>
        <v>6</v>
      </c>
      <c r="D893" s="9" t="n">
        <f aca="false">YEAR(A893)</f>
        <v>2024</v>
      </c>
      <c r="E893" s="9" t="n">
        <f aca="false">WEEKDAY(A893,2)</f>
        <v>1</v>
      </c>
      <c r="F893" s="10" t="n">
        <f aca="false">WEEKNUM(A893,2) - WEEKNUM(DATE(YEAR(A893),MONTH(A893),1),2) + 1</f>
        <v>4</v>
      </c>
      <c r="G893" s="10"/>
      <c r="H893" s="11" t="n">
        <v>350</v>
      </c>
      <c r="I893" s="12" t="s">
        <v>20</v>
      </c>
      <c r="J893" s="12" t="s">
        <v>44</v>
      </c>
      <c r="K893" s="12"/>
      <c r="L893" s="9" t="n">
        <f aca="false">L892+H893</f>
        <v>26943</v>
      </c>
      <c r="M893" s="10" t="str">
        <f aca="false">VLOOKUP(J893,RECATALOGANDO!A:C,2,0)</f>
        <v>HONORARIOS MEDICOS</v>
      </c>
      <c r="N893" s="12" t="str">
        <f aca="false">VLOOKUP(M893,RECATALOGANDO!B:C,2,0)</f>
        <v>VENTA DE SERVICIO</v>
      </c>
      <c r="O893" s="2" t="s">
        <v>39</v>
      </c>
    </row>
    <row r="894" customFormat="false" ht="13.8" hidden="false" customHeight="false" outlineLevel="0" collapsed="false">
      <c r="A894" s="8" t="n">
        <v>45461</v>
      </c>
      <c r="B894" s="9" t="n">
        <f aca="false">DAY(A894)</f>
        <v>18</v>
      </c>
      <c r="C894" s="9" t="n">
        <f aca="false">MONTH(A894)</f>
        <v>6</v>
      </c>
      <c r="D894" s="9" t="n">
        <f aca="false">YEAR(A894)</f>
        <v>2024</v>
      </c>
      <c r="E894" s="9" t="n">
        <f aca="false">WEEKDAY(A894,2)</f>
        <v>2</v>
      </c>
      <c r="F894" s="10" t="n">
        <f aca="false">WEEKNUM(A894,2) - WEEKNUM(DATE(YEAR(A894),MONTH(A894),1),2) + 1</f>
        <v>4</v>
      </c>
      <c r="G894" s="10"/>
      <c r="H894" s="11" t="n">
        <v>899</v>
      </c>
      <c r="I894" s="12" t="s">
        <v>20</v>
      </c>
      <c r="J894" s="12" t="s">
        <v>51</v>
      </c>
      <c r="K894" s="12"/>
      <c r="L894" s="9" t="n">
        <f aca="false">L893+H894</f>
        <v>27842</v>
      </c>
      <c r="M894" s="10" t="str">
        <f aca="false">VLOOKUP(J894,RECATALOGANDO!A:C,2,0)</f>
        <v>VENTA DE ALIMENTO</v>
      </c>
      <c r="N894" s="12" t="str">
        <f aca="false">VLOOKUP(M894,RECATALOGANDO!B:C,2,0)</f>
        <v>VENTA DE PRODUCTO</v>
      </c>
      <c r="O894" s="2" t="s">
        <v>39</v>
      </c>
    </row>
    <row r="895" customFormat="false" ht="13.8" hidden="false" customHeight="false" outlineLevel="0" collapsed="false">
      <c r="A895" s="8" t="n">
        <v>45461</v>
      </c>
      <c r="B895" s="9" t="n">
        <f aca="false">DAY(A895)</f>
        <v>18</v>
      </c>
      <c r="C895" s="9" t="n">
        <f aca="false">MONTH(A895)</f>
        <v>6</v>
      </c>
      <c r="D895" s="9" t="n">
        <f aca="false">YEAR(A895)</f>
        <v>2024</v>
      </c>
      <c r="E895" s="9" t="n">
        <f aca="false">WEEKDAY(A895,2)</f>
        <v>2</v>
      </c>
      <c r="F895" s="10" t="n">
        <f aca="false">WEEKNUM(A895,2) - WEEKNUM(DATE(YEAR(A895),MONTH(A895),1),2) + 1</f>
        <v>4</v>
      </c>
      <c r="G895" s="10"/>
      <c r="H895" s="11" t="n">
        <v>4625</v>
      </c>
      <c r="I895" s="12" t="s">
        <v>15</v>
      </c>
      <c r="J895" s="12" t="s">
        <v>51</v>
      </c>
      <c r="K895" s="12"/>
      <c r="L895" s="9" t="n">
        <f aca="false">L894+H895</f>
        <v>32467</v>
      </c>
      <c r="M895" s="10" t="str">
        <f aca="false">VLOOKUP(J895,RECATALOGANDO!A:C,2,0)</f>
        <v>VENTA DE ALIMENTO</v>
      </c>
      <c r="N895" s="12" t="str">
        <f aca="false">VLOOKUP(M895,RECATALOGANDO!B:C,2,0)</f>
        <v>VENTA DE PRODUCTO</v>
      </c>
      <c r="O895" s="2" t="s">
        <v>39</v>
      </c>
    </row>
    <row r="896" customFormat="false" ht="13.8" hidden="false" customHeight="false" outlineLevel="0" collapsed="false">
      <c r="A896" s="8" t="n">
        <v>45461</v>
      </c>
      <c r="B896" s="9" t="n">
        <f aca="false">DAY(A896)</f>
        <v>18</v>
      </c>
      <c r="C896" s="9" t="n">
        <f aca="false">MONTH(A896)</f>
        <v>6</v>
      </c>
      <c r="D896" s="9" t="n">
        <f aca="false">YEAR(A896)</f>
        <v>2024</v>
      </c>
      <c r="E896" s="9" t="n">
        <f aca="false">WEEKDAY(A896,2)</f>
        <v>2</v>
      </c>
      <c r="F896" s="10" t="n">
        <f aca="false">WEEKNUM(A896,2) - WEEKNUM(DATE(YEAR(A896),MONTH(A896),1),2) + 1</f>
        <v>4</v>
      </c>
      <c r="G896" s="10"/>
      <c r="H896" s="11" t="n">
        <v>2231</v>
      </c>
      <c r="I896" s="12" t="s">
        <v>20</v>
      </c>
      <c r="J896" s="12" t="s">
        <v>64</v>
      </c>
      <c r="K896" s="12"/>
      <c r="L896" s="9" t="n">
        <f aca="false">L895+H896</f>
        <v>34698</v>
      </c>
      <c r="M896" s="10" t="str">
        <f aca="false">VLOOKUP(J896,RECATALOGANDO!A:C,2,0)</f>
        <v>HONORARIOS QUIRURGICOS</v>
      </c>
      <c r="N896" s="12" t="str">
        <f aca="false">VLOOKUP(M896,RECATALOGANDO!B:C,2,0)</f>
        <v>VENTA DE SERVICIO</v>
      </c>
      <c r="O896" s="2" t="s">
        <v>39</v>
      </c>
    </row>
    <row r="897" customFormat="false" ht="13.8" hidden="false" customHeight="false" outlineLevel="0" collapsed="false">
      <c r="A897" s="8" t="n">
        <v>45462</v>
      </c>
      <c r="B897" s="9" t="n">
        <f aca="false">DAY(A897)</f>
        <v>19</v>
      </c>
      <c r="C897" s="9" t="n">
        <f aca="false">MONTH(A897)</f>
        <v>6</v>
      </c>
      <c r="D897" s="9" t="n">
        <f aca="false">YEAR(A897)</f>
        <v>2024</v>
      </c>
      <c r="E897" s="9" t="n">
        <f aca="false">WEEKDAY(A897,2)</f>
        <v>3</v>
      </c>
      <c r="F897" s="10" t="n">
        <f aca="false">WEEKNUM(A897,2) - WEEKNUM(DATE(YEAR(A897),MONTH(A897),1),2) + 1</f>
        <v>4</v>
      </c>
      <c r="G897" s="10"/>
      <c r="H897" s="11" t="n">
        <v>140</v>
      </c>
      <c r="I897" s="12" t="s">
        <v>20</v>
      </c>
      <c r="J897" s="12" t="s">
        <v>49</v>
      </c>
      <c r="K897" s="12"/>
      <c r="L897" s="9" t="n">
        <f aca="false">L896+H897</f>
        <v>34838</v>
      </c>
      <c r="M897" s="10" t="str">
        <f aca="false">VLOOKUP(J897,RECATALOGANDO!A:C,2,0)</f>
        <v>SERVICIO DE GROOMING</v>
      </c>
      <c r="N897" s="12" t="str">
        <f aca="false">VLOOKUP(M897,RECATALOGANDO!B:C,2,0)</f>
        <v>VENTA DE SERVICIO</v>
      </c>
      <c r="O897" s="2" t="s">
        <v>39</v>
      </c>
    </row>
    <row r="898" customFormat="false" ht="13.8" hidden="false" customHeight="false" outlineLevel="0" collapsed="false">
      <c r="A898" s="8" t="n">
        <v>45462</v>
      </c>
      <c r="B898" s="9" t="n">
        <f aca="false">DAY(A898)</f>
        <v>19</v>
      </c>
      <c r="C898" s="9" t="n">
        <f aca="false">MONTH(A898)</f>
        <v>6</v>
      </c>
      <c r="D898" s="9" t="n">
        <f aca="false">YEAR(A898)</f>
        <v>2024</v>
      </c>
      <c r="E898" s="9" t="n">
        <f aca="false">WEEKDAY(A898,2)</f>
        <v>3</v>
      </c>
      <c r="F898" s="10" t="n">
        <f aca="false">WEEKNUM(A898,2) - WEEKNUM(DATE(YEAR(A898),MONTH(A898),1),2) + 1</f>
        <v>4</v>
      </c>
      <c r="G898" s="10"/>
      <c r="H898" s="11" t="n">
        <v>150</v>
      </c>
      <c r="I898" s="12" t="s">
        <v>20</v>
      </c>
      <c r="J898" s="12" t="s">
        <v>49</v>
      </c>
      <c r="K898" s="12"/>
      <c r="L898" s="9" t="n">
        <f aca="false">L897+H898</f>
        <v>34988</v>
      </c>
      <c r="M898" s="10" t="str">
        <f aca="false">VLOOKUP(J898,RECATALOGANDO!A:C,2,0)</f>
        <v>SERVICIO DE GROOMING</v>
      </c>
      <c r="N898" s="12" t="str">
        <f aca="false">VLOOKUP(M898,RECATALOGANDO!B:C,2,0)</f>
        <v>VENTA DE SERVICIO</v>
      </c>
      <c r="O898" s="2" t="s">
        <v>39</v>
      </c>
    </row>
    <row r="899" customFormat="false" ht="13.8" hidden="false" customHeight="false" outlineLevel="0" collapsed="false">
      <c r="A899" s="8" t="n">
        <v>45462</v>
      </c>
      <c r="B899" s="9" t="n">
        <f aca="false">DAY(A899)</f>
        <v>19</v>
      </c>
      <c r="C899" s="9" t="n">
        <f aca="false">MONTH(A899)</f>
        <v>6</v>
      </c>
      <c r="D899" s="9" t="n">
        <f aca="false">YEAR(A899)</f>
        <v>2024</v>
      </c>
      <c r="E899" s="9" t="n">
        <f aca="false">WEEKDAY(A899,2)</f>
        <v>3</v>
      </c>
      <c r="F899" s="10" t="n">
        <f aca="false">WEEKNUM(A899,2) - WEEKNUM(DATE(YEAR(A899),MONTH(A899),1),2) + 1</f>
        <v>4</v>
      </c>
      <c r="G899" s="10"/>
      <c r="H899" s="11" t="n">
        <v>1300</v>
      </c>
      <c r="I899" s="12" t="s">
        <v>15</v>
      </c>
      <c r="J899" s="12" t="s">
        <v>57</v>
      </c>
      <c r="K899" s="12"/>
      <c r="L899" s="9" t="n">
        <f aca="false">L898+H899</f>
        <v>36288</v>
      </c>
      <c r="M899" s="10" t="str">
        <f aca="false">VLOOKUP(J899,RECATALOGANDO!A:C,2,0)</f>
        <v>SERVICIO DE CREMACION</v>
      </c>
      <c r="N899" s="12" t="str">
        <f aca="false">VLOOKUP(M899,RECATALOGANDO!B:C,2,0)</f>
        <v>VENTA DE SERVICIO</v>
      </c>
      <c r="O899" s="2" t="s">
        <v>39</v>
      </c>
    </row>
    <row r="900" customFormat="false" ht="13.8" hidden="false" customHeight="false" outlineLevel="0" collapsed="false">
      <c r="A900" s="8" t="n">
        <v>45469</v>
      </c>
      <c r="B900" s="9" t="n">
        <f aca="false">DAY(A900)</f>
        <v>26</v>
      </c>
      <c r="C900" s="9" t="n">
        <f aca="false">MONTH(A900)</f>
        <v>6</v>
      </c>
      <c r="D900" s="9" t="n">
        <f aca="false">YEAR(A900)</f>
        <v>2024</v>
      </c>
      <c r="E900" s="9" t="n">
        <f aca="false">WEEKDAY(A900,2)</f>
        <v>3</v>
      </c>
      <c r="F900" s="10" t="n">
        <f aca="false">WEEKNUM(A900,2) - WEEKNUM(DATE(YEAR(A900),MONTH(A900),1),2) + 1</f>
        <v>5</v>
      </c>
      <c r="G900" s="10"/>
      <c r="H900" s="11" t="n">
        <v>555</v>
      </c>
      <c r="I900" s="12" t="s">
        <v>15</v>
      </c>
      <c r="J900" s="12" t="s">
        <v>59</v>
      </c>
      <c r="K900" s="12"/>
      <c r="L900" s="9" t="n">
        <f aca="false">L899+H900</f>
        <v>36843</v>
      </c>
      <c r="M900" s="10" t="str">
        <f aca="false">VLOOKUP(J900,RECATALOGANDO!A:C,2,0)</f>
        <v>SERVICIO DE PENSION</v>
      </c>
      <c r="N900" s="12" t="str">
        <f aca="false">VLOOKUP(M900,RECATALOGANDO!B:C,2,0)</f>
        <v>VENTA DE SERVICIO</v>
      </c>
      <c r="O900" s="2" t="s">
        <v>39</v>
      </c>
    </row>
    <row r="901" customFormat="false" ht="13.8" hidden="false" customHeight="false" outlineLevel="0" collapsed="false">
      <c r="A901" s="8" t="n">
        <v>45470</v>
      </c>
      <c r="B901" s="9" t="n">
        <f aca="false">DAY(A901)</f>
        <v>27</v>
      </c>
      <c r="C901" s="9" t="n">
        <f aca="false">MONTH(A901)</f>
        <v>6</v>
      </c>
      <c r="D901" s="9" t="n">
        <f aca="false">YEAR(A901)</f>
        <v>2024</v>
      </c>
      <c r="E901" s="9" t="n">
        <f aca="false">WEEKDAY(A901,2)</f>
        <v>4</v>
      </c>
      <c r="F901" s="10" t="n">
        <f aca="false">WEEKNUM(A901,2) - WEEKNUM(DATE(YEAR(A901),MONTH(A901),1),2) + 1</f>
        <v>5</v>
      </c>
      <c r="G901" s="10"/>
      <c r="H901" s="11" t="n">
        <v>387</v>
      </c>
      <c r="I901" s="12" t="s">
        <v>15</v>
      </c>
      <c r="J901" s="12" t="s">
        <v>51</v>
      </c>
      <c r="K901" s="12"/>
      <c r="L901" s="9" t="n">
        <f aca="false">L900+H901</f>
        <v>37230</v>
      </c>
      <c r="M901" s="10" t="str">
        <f aca="false">VLOOKUP(J901,RECATALOGANDO!A:C,2,0)</f>
        <v>VENTA DE ALIMENTO</v>
      </c>
      <c r="N901" s="12" t="str">
        <f aca="false">VLOOKUP(M901,RECATALOGANDO!B:C,2,0)</f>
        <v>VENTA DE PRODUCTO</v>
      </c>
      <c r="O901" s="2" t="s">
        <v>39</v>
      </c>
    </row>
    <row r="902" customFormat="false" ht="13.8" hidden="false" customHeight="false" outlineLevel="0" collapsed="false">
      <c r="A902" s="8" t="n">
        <v>45471</v>
      </c>
      <c r="B902" s="9" t="n">
        <f aca="false">DAY(A902)</f>
        <v>28</v>
      </c>
      <c r="C902" s="9" t="n">
        <f aca="false">MONTH(A902)</f>
        <v>6</v>
      </c>
      <c r="D902" s="9" t="n">
        <f aca="false">YEAR(A902)</f>
        <v>2024</v>
      </c>
      <c r="E902" s="9" t="n">
        <f aca="false">WEEKDAY(A902,2)</f>
        <v>5</v>
      </c>
      <c r="F902" s="10" t="n">
        <f aca="false">WEEKNUM(A902,2) - WEEKNUM(DATE(YEAR(A902),MONTH(A902),1),2) + 1</f>
        <v>5</v>
      </c>
      <c r="G902" s="10" t="n">
        <v>2</v>
      </c>
      <c r="H902" s="11" t="n">
        <v>855</v>
      </c>
      <c r="I902" s="12" t="s">
        <v>15</v>
      </c>
      <c r="J902" s="12" t="s">
        <v>44</v>
      </c>
      <c r="K902" s="12"/>
      <c r="L902" s="9" t="n">
        <f aca="false">L901+H902</f>
        <v>38085</v>
      </c>
      <c r="M902" s="10" t="str">
        <f aca="false">VLOOKUP(J902,RECATALOGANDO!A:C,2,0)</f>
        <v>HONORARIOS MEDICOS</v>
      </c>
      <c r="N902" s="12" t="str">
        <f aca="false">VLOOKUP(M902,RECATALOGANDO!B:C,2,0)</f>
        <v>VENTA DE SERVICIO</v>
      </c>
      <c r="O902" s="2" t="s">
        <v>39</v>
      </c>
    </row>
    <row r="903" customFormat="false" ht="13.8" hidden="false" customHeight="false" outlineLevel="0" collapsed="false">
      <c r="A903" s="8" t="n">
        <v>45474</v>
      </c>
      <c r="B903" s="9" t="n">
        <f aca="false">DAY(A903)</f>
        <v>1</v>
      </c>
      <c r="C903" s="9" t="n">
        <f aca="false">MONTH(A903)</f>
        <v>7</v>
      </c>
      <c r="D903" s="9" t="n">
        <f aca="false">YEAR(A903)</f>
        <v>2024</v>
      </c>
      <c r="E903" s="9" t="n">
        <f aca="false">WEEKDAY(A903,2)</f>
        <v>1</v>
      </c>
      <c r="F903" s="10" t="n">
        <f aca="false">WEEKNUM(A903,2) - WEEKNUM(DATE(YEAR(A903),MONTH(A903),1),2) + 1</f>
        <v>1</v>
      </c>
      <c r="G903" s="10"/>
      <c r="H903" s="11" t="n">
        <v>194.52</v>
      </c>
      <c r="I903" s="12" t="s">
        <v>15</v>
      </c>
      <c r="J903" s="22" t="s">
        <v>53</v>
      </c>
      <c r="K903" s="12"/>
      <c r="L903" s="9" t="n">
        <f aca="false">H903</f>
        <v>194.52</v>
      </c>
      <c r="M903" s="10" t="str">
        <f aca="false">VLOOKUP(J903,RECATALOGANDO!A:C,2,0)</f>
        <v>SERVICIO DE GROOMING</v>
      </c>
      <c r="N903" s="12" t="str">
        <f aca="false">VLOOKUP(M903,RECATALOGANDO!B:C,2,0)</f>
        <v>VENTA DE SERVICIO</v>
      </c>
      <c r="O903" s="2" t="s">
        <v>39</v>
      </c>
    </row>
    <row r="904" customFormat="false" ht="13.8" hidden="false" customHeight="false" outlineLevel="0" collapsed="false">
      <c r="A904" s="8" t="n">
        <v>45475</v>
      </c>
      <c r="B904" s="9" t="n">
        <f aca="false">DAY(A904)</f>
        <v>2</v>
      </c>
      <c r="C904" s="9" t="n">
        <f aca="false">MONTH(A904)</f>
        <v>7</v>
      </c>
      <c r="D904" s="9" t="n">
        <f aca="false">YEAR(A904)</f>
        <v>2024</v>
      </c>
      <c r="E904" s="9" t="n">
        <f aca="false">WEEKDAY(A904,2)</f>
        <v>2</v>
      </c>
      <c r="F904" s="10" t="n">
        <f aca="false">WEEKNUM(A904,2) - WEEKNUM(DATE(YEAR(A904),MONTH(A904),1),2) + 1</f>
        <v>1</v>
      </c>
      <c r="G904" s="10"/>
      <c r="H904" s="11" t="n">
        <v>4600</v>
      </c>
      <c r="I904" s="12" t="s">
        <v>15</v>
      </c>
      <c r="J904" s="22" t="s">
        <v>45</v>
      </c>
      <c r="K904" s="12"/>
      <c r="L904" s="9" t="n">
        <f aca="false">L903+H904</f>
        <v>4794.52</v>
      </c>
      <c r="M904" s="10" t="str">
        <f aca="false">VLOOKUP(J904,RECATALOGANDO!A:C,2,0)</f>
        <v>VENTA DE MEDICAMENTO</v>
      </c>
      <c r="N904" s="12" t="str">
        <f aca="false">VLOOKUP(M904,RECATALOGANDO!B:C,2,0)</f>
        <v>VENTA DE PRODUCTO</v>
      </c>
      <c r="O904" s="2" t="s">
        <v>39</v>
      </c>
    </row>
    <row r="905" customFormat="false" ht="13.8" hidden="false" customHeight="false" outlineLevel="0" collapsed="false">
      <c r="A905" s="8" t="n">
        <v>45476</v>
      </c>
      <c r="B905" s="9" t="n">
        <f aca="false">DAY(A905)</f>
        <v>3</v>
      </c>
      <c r="C905" s="9" t="n">
        <f aca="false">MONTH(A905)</f>
        <v>7</v>
      </c>
      <c r="D905" s="9" t="n">
        <f aca="false">YEAR(A905)</f>
        <v>2024</v>
      </c>
      <c r="E905" s="9" t="n">
        <f aca="false">WEEKDAY(A905,2)</f>
        <v>3</v>
      </c>
      <c r="F905" s="10" t="n">
        <f aca="false">WEEKNUM(A905,2) - WEEKNUM(DATE(YEAR(A905),MONTH(A905),1),2) + 1</f>
        <v>1</v>
      </c>
      <c r="G905" s="10"/>
      <c r="H905" s="11" t="n">
        <v>400</v>
      </c>
      <c r="I905" s="12" t="s">
        <v>15</v>
      </c>
      <c r="J905" s="22" t="s">
        <v>44</v>
      </c>
      <c r="K905" s="12"/>
      <c r="L905" s="9" t="n">
        <f aca="false">L904+H905</f>
        <v>5194.52</v>
      </c>
      <c r="M905" s="10" t="str">
        <f aca="false">VLOOKUP(J905,RECATALOGANDO!A:C,2,0)</f>
        <v>HONORARIOS MEDICOS</v>
      </c>
      <c r="N905" s="12" t="str">
        <f aca="false">VLOOKUP(M905,RECATALOGANDO!B:C,2,0)</f>
        <v>VENTA DE SERVICIO</v>
      </c>
      <c r="O905" s="2" t="s">
        <v>39</v>
      </c>
    </row>
    <row r="906" customFormat="false" ht="13.8" hidden="false" customHeight="false" outlineLevel="0" collapsed="false">
      <c r="A906" s="8" t="n">
        <v>45477</v>
      </c>
      <c r="B906" s="9" t="n">
        <f aca="false">DAY(A906)</f>
        <v>4</v>
      </c>
      <c r="C906" s="9" t="n">
        <f aca="false">MONTH(A906)</f>
        <v>7</v>
      </c>
      <c r="D906" s="9" t="n">
        <f aca="false">YEAR(A906)</f>
        <v>2024</v>
      </c>
      <c r="E906" s="9" t="n">
        <f aca="false">WEEKDAY(A906,2)</f>
        <v>4</v>
      </c>
      <c r="F906" s="10" t="n">
        <f aca="false">WEEKNUM(A906,2) - WEEKNUM(DATE(YEAR(A906),MONTH(A906),1),2) + 1</f>
        <v>1</v>
      </c>
      <c r="G906" s="10"/>
      <c r="H906" s="11" t="n">
        <v>660</v>
      </c>
      <c r="I906" s="12" t="s">
        <v>20</v>
      </c>
      <c r="J906" s="22" t="s">
        <v>45</v>
      </c>
      <c r="K906" s="12"/>
      <c r="L906" s="9" t="n">
        <f aca="false">L905+H906</f>
        <v>5854.52</v>
      </c>
      <c r="M906" s="10" t="str">
        <f aca="false">VLOOKUP(J906,RECATALOGANDO!A:C,2,0)</f>
        <v>VENTA DE MEDICAMENTO</v>
      </c>
      <c r="N906" s="12" t="str">
        <f aca="false">VLOOKUP(M906,RECATALOGANDO!B:C,2,0)</f>
        <v>VENTA DE PRODUCTO</v>
      </c>
      <c r="O906" s="2" t="s">
        <v>39</v>
      </c>
    </row>
    <row r="907" customFormat="false" ht="13.8" hidden="false" customHeight="false" outlineLevel="0" collapsed="false">
      <c r="A907" s="8" t="n">
        <v>45477</v>
      </c>
      <c r="B907" s="9" t="n">
        <f aca="false">DAY(A907)</f>
        <v>4</v>
      </c>
      <c r="C907" s="9" t="n">
        <f aca="false">MONTH(A907)</f>
        <v>7</v>
      </c>
      <c r="D907" s="9" t="n">
        <f aca="false">YEAR(A907)</f>
        <v>2024</v>
      </c>
      <c r="E907" s="9" t="n">
        <f aca="false">WEEKDAY(A907,2)</f>
        <v>4</v>
      </c>
      <c r="F907" s="10" t="n">
        <f aca="false">WEEKNUM(A907,2) - WEEKNUM(DATE(YEAR(A907),MONTH(A907),1),2) + 1</f>
        <v>1</v>
      </c>
      <c r="G907" s="10"/>
      <c r="H907" s="11" t="n">
        <v>1365</v>
      </c>
      <c r="I907" s="12" t="s">
        <v>20</v>
      </c>
      <c r="J907" s="22" t="s">
        <v>51</v>
      </c>
      <c r="K907" s="12"/>
      <c r="L907" s="9" t="n">
        <f aca="false">L906+H907</f>
        <v>7219.52</v>
      </c>
      <c r="M907" s="10" t="str">
        <f aca="false">VLOOKUP(J907,RECATALOGANDO!A:C,2,0)</f>
        <v>VENTA DE ALIMENTO</v>
      </c>
      <c r="N907" s="12" t="str">
        <f aca="false">VLOOKUP(M907,RECATALOGANDO!B:C,2,0)</f>
        <v>VENTA DE PRODUCTO</v>
      </c>
      <c r="O907" s="2" t="s">
        <v>39</v>
      </c>
    </row>
    <row r="908" customFormat="false" ht="13.8" hidden="false" customHeight="false" outlineLevel="0" collapsed="false">
      <c r="A908" s="8" t="n">
        <v>45477</v>
      </c>
      <c r="B908" s="9" t="n">
        <f aca="false">DAY(A908)</f>
        <v>4</v>
      </c>
      <c r="C908" s="9" t="n">
        <f aca="false">MONTH(A908)</f>
        <v>7</v>
      </c>
      <c r="D908" s="9" t="n">
        <f aca="false">YEAR(A908)</f>
        <v>2024</v>
      </c>
      <c r="E908" s="9" t="n">
        <f aca="false">WEEKDAY(A908,2)</f>
        <v>4</v>
      </c>
      <c r="F908" s="10" t="n">
        <f aca="false">WEEKNUM(A908,2) - WEEKNUM(DATE(YEAR(A908),MONTH(A908),1),2) + 1</f>
        <v>1</v>
      </c>
      <c r="G908" s="10"/>
      <c r="H908" s="11" t="n">
        <v>160</v>
      </c>
      <c r="I908" s="12" t="s">
        <v>15</v>
      </c>
      <c r="J908" s="22" t="s">
        <v>53</v>
      </c>
      <c r="K908" s="12"/>
      <c r="L908" s="9" t="n">
        <f aca="false">L907+H908</f>
        <v>7379.52</v>
      </c>
      <c r="M908" s="10" t="str">
        <f aca="false">VLOOKUP(J908,RECATALOGANDO!A:C,2,0)</f>
        <v>SERVICIO DE GROOMING</v>
      </c>
      <c r="N908" s="12" t="str">
        <f aca="false">VLOOKUP(M908,RECATALOGANDO!B:C,2,0)</f>
        <v>VENTA DE SERVICIO</v>
      </c>
      <c r="O908" s="2" t="s">
        <v>39</v>
      </c>
    </row>
    <row r="909" customFormat="false" ht="13.8" hidden="false" customHeight="false" outlineLevel="0" collapsed="false">
      <c r="A909" s="8" t="n">
        <v>45477</v>
      </c>
      <c r="B909" s="9" t="n">
        <f aca="false">DAY(A909)</f>
        <v>4</v>
      </c>
      <c r="C909" s="9" t="n">
        <f aca="false">MONTH(A909)</f>
        <v>7</v>
      </c>
      <c r="D909" s="9" t="n">
        <f aca="false">YEAR(A909)</f>
        <v>2024</v>
      </c>
      <c r="E909" s="9" t="n">
        <f aca="false">WEEKDAY(A909,2)</f>
        <v>4</v>
      </c>
      <c r="F909" s="10" t="n">
        <f aca="false">WEEKNUM(A909,2) - WEEKNUM(DATE(YEAR(A909),MONTH(A909),1),2) + 1</f>
        <v>1</v>
      </c>
      <c r="G909" s="10"/>
      <c r="H909" s="11" t="n">
        <v>760</v>
      </c>
      <c r="I909" s="12" t="s">
        <v>20</v>
      </c>
      <c r="J909" s="22" t="s">
        <v>44</v>
      </c>
      <c r="K909" s="12"/>
      <c r="L909" s="9" t="n">
        <f aca="false">L908+H909</f>
        <v>8139.52</v>
      </c>
      <c r="M909" s="10" t="str">
        <f aca="false">VLOOKUP(J909,RECATALOGANDO!A:C,2,0)</f>
        <v>HONORARIOS MEDICOS</v>
      </c>
      <c r="N909" s="12" t="str">
        <f aca="false">VLOOKUP(M909,RECATALOGANDO!B:C,2,0)</f>
        <v>VENTA DE SERVICIO</v>
      </c>
      <c r="O909" s="2" t="s">
        <v>39</v>
      </c>
    </row>
    <row r="910" customFormat="false" ht="13.8" hidden="false" customHeight="false" outlineLevel="0" collapsed="false">
      <c r="A910" s="8" t="n">
        <v>45478</v>
      </c>
      <c r="B910" s="9" t="n">
        <f aca="false">DAY(A910)</f>
        <v>5</v>
      </c>
      <c r="C910" s="9" t="n">
        <f aca="false">MONTH(A910)</f>
        <v>7</v>
      </c>
      <c r="D910" s="9" t="n">
        <f aca="false">YEAR(A910)</f>
        <v>2024</v>
      </c>
      <c r="E910" s="9" t="n">
        <f aca="false">WEEKDAY(A910,2)</f>
        <v>5</v>
      </c>
      <c r="F910" s="10" t="n">
        <f aca="false">WEEKNUM(A910,2) - WEEKNUM(DATE(YEAR(A910),MONTH(A910),1),2) + 1</f>
        <v>1</v>
      </c>
      <c r="G910" s="10"/>
      <c r="H910" s="11" t="n">
        <v>660</v>
      </c>
      <c r="I910" s="12" t="s">
        <v>15</v>
      </c>
      <c r="J910" s="22" t="s">
        <v>51</v>
      </c>
      <c r="K910" s="12"/>
      <c r="L910" s="9" t="n">
        <f aca="false">L909+H910</f>
        <v>8799.52</v>
      </c>
      <c r="M910" s="10" t="str">
        <f aca="false">VLOOKUP(J910,RECATALOGANDO!A:C,2,0)</f>
        <v>VENTA DE ALIMENTO</v>
      </c>
      <c r="N910" s="12" t="str">
        <f aca="false">VLOOKUP(M910,RECATALOGANDO!B:C,2,0)</f>
        <v>VENTA DE PRODUCTO</v>
      </c>
      <c r="O910" s="2" t="s">
        <v>39</v>
      </c>
    </row>
    <row r="911" customFormat="false" ht="13.8" hidden="false" customHeight="false" outlineLevel="0" collapsed="false">
      <c r="A911" s="8" t="n">
        <v>45479</v>
      </c>
      <c r="B911" s="9" t="n">
        <f aca="false">DAY(A911)</f>
        <v>6</v>
      </c>
      <c r="C911" s="9" t="n">
        <f aca="false">MONTH(A911)</f>
        <v>7</v>
      </c>
      <c r="D911" s="9" t="n">
        <f aca="false">YEAR(A911)</f>
        <v>2024</v>
      </c>
      <c r="E911" s="9" t="n">
        <f aca="false">WEEKDAY(A911,2)</f>
        <v>6</v>
      </c>
      <c r="F911" s="10" t="n">
        <f aca="false">WEEKNUM(A911,2) - WEEKNUM(DATE(YEAR(A911),MONTH(A911),1),2) + 1</f>
        <v>1</v>
      </c>
      <c r="G911" s="10"/>
      <c r="H911" s="11" t="n">
        <v>1625</v>
      </c>
      <c r="I911" s="12" t="s">
        <v>20</v>
      </c>
      <c r="J911" s="22" t="s">
        <v>44</v>
      </c>
      <c r="K911" s="12"/>
      <c r="L911" s="9" t="n">
        <f aca="false">L910+H911</f>
        <v>10424.52</v>
      </c>
      <c r="M911" s="10" t="str">
        <f aca="false">VLOOKUP(J911,RECATALOGANDO!A:C,2,0)</f>
        <v>HONORARIOS MEDICOS</v>
      </c>
      <c r="N911" s="12" t="str">
        <f aca="false">VLOOKUP(M911,RECATALOGANDO!B:C,2,0)</f>
        <v>VENTA DE SERVICIO</v>
      </c>
      <c r="O911" s="2" t="s">
        <v>39</v>
      </c>
    </row>
    <row r="912" customFormat="false" ht="13.8" hidden="false" customHeight="false" outlineLevel="0" collapsed="false">
      <c r="A912" s="8" t="n">
        <v>45479</v>
      </c>
      <c r="B912" s="9" t="n">
        <f aca="false">DAY(A912)</f>
        <v>6</v>
      </c>
      <c r="C912" s="9" t="n">
        <f aca="false">MONTH(A912)</f>
        <v>7</v>
      </c>
      <c r="D912" s="9" t="n">
        <f aca="false">YEAR(A912)</f>
        <v>2024</v>
      </c>
      <c r="E912" s="9" t="n">
        <f aca="false">WEEKDAY(A912,2)</f>
        <v>6</v>
      </c>
      <c r="F912" s="10" t="n">
        <f aca="false">WEEKNUM(A912,2) - WEEKNUM(DATE(YEAR(A912),MONTH(A912),1),2) + 1</f>
        <v>1</v>
      </c>
      <c r="G912" s="10"/>
      <c r="H912" s="11" t="n">
        <v>1725</v>
      </c>
      <c r="I912" s="12" t="s">
        <v>20</v>
      </c>
      <c r="J912" s="22" t="s">
        <v>41</v>
      </c>
      <c r="K912" s="12"/>
      <c r="L912" s="9" t="n">
        <f aca="false">L911+H912</f>
        <v>12149.52</v>
      </c>
      <c r="M912" s="10" t="str">
        <f aca="false">VLOOKUP(J912,RECATALOGANDO!A:C,2,0)</f>
        <v>HONORARIOS QUIRURGICOS</v>
      </c>
      <c r="N912" s="12" t="str">
        <f aca="false">VLOOKUP(M912,RECATALOGANDO!B:C,2,0)</f>
        <v>VENTA DE SERVICIO</v>
      </c>
      <c r="O912" s="2" t="s">
        <v>39</v>
      </c>
    </row>
    <row r="913" customFormat="false" ht="13.8" hidden="false" customHeight="false" outlineLevel="0" collapsed="false">
      <c r="A913" s="8" t="n">
        <v>45480</v>
      </c>
      <c r="B913" s="9" t="n">
        <f aca="false">DAY(A913)</f>
        <v>7</v>
      </c>
      <c r="C913" s="9" t="n">
        <f aca="false">MONTH(A913)</f>
        <v>7</v>
      </c>
      <c r="D913" s="9" t="n">
        <f aca="false">YEAR(A913)</f>
        <v>2024</v>
      </c>
      <c r="E913" s="9" t="n">
        <f aca="false">WEEKDAY(A913,2)</f>
        <v>7</v>
      </c>
      <c r="F913" s="10" t="n">
        <f aca="false">WEEKNUM(A913,2) - WEEKNUM(DATE(YEAR(A913),MONTH(A913),1),2) + 1</f>
        <v>1</v>
      </c>
      <c r="G913" s="10"/>
      <c r="H913" s="11" t="n">
        <v>1691</v>
      </c>
      <c r="I913" s="12" t="s">
        <v>15</v>
      </c>
      <c r="J913" s="22" t="s">
        <v>51</v>
      </c>
      <c r="K913" s="12"/>
      <c r="L913" s="9" t="n">
        <f aca="false">L912+H913</f>
        <v>13840.52</v>
      </c>
      <c r="M913" s="10" t="str">
        <f aca="false">VLOOKUP(J913,RECATALOGANDO!A:C,2,0)</f>
        <v>VENTA DE ALIMENTO</v>
      </c>
      <c r="N913" s="12" t="str">
        <f aca="false">VLOOKUP(M913,RECATALOGANDO!B:C,2,0)</f>
        <v>VENTA DE PRODUCTO</v>
      </c>
      <c r="O913" s="2" t="s">
        <v>39</v>
      </c>
    </row>
    <row r="914" customFormat="false" ht="13.8" hidden="false" customHeight="false" outlineLevel="0" collapsed="false">
      <c r="A914" s="8" t="n">
        <v>45480</v>
      </c>
      <c r="B914" s="9" t="n">
        <f aca="false">DAY(A914)</f>
        <v>7</v>
      </c>
      <c r="C914" s="9" t="n">
        <f aca="false">MONTH(A914)</f>
        <v>7</v>
      </c>
      <c r="D914" s="9" t="n">
        <f aca="false">YEAR(A914)</f>
        <v>2024</v>
      </c>
      <c r="E914" s="9" t="n">
        <f aca="false">WEEKDAY(A914,2)</f>
        <v>7</v>
      </c>
      <c r="F914" s="10" t="n">
        <f aca="false">WEEKNUM(A914,2) - WEEKNUM(DATE(YEAR(A914),MONTH(A914),1),2) + 1</f>
        <v>1</v>
      </c>
      <c r="G914" s="10"/>
      <c r="H914" s="11" t="n">
        <v>370</v>
      </c>
      <c r="I914" s="12" t="s">
        <v>15</v>
      </c>
      <c r="J914" s="22" t="s">
        <v>53</v>
      </c>
      <c r="K914" s="12"/>
      <c r="L914" s="9" t="n">
        <f aca="false">L913+H914</f>
        <v>14210.52</v>
      </c>
      <c r="M914" s="10" t="str">
        <f aca="false">VLOOKUP(J914,RECATALOGANDO!A:C,2,0)</f>
        <v>SERVICIO DE GROOMING</v>
      </c>
      <c r="N914" s="12" t="str">
        <f aca="false">VLOOKUP(M914,RECATALOGANDO!B:C,2,0)</f>
        <v>VENTA DE SERVICIO</v>
      </c>
      <c r="O914" s="2" t="s">
        <v>39</v>
      </c>
    </row>
    <row r="915" customFormat="false" ht="13.8" hidden="false" customHeight="false" outlineLevel="0" collapsed="false">
      <c r="A915" s="8" t="n">
        <v>45483</v>
      </c>
      <c r="B915" s="9" t="n">
        <f aca="false">DAY(A915)</f>
        <v>10</v>
      </c>
      <c r="C915" s="9" t="n">
        <f aca="false">MONTH(A915)</f>
        <v>7</v>
      </c>
      <c r="D915" s="9" t="n">
        <f aca="false">YEAR(A915)</f>
        <v>2024</v>
      </c>
      <c r="E915" s="9" t="n">
        <f aca="false">WEEKDAY(A915,2)</f>
        <v>3</v>
      </c>
      <c r="F915" s="10" t="n">
        <f aca="false">WEEKNUM(A915,2) - WEEKNUM(DATE(YEAR(A915),MONTH(A915),1),2) + 1</f>
        <v>2</v>
      </c>
      <c r="G915" s="10"/>
      <c r="H915" s="11" t="n">
        <v>150</v>
      </c>
      <c r="I915" s="12" t="s">
        <v>15</v>
      </c>
      <c r="J915" s="22" t="s">
        <v>53</v>
      </c>
      <c r="K915" s="12"/>
      <c r="L915" s="9" t="n">
        <f aca="false">L914+H915</f>
        <v>14360.52</v>
      </c>
      <c r="M915" s="10" t="str">
        <f aca="false">VLOOKUP(J915,RECATALOGANDO!A:C,2,0)</f>
        <v>SERVICIO DE GROOMING</v>
      </c>
      <c r="N915" s="12" t="str">
        <f aca="false">VLOOKUP(M915,RECATALOGANDO!B:C,2,0)</f>
        <v>VENTA DE SERVICIO</v>
      </c>
      <c r="O915" s="2" t="s">
        <v>39</v>
      </c>
    </row>
    <row r="916" customFormat="false" ht="13.8" hidden="false" customHeight="false" outlineLevel="0" collapsed="false">
      <c r="A916" s="8" t="n">
        <v>45484</v>
      </c>
      <c r="B916" s="9" t="n">
        <f aca="false">DAY(A916)</f>
        <v>11</v>
      </c>
      <c r="C916" s="9" t="n">
        <f aca="false">MONTH(A916)</f>
        <v>7</v>
      </c>
      <c r="D916" s="9" t="n">
        <f aca="false">YEAR(A916)</f>
        <v>2024</v>
      </c>
      <c r="E916" s="9" t="n">
        <f aca="false">WEEKDAY(A916,2)</f>
        <v>4</v>
      </c>
      <c r="F916" s="10" t="n">
        <f aca="false">WEEKNUM(A916,2) - WEEKNUM(DATE(YEAR(A916),MONTH(A916),1),2) + 1</f>
        <v>2</v>
      </c>
      <c r="G916" s="10"/>
      <c r="H916" s="11" t="n">
        <v>430</v>
      </c>
      <c r="I916" s="12" t="s">
        <v>20</v>
      </c>
      <c r="J916" s="22" t="s">
        <v>45</v>
      </c>
      <c r="K916" s="12"/>
      <c r="L916" s="9" t="n">
        <f aca="false">L915+H916</f>
        <v>14790.52</v>
      </c>
      <c r="M916" s="10" t="str">
        <f aca="false">VLOOKUP(J916,RECATALOGANDO!A:C,2,0)</f>
        <v>VENTA DE MEDICAMENTO</v>
      </c>
      <c r="N916" s="12" t="str">
        <f aca="false">VLOOKUP(M916,RECATALOGANDO!B:C,2,0)</f>
        <v>VENTA DE PRODUCTO</v>
      </c>
      <c r="O916" s="2" t="s">
        <v>39</v>
      </c>
    </row>
    <row r="917" customFormat="false" ht="13.8" hidden="false" customHeight="false" outlineLevel="0" collapsed="false">
      <c r="A917" s="8" t="n">
        <v>45484</v>
      </c>
      <c r="B917" s="9" t="n">
        <f aca="false">DAY(A917)</f>
        <v>11</v>
      </c>
      <c r="C917" s="9" t="n">
        <f aca="false">MONTH(A917)</f>
        <v>7</v>
      </c>
      <c r="D917" s="9" t="n">
        <f aca="false">YEAR(A917)</f>
        <v>2024</v>
      </c>
      <c r="E917" s="9" t="n">
        <f aca="false">WEEKDAY(A917,2)</f>
        <v>4</v>
      </c>
      <c r="F917" s="10" t="n">
        <f aca="false">WEEKNUM(A917,2) - WEEKNUM(DATE(YEAR(A917),MONTH(A917),1),2) + 1</f>
        <v>2</v>
      </c>
      <c r="G917" s="10"/>
      <c r="H917" s="11" t="n">
        <v>763.72</v>
      </c>
      <c r="I917" s="12" t="s">
        <v>15</v>
      </c>
      <c r="J917" s="22" t="s">
        <v>44</v>
      </c>
      <c r="K917" s="12"/>
      <c r="L917" s="9" t="n">
        <f aca="false">L916+H917</f>
        <v>15554.24</v>
      </c>
      <c r="M917" s="10" t="str">
        <f aca="false">VLOOKUP(J917,RECATALOGANDO!A:C,2,0)</f>
        <v>HONORARIOS MEDICOS</v>
      </c>
      <c r="N917" s="12" t="str">
        <f aca="false">VLOOKUP(M917,RECATALOGANDO!B:C,2,0)</f>
        <v>VENTA DE SERVICIO</v>
      </c>
      <c r="O917" s="2" t="s">
        <v>39</v>
      </c>
    </row>
    <row r="918" customFormat="false" ht="13.8" hidden="false" customHeight="false" outlineLevel="0" collapsed="false">
      <c r="A918" s="8" t="n">
        <v>45484</v>
      </c>
      <c r="B918" s="9" t="n">
        <f aca="false">DAY(A918)</f>
        <v>11</v>
      </c>
      <c r="C918" s="9" t="n">
        <f aca="false">MONTH(A918)</f>
        <v>7</v>
      </c>
      <c r="D918" s="9" t="n">
        <f aca="false">YEAR(A918)</f>
        <v>2024</v>
      </c>
      <c r="E918" s="9" t="n">
        <f aca="false">WEEKDAY(A918,2)</f>
        <v>4</v>
      </c>
      <c r="F918" s="10" t="n">
        <f aca="false">WEEKNUM(A918,2) - WEEKNUM(DATE(YEAR(A918),MONTH(A918),1),2) + 1</f>
        <v>2</v>
      </c>
      <c r="G918" s="10"/>
      <c r="H918" s="11" t="n">
        <v>2380</v>
      </c>
      <c r="I918" s="12" t="s">
        <v>20</v>
      </c>
      <c r="J918" s="22" t="s">
        <v>41</v>
      </c>
      <c r="K918" s="12"/>
      <c r="L918" s="9" t="n">
        <f aca="false">L917+H918</f>
        <v>17934.24</v>
      </c>
      <c r="M918" s="10" t="str">
        <f aca="false">VLOOKUP(J918,RECATALOGANDO!A:C,2,0)</f>
        <v>HONORARIOS QUIRURGICOS</v>
      </c>
      <c r="N918" s="12" t="str">
        <f aca="false">VLOOKUP(M918,RECATALOGANDO!B:C,2,0)</f>
        <v>VENTA DE SERVICIO</v>
      </c>
      <c r="O918" s="2" t="s">
        <v>39</v>
      </c>
    </row>
    <row r="919" customFormat="false" ht="13.8" hidden="false" customHeight="false" outlineLevel="0" collapsed="false">
      <c r="A919" s="8" t="n">
        <v>45485</v>
      </c>
      <c r="B919" s="9" t="n">
        <f aca="false">DAY(A919)</f>
        <v>12</v>
      </c>
      <c r="C919" s="9" t="n">
        <f aca="false">MONTH(A919)</f>
        <v>7</v>
      </c>
      <c r="D919" s="9" t="n">
        <f aca="false">YEAR(A919)</f>
        <v>2024</v>
      </c>
      <c r="E919" s="9" t="n">
        <f aca="false">WEEKDAY(A919,2)</f>
        <v>5</v>
      </c>
      <c r="F919" s="10" t="n">
        <f aca="false">WEEKNUM(A919,2) - WEEKNUM(DATE(YEAR(A919),MONTH(A919),1),2) + 1</f>
        <v>2</v>
      </c>
      <c r="G919" s="10"/>
      <c r="H919" s="11" t="n">
        <v>150</v>
      </c>
      <c r="I919" s="12" t="s">
        <v>15</v>
      </c>
      <c r="J919" s="22" t="s">
        <v>53</v>
      </c>
      <c r="K919" s="12"/>
      <c r="L919" s="9" t="n">
        <f aca="false">L918+H919</f>
        <v>18084.24</v>
      </c>
      <c r="M919" s="10" t="str">
        <f aca="false">VLOOKUP(J919,RECATALOGANDO!A:C,2,0)</f>
        <v>SERVICIO DE GROOMING</v>
      </c>
      <c r="N919" s="12" t="str">
        <f aca="false">VLOOKUP(M919,RECATALOGANDO!B:C,2,0)</f>
        <v>VENTA DE SERVICIO</v>
      </c>
      <c r="O919" s="2" t="s">
        <v>39</v>
      </c>
    </row>
    <row r="920" customFormat="false" ht="13.8" hidden="false" customHeight="false" outlineLevel="0" collapsed="false">
      <c r="A920" s="8" t="n">
        <v>45486</v>
      </c>
      <c r="B920" s="9" t="n">
        <f aca="false">DAY(A920)</f>
        <v>13</v>
      </c>
      <c r="C920" s="9" t="n">
        <f aca="false">MONTH(A920)</f>
        <v>7</v>
      </c>
      <c r="D920" s="9" t="n">
        <f aca="false">YEAR(A920)</f>
        <v>2024</v>
      </c>
      <c r="E920" s="9" t="n">
        <f aca="false">WEEKDAY(A920,2)</f>
        <v>6</v>
      </c>
      <c r="F920" s="10" t="n">
        <f aca="false">WEEKNUM(A920,2) - WEEKNUM(DATE(YEAR(A920),MONTH(A920),1),2) + 1</f>
        <v>2</v>
      </c>
      <c r="G920" s="10"/>
      <c r="H920" s="11" t="n">
        <v>675</v>
      </c>
      <c r="I920" s="12" t="s">
        <v>15</v>
      </c>
      <c r="J920" s="22" t="s">
        <v>44</v>
      </c>
      <c r="K920" s="12"/>
      <c r="L920" s="9" t="n">
        <f aca="false">L919+H920</f>
        <v>18759.24</v>
      </c>
      <c r="M920" s="10" t="str">
        <f aca="false">VLOOKUP(J920,RECATALOGANDO!A:C,2,0)</f>
        <v>HONORARIOS MEDICOS</v>
      </c>
      <c r="N920" s="12" t="str">
        <f aca="false">VLOOKUP(M920,RECATALOGANDO!B:C,2,0)</f>
        <v>VENTA DE SERVICIO</v>
      </c>
      <c r="O920" s="2" t="s">
        <v>39</v>
      </c>
    </row>
    <row r="921" customFormat="false" ht="13.8" hidden="false" customHeight="false" outlineLevel="0" collapsed="false">
      <c r="A921" s="8" t="n">
        <v>45488</v>
      </c>
      <c r="B921" s="9" t="n">
        <f aca="false">DAY(A921)</f>
        <v>15</v>
      </c>
      <c r="C921" s="9" t="n">
        <f aca="false">MONTH(A921)</f>
        <v>7</v>
      </c>
      <c r="D921" s="9" t="n">
        <f aca="false">YEAR(A921)</f>
        <v>2024</v>
      </c>
      <c r="E921" s="9" t="n">
        <f aca="false">WEEKDAY(A921,2)</f>
        <v>1</v>
      </c>
      <c r="F921" s="10" t="n">
        <f aca="false">WEEKNUM(A921,2) - WEEKNUM(DATE(YEAR(A921),MONTH(A921),1),2) + 1</f>
        <v>3</v>
      </c>
      <c r="G921" s="10" t="n">
        <v>1</v>
      </c>
      <c r="H921" s="11" t="n">
        <v>2324.69</v>
      </c>
      <c r="I921" s="12" t="s">
        <v>15</v>
      </c>
      <c r="J921" s="22" t="s">
        <v>51</v>
      </c>
      <c r="K921" s="12"/>
      <c r="L921" s="9" t="n">
        <f aca="false">L920+H921</f>
        <v>21083.93</v>
      </c>
      <c r="M921" s="10" t="str">
        <f aca="false">VLOOKUP(J921,RECATALOGANDO!A:C,2,0)</f>
        <v>VENTA DE ALIMENTO</v>
      </c>
      <c r="N921" s="12" t="str">
        <f aca="false">VLOOKUP(M921,RECATALOGANDO!B:C,2,0)</f>
        <v>VENTA DE PRODUCTO</v>
      </c>
      <c r="O921" s="2" t="s">
        <v>39</v>
      </c>
    </row>
    <row r="922" customFormat="false" ht="13.8" hidden="false" customHeight="false" outlineLevel="0" collapsed="false">
      <c r="A922" s="8" t="n">
        <v>45488</v>
      </c>
      <c r="B922" s="9" t="n">
        <f aca="false">DAY(A922)</f>
        <v>15</v>
      </c>
      <c r="C922" s="9" t="n">
        <f aca="false">MONTH(A922)</f>
        <v>7</v>
      </c>
      <c r="D922" s="9" t="n">
        <f aca="false">YEAR(A922)</f>
        <v>2024</v>
      </c>
      <c r="E922" s="9" t="n">
        <f aca="false">WEEKDAY(A922,2)</f>
        <v>1</v>
      </c>
      <c r="F922" s="10" t="n">
        <f aca="false">WEEKNUM(A922,2) - WEEKNUM(DATE(YEAR(A922),MONTH(A922),1),2) + 1</f>
        <v>3</v>
      </c>
      <c r="G922" s="10" t="n">
        <v>1</v>
      </c>
      <c r="H922" s="11" t="n">
        <v>912</v>
      </c>
      <c r="I922" s="12" t="s">
        <v>20</v>
      </c>
      <c r="J922" s="22" t="s">
        <v>58</v>
      </c>
      <c r="K922" s="12"/>
      <c r="L922" s="9" t="n">
        <f aca="false">L921+H922</f>
        <v>21995.93</v>
      </c>
      <c r="M922" s="10" t="str">
        <f aca="false">VLOOKUP(J922,RECATALOGANDO!A:C,2,0)</f>
        <v>SERVICIO DE LABORATORIO</v>
      </c>
      <c r="N922" s="12" t="str">
        <f aca="false">VLOOKUP(M922,RECATALOGANDO!B:C,2,0)</f>
        <v>VENTA DE SERVICIO</v>
      </c>
      <c r="O922" s="2" t="s">
        <v>39</v>
      </c>
    </row>
    <row r="923" customFormat="false" ht="13.8" hidden="false" customHeight="false" outlineLevel="0" collapsed="false">
      <c r="A923" s="8" t="n">
        <v>45489</v>
      </c>
      <c r="B923" s="9" t="n">
        <f aca="false">DAY(A923)</f>
        <v>16</v>
      </c>
      <c r="C923" s="9" t="n">
        <f aca="false">MONTH(A923)</f>
        <v>7</v>
      </c>
      <c r="D923" s="9" t="n">
        <f aca="false">YEAR(A923)</f>
        <v>2024</v>
      </c>
      <c r="E923" s="9" t="n">
        <f aca="false">WEEKDAY(A923,2)</f>
        <v>2</v>
      </c>
      <c r="F923" s="10" t="n">
        <f aca="false">WEEKNUM(A923,2) - WEEKNUM(DATE(YEAR(A923),MONTH(A923),1),2) + 1</f>
        <v>3</v>
      </c>
      <c r="G923" s="10"/>
      <c r="H923" s="11" t="n">
        <v>140</v>
      </c>
      <c r="I923" s="12" t="s">
        <v>20</v>
      </c>
      <c r="J923" s="22" t="s">
        <v>53</v>
      </c>
      <c r="K923" s="12"/>
      <c r="L923" s="9" t="n">
        <f aca="false">L922+H923</f>
        <v>22135.93</v>
      </c>
      <c r="M923" s="10" t="str">
        <f aca="false">VLOOKUP(J923,RECATALOGANDO!A:C,2,0)</f>
        <v>SERVICIO DE GROOMING</v>
      </c>
      <c r="N923" s="12" t="str">
        <f aca="false">VLOOKUP(M923,RECATALOGANDO!B:C,2,0)</f>
        <v>VENTA DE SERVICIO</v>
      </c>
      <c r="O923" s="2" t="s">
        <v>39</v>
      </c>
    </row>
    <row r="924" customFormat="false" ht="13.8" hidden="false" customHeight="false" outlineLevel="0" collapsed="false">
      <c r="A924" s="8" t="n">
        <v>45490</v>
      </c>
      <c r="B924" s="9" t="n">
        <f aca="false">DAY(A924)</f>
        <v>17</v>
      </c>
      <c r="C924" s="9" t="n">
        <f aca="false">MONTH(A924)</f>
        <v>7</v>
      </c>
      <c r="D924" s="9" t="n">
        <f aca="false">YEAR(A924)</f>
        <v>2024</v>
      </c>
      <c r="E924" s="9" t="n">
        <f aca="false">WEEKDAY(A924,2)</f>
        <v>3</v>
      </c>
      <c r="F924" s="10" t="n">
        <f aca="false">WEEKNUM(A924,2) - WEEKNUM(DATE(YEAR(A924),MONTH(A924),1),2) + 1</f>
        <v>3</v>
      </c>
      <c r="G924" s="10"/>
      <c r="H924" s="11" t="n">
        <v>600</v>
      </c>
      <c r="I924" s="12" t="s">
        <v>20</v>
      </c>
      <c r="J924" s="22" t="s">
        <v>44</v>
      </c>
      <c r="K924" s="12"/>
      <c r="L924" s="9" t="n">
        <f aca="false">L923+H924</f>
        <v>22735.93</v>
      </c>
      <c r="M924" s="10" t="str">
        <f aca="false">VLOOKUP(J924,RECATALOGANDO!A:C,2,0)</f>
        <v>HONORARIOS MEDICOS</v>
      </c>
      <c r="N924" s="12" t="str">
        <f aca="false">VLOOKUP(M924,RECATALOGANDO!B:C,2,0)</f>
        <v>VENTA DE SERVICIO</v>
      </c>
      <c r="O924" s="2" t="s">
        <v>39</v>
      </c>
    </row>
    <row r="925" customFormat="false" ht="13.8" hidden="false" customHeight="false" outlineLevel="0" collapsed="false">
      <c r="A925" s="8" t="n">
        <v>45491</v>
      </c>
      <c r="B925" s="9" t="n">
        <f aca="false">DAY(A925)</f>
        <v>18</v>
      </c>
      <c r="C925" s="9" t="n">
        <f aca="false">MONTH(A925)</f>
        <v>7</v>
      </c>
      <c r="D925" s="9" t="n">
        <f aca="false">YEAR(A925)</f>
        <v>2024</v>
      </c>
      <c r="E925" s="9" t="n">
        <f aca="false">WEEKDAY(A925,2)</f>
        <v>4</v>
      </c>
      <c r="F925" s="10" t="n">
        <f aca="false">WEEKNUM(A925,2) - WEEKNUM(DATE(YEAR(A925),MONTH(A925),1),2) + 1</f>
        <v>3</v>
      </c>
      <c r="G925" s="10"/>
      <c r="H925" s="11" t="n">
        <v>579</v>
      </c>
      <c r="I925" s="12" t="s">
        <v>20</v>
      </c>
      <c r="J925" s="22" t="s">
        <v>51</v>
      </c>
      <c r="K925" s="12"/>
      <c r="L925" s="9" t="n">
        <f aca="false">L924+H925</f>
        <v>23314.93</v>
      </c>
      <c r="M925" s="10" t="str">
        <f aca="false">VLOOKUP(J925,RECATALOGANDO!A:C,2,0)</f>
        <v>VENTA DE ALIMENTO</v>
      </c>
      <c r="N925" s="12" t="str">
        <f aca="false">VLOOKUP(M925,RECATALOGANDO!B:C,2,0)</f>
        <v>VENTA DE PRODUCTO</v>
      </c>
      <c r="O925" s="2" t="s">
        <v>39</v>
      </c>
    </row>
    <row r="926" customFormat="false" ht="13.8" hidden="false" customHeight="false" outlineLevel="0" collapsed="false">
      <c r="A926" s="8" t="n">
        <v>45491</v>
      </c>
      <c r="B926" s="9" t="n">
        <f aca="false">DAY(A926)</f>
        <v>18</v>
      </c>
      <c r="C926" s="9" t="n">
        <f aca="false">MONTH(A926)</f>
        <v>7</v>
      </c>
      <c r="D926" s="9" t="n">
        <f aca="false">YEAR(A926)</f>
        <v>2024</v>
      </c>
      <c r="E926" s="9" t="n">
        <f aca="false">WEEKDAY(A926,2)</f>
        <v>4</v>
      </c>
      <c r="F926" s="10" t="n">
        <f aca="false">WEEKNUM(A926,2) - WEEKNUM(DATE(YEAR(A926),MONTH(A926),1),2) + 1</f>
        <v>3</v>
      </c>
      <c r="G926" s="10"/>
      <c r="H926" s="11" t="n">
        <v>725</v>
      </c>
      <c r="I926" s="12" t="s">
        <v>20</v>
      </c>
      <c r="J926" s="22" t="s">
        <v>45</v>
      </c>
      <c r="K926" s="12"/>
      <c r="L926" s="9" t="n">
        <f aca="false">L925+H926</f>
        <v>24039.93</v>
      </c>
      <c r="M926" s="10" t="str">
        <f aca="false">VLOOKUP(J926,RECATALOGANDO!A:C,2,0)</f>
        <v>VENTA DE MEDICAMENTO</v>
      </c>
      <c r="N926" s="12" t="str">
        <f aca="false">VLOOKUP(M926,RECATALOGANDO!B:C,2,0)</f>
        <v>VENTA DE PRODUCTO</v>
      </c>
      <c r="O926" s="2" t="s">
        <v>39</v>
      </c>
    </row>
    <row r="927" customFormat="false" ht="13.8" hidden="false" customHeight="false" outlineLevel="0" collapsed="false">
      <c r="A927" s="8" t="n">
        <v>45491</v>
      </c>
      <c r="B927" s="9" t="n">
        <f aca="false">DAY(A927)</f>
        <v>18</v>
      </c>
      <c r="C927" s="9" t="n">
        <f aca="false">MONTH(A927)</f>
        <v>7</v>
      </c>
      <c r="D927" s="9" t="n">
        <f aca="false">YEAR(A927)</f>
        <v>2024</v>
      </c>
      <c r="E927" s="9" t="n">
        <f aca="false">WEEKDAY(A927,2)</f>
        <v>4</v>
      </c>
      <c r="F927" s="10" t="n">
        <f aca="false">WEEKNUM(A927,2) - WEEKNUM(DATE(YEAR(A927),MONTH(A927),1),2) + 1</f>
        <v>3</v>
      </c>
      <c r="G927" s="10"/>
      <c r="H927" s="11" t="n">
        <v>2000</v>
      </c>
      <c r="I927" s="12" t="s">
        <v>20</v>
      </c>
      <c r="J927" s="22" t="s">
        <v>58</v>
      </c>
      <c r="K927" s="12"/>
      <c r="L927" s="9" t="n">
        <f aca="false">L926+H927</f>
        <v>26039.93</v>
      </c>
      <c r="M927" s="10" t="str">
        <f aca="false">VLOOKUP(J927,RECATALOGANDO!A:C,2,0)</f>
        <v>SERVICIO DE LABORATORIO</v>
      </c>
      <c r="N927" s="12" t="str">
        <f aca="false">VLOOKUP(M927,RECATALOGANDO!B:C,2,0)</f>
        <v>VENTA DE SERVICIO</v>
      </c>
      <c r="O927" s="2" t="s">
        <v>39</v>
      </c>
    </row>
    <row r="928" customFormat="false" ht="13.8" hidden="false" customHeight="false" outlineLevel="0" collapsed="false">
      <c r="A928" s="8" t="n">
        <v>45491</v>
      </c>
      <c r="B928" s="9" t="n">
        <f aca="false">DAY(A928)</f>
        <v>18</v>
      </c>
      <c r="C928" s="9" t="n">
        <f aca="false">MONTH(A928)</f>
        <v>7</v>
      </c>
      <c r="D928" s="9" t="n">
        <f aca="false">YEAR(A928)</f>
        <v>2024</v>
      </c>
      <c r="E928" s="9" t="n">
        <f aca="false">WEEKDAY(A928,2)</f>
        <v>4</v>
      </c>
      <c r="F928" s="10" t="n">
        <f aca="false">WEEKNUM(A928,2) - WEEKNUM(DATE(YEAR(A928),MONTH(A928),1),2) + 1</f>
        <v>3</v>
      </c>
      <c r="G928" s="10"/>
      <c r="H928" s="11" t="n">
        <v>2600</v>
      </c>
      <c r="I928" s="12" t="s">
        <v>20</v>
      </c>
      <c r="J928" s="22" t="s">
        <v>41</v>
      </c>
      <c r="K928" s="12"/>
      <c r="L928" s="9" t="n">
        <f aca="false">L927+H928</f>
        <v>28639.93</v>
      </c>
      <c r="M928" s="10" t="str">
        <f aca="false">VLOOKUP(J928,RECATALOGANDO!A:C,2,0)</f>
        <v>HONORARIOS QUIRURGICOS</v>
      </c>
      <c r="N928" s="12" t="str">
        <f aca="false">VLOOKUP(M928,RECATALOGANDO!B:C,2,0)</f>
        <v>VENTA DE SERVICIO</v>
      </c>
      <c r="O928" s="2" t="s">
        <v>39</v>
      </c>
    </row>
    <row r="929" customFormat="false" ht="13.8" hidden="false" customHeight="false" outlineLevel="0" collapsed="false">
      <c r="A929" s="8" t="n">
        <v>45493</v>
      </c>
      <c r="B929" s="9" t="n">
        <f aca="false">DAY(A929)</f>
        <v>20</v>
      </c>
      <c r="C929" s="9" t="n">
        <f aca="false">MONTH(A929)</f>
        <v>7</v>
      </c>
      <c r="D929" s="9" t="n">
        <f aca="false">YEAR(A929)</f>
        <v>2024</v>
      </c>
      <c r="E929" s="9" t="n">
        <f aca="false">WEEKDAY(A929,2)</f>
        <v>6</v>
      </c>
      <c r="F929" s="10" t="n">
        <f aca="false">WEEKNUM(A929,2) - WEEKNUM(DATE(YEAR(A929),MONTH(A929),1),2) + 1</f>
        <v>3</v>
      </c>
      <c r="G929" s="10"/>
      <c r="H929" s="11" t="n">
        <v>502</v>
      </c>
      <c r="I929" s="12" t="s">
        <v>20</v>
      </c>
      <c r="J929" s="22" t="s">
        <v>44</v>
      </c>
      <c r="K929" s="12"/>
      <c r="L929" s="9" t="n">
        <f aca="false">L928+H929</f>
        <v>29141.93</v>
      </c>
      <c r="M929" s="10" t="str">
        <f aca="false">VLOOKUP(J929,RECATALOGANDO!A:C,2,0)</f>
        <v>HONORARIOS MEDICOS</v>
      </c>
      <c r="N929" s="12" t="str">
        <f aca="false">VLOOKUP(M929,RECATALOGANDO!B:C,2,0)</f>
        <v>VENTA DE SERVICIO</v>
      </c>
      <c r="O929" s="2" t="s">
        <v>39</v>
      </c>
    </row>
    <row r="930" customFormat="false" ht="13.8" hidden="false" customHeight="false" outlineLevel="0" collapsed="false">
      <c r="A930" s="8" t="n">
        <v>45494</v>
      </c>
      <c r="B930" s="9" t="n">
        <f aca="false">DAY(A930)</f>
        <v>21</v>
      </c>
      <c r="C930" s="9" t="n">
        <f aca="false">MONTH(A930)</f>
        <v>7</v>
      </c>
      <c r="D930" s="9" t="n">
        <f aca="false">YEAR(A930)</f>
        <v>2024</v>
      </c>
      <c r="E930" s="9" t="n">
        <f aca="false">WEEKDAY(A930,2)</f>
        <v>7</v>
      </c>
      <c r="F930" s="10" t="n">
        <f aca="false">WEEKNUM(A930,2) - WEEKNUM(DATE(YEAR(A930),MONTH(A930),1),2) + 1</f>
        <v>3</v>
      </c>
      <c r="G930" s="10"/>
      <c r="H930" s="11" t="n">
        <v>110</v>
      </c>
      <c r="I930" s="12" t="s">
        <v>15</v>
      </c>
      <c r="J930" s="22" t="s">
        <v>53</v>
      </c>
      <c r="K930" s="12"/>
      <c r="L930" s="9" t="n">
        <f aca="false">L929+H930</f>
        <v>29251.93</v>
      </c>
      <c r="M930" s="10" t="str">
        <f aca="false">VLOOKUP(J930,RECATALOGANDO!A:C,2,0)</f>
        <v>SERVICIO DE GROOMING</v>
      </c>
      <c r="N930" s="12" t="str">
        <f aca="false">VLOOKUP(M930,RECATALOGANDO!B:C,2,0)</f>
        <v>VENTA DE SERVICIO</v>
      </c>
      <c r="O930" s="2" t="s">
        <v>39</v>
      </c>
    </row>
    <row r="931" customFormat="false" ht="13.8" hidden="false" customHeight="false" outlineLevel="0" collapsed="false">
      <c r="A931" s="8" t="n">
        <v>45495</v>
      </c>
      <c r="B931" s="9" t="n">
        <f aca="false">DAY(A931)</f>
        <v>22</v>
      </c>
      <c r="C931" s="9" t="n">
        <f aca="false">MONTH(A931)</f>
        <v>7</v>
      </c>
      <c r="D931" s="9" t="n">
        <f aca="false">YEAR(A931)</f>
        <v>2024</v>
      </c>
      <c r="E931" s="9" t="n">
        <f aca="false">WEEKDAY(A931,2)</f>
        <v>1</v>
      </c>
      <c r="F931" s="10" t="n">
        <f aca="false">WEEKNUM(A931,2) - WEEKNUM(DATE(YEAR(A931),MONTH(A931),1),2) + 1</f>
        <v>4</v>
      </c>
      <c r="G931" s="10"/>
      <c r="H931" s="11" t="n">
        <v>650</v>
      </c>
      <c r="I931" s="12" t="s">
        <v>20</v>
      </c>
      <c r="J931" s="22" t="s">
        <v>44</v>
      </c>
      <c r="K931" s="12"/>
      <c r="L931" s="9" t="n">
        <f aca="false">L930+H931</f>
        <v>29901.93</v>
      </c>
      <c r="M931" s="10" t="str">
        <f aca="false">VLOOKUP(J931,RECATALOGANDO!A:C,2,0)</f>
        <v>HONORARIOS MEDICOS</v>
      </c>
      <c r="N931" s="12" t="str">
        <f aca="false">VLOOKUP(M931,RECATALOGANDO!B:C,2,0)</f>
        <v>VENTA DE SERVICIO</v>
      </c>
      <c r="O931" s="2" t="s">
        <v>39</v>
      </c>
    </row>
    <row r="932" customFormat="false" ht="13.8" hidden="false" customHeight="false" outlineLevel="0" collapsed="false">
      <c r="A932" s="8" t="n">
        <v>45495</v>
      </c>
      <c r="B932" s="9" t="n">
        <f aca="false">DAY(A932)</f>
        <v>22</v>
      </c>
      <c r="C932" s="9" t="n">
        <f aca="false">MONTH(A932)</f>
        <v>7</v>
      </c>
      <c r="D932" s="9" t="n">
        <f aca="false">YEAR(A932)</f>
        <v>2024</v>
      </c>
      <c r="E932" s="9" t="n">
        <f aca="false">WEEKDAY(A932,2)</f>
        <v>1</v>
      </c>
      <c r="F932" s="10" t="n">
        <f aca="false">WEEKNUM(A932,2) - WEEKNUM(DATE(YEAR(A932),MONTH(A932),1),2) + 1</f>
        <v>4</v>
      </c>
      <c r="G932" s="10"/>
      <c r="H932" s="11" t="n">
        <v>1499.65</v>
      </c>
      <c r="I932" s="12" t="s">
        <v>15</v>
      </c>
      <c r="J932" s="22" t="s">
        <v>41</v>
      </c>
      <c r="K932" s="12"/>
      <c r="L932" s="9" t="n">
        <f aca="false">L931+H932</f>
        <v>31401.58</v>
      </c>
      <c r="M932" s="10" t="str">
        <f aca="false">VLOOKUP(J932,RECATALOGANDO!A:C,2,0)</f>
        <v>HONORARIOS QUIRURGICOS</v>
      </c>
      <c r="N932" s="12" t="str">
        <f aca="false">VLOOKUP(M932,RECATALOGANDO!B:C,2,0)</f>
        <v>VENTA DE SERVICIO</v>
      </c>
      <c r="O932" s="2" t="s">
        <v>39</v>
      </c>
    </row>
    <row r="933" customFormat="false" ht="13.8" hidden="false" customHeight="false" outlineLevel="0" collapsed="false">
      <c r="A933" s="8" t="n">
        <v>45497</v>
      </c>
      <c r="B933" s="9" t="n">
        <f aca="false">DAY(A933)</f>
        <v>24</v>
      </c>
      <c r="C933" s="9" t="n">
        <f aca="false">MONTH(A933)</f>
        <v>7</v>
      </c>
      <c r="D933" s="9" t="n">
        <f aca="false">YEAR(A933)</f>
        <v>2024</v>
      </c>
      <c r="E933" s="9" t="n">
        <f aca="false">WEEKDAY(A933,2)</f>
        <v>3</v>
      </c>
      <c r="F933" s="10" t="n">
        <f aca="false">WEEKNUM(A933,2) - WEEKNUM(DATE(YEAR(A933),MONTH(A933),1),2) + 1</f>
        <v>4</v>
      </c>
      <c r="G933" s="10"/>
      <c r="H933" s="11" t="n">
        <v>600</v>
      </c>
      <c r="I933" s="12" t="s">
        <v>20</v>
      </c>
      <c r="J933" s="22" t="s">
        <v>45</v>
      </c>
      <c r="K933" s="12"/>
      <c r="L933" s="9" t="n">
        <f aca="false">L932+H933</f>
        <v>32001.58</v>
      </c>
      <c r="M933" s="10" t="str">
        <f aca="false">VLOOKUP(J933,RECATALOGANDO!A:C,2,0)</f>
        <v>VENTA DE MEDICAMENTO</v>
      </c>
      <c r="N933" s="12" t="str">
        <f aca="false">VLOOKUP(M933,RECATALOGANDO!B:C,2,0)</f>
        <v>VENTA DE PRODUCTO</v>
      </c>
      <c r="O933" s="2" t="s">
        <v>39</v>
      </c>
    </row>
    <row r="934" customFormat="false" ht="13.8" hidden="false" customHeight="false" outlineLevel="0" collapsed="false">
      <c r="A934" s="8" t="n">
        <v>45497</v>
      </c>
      <c r="B934" s="9" t="n">
        <f aca="false">DAY(A934)</f>
        <v>24</v>
      </c>
      <c r="C934" s="9" t="n">
        <f aca="false">MONTH(A934)</f>
        <v>7</v>
      </c>
      <c r="D934" s="9" t="n">
        <f aca="false">YEAR(A934)</f>
        <v>2024</v>
      </c>
      <c r="E934" s="9" t="n">
        <f aca="false">WEEKDAY(A934,2)</f>
        <v>3</v>
      </c>
      <c r="F934" s="10" t="n">
        <f aca="false">WEEKNUM(A934,2) - WEEKNUM(DATE(YEAR(A934),MONTH(A934),1),2) + 1</f>
        <v>4</v>
      </c>
      <c r="G934" s="10"/>
      <c r="H934" s="11" t="n">
        <v>270</v>
      </c>
      <c r="I934" s="12" t="s">
        <v>15</v>
      </c>
      <c r="J934" s="22" t="s">
        <v>44</v>
      </c>
      <c r="K934" s="12"/>
      <c r="L934" s="9" t="n">
        <f aca="false">L933+H934</f>
        <v>32271.58</v>
      </c>
      <c r="M934" s="10" t="str">
        <f aca="false">VLOOKUP(J934,RECATALOGANDO!A:C,2,0)</f>
        <v>HONORARIOS MEDICOS</v>
      </c>
      <c r="N934" s="12" t="str">
        <f aca="false">VLOOKUP(M934,RECATALOGANDO!B:C,2,0)</f>
        <v>VENTA DE SERVICIO</v>
      </c>
      <c r="O934" s="2" t="s">
        <v>39</v>
      </c>
    </row>
    <row r="935" customFormat="false" ht="13.8" hidden="false" customHeight="false" outlineLevel="0" collapsed="false">
      <c r="A935" s="8" t="n">
        <v>45497</v>
      </c>
      <c r="B935" s="9" t="n">
        <f aca="false">DAY(A935)</f>
        <v>24</v>
      </c>
      <c r="C935" s="9" t="n">
        <f aca="false">MONTH(A935)</f>
        <v>7</v>
      </c>
      <c r="D935" s="9" t="n">
        <f aca="false">YEAR(A935)</f>
        <v>2024</v>
      </c>
      <c r="E935" s="9" t="n">
        <f aca="false">WEEKDAY(A935,2)</f>
        <v>3</v>
      </c>
      <c r="F935" s="10" t="n">
        <f aca="false">WEEKNUM(A935,2) - WEEKNUM(DATE(YEAR(A935),MONTH(A935),1),2) + 1</f>
        <v>4</v>
      </c>
      <c r="G935" s="10"/>
      <c r="H935" s="11" t="n">
        <v>520</v>
      </c>
      <c r="I935" s="12" t="s">
        <v>20</v>
      </c>
      <c r="J935" s="22" t="s">
        <v>44</v>
      </c>
      <c r="K935" s="12"/>
      <c r="L935" s="9" t="n">
        <f aca="false">L934+H935</f>
        <v>32791.58</v>
      </c>
      <c r="M935" s="10" t="str">
        <f aca="false">VLOOKUP(J935,RECATALOGANDO!A:C,2,0)</f>
        <v>HONORARIOS MEDICOS</v>
      </c>
      <c r="N935" s="12" t="str">
        <f aca="false">VLOOKUP(M935,RECATALOGANDO!B:C,2,0)</f>
        <v>VENTA DE SERVICIO</v>
      </c>
      <c r="O935" s="2" t="s">
        <v>39</v>
      </c>
    </row>
    <row r="936" customFormat="false" ht="13.8" hidden="false" customHeight="false" outlineLevel="0" collapsed="false">
      <c r="A936" s="8" t="n">
        <v>45497</v>
      </c>
      <c r="B936" s="9" t="n">
        <f aca="false">DAY(A936)</f>
        <v>24</v>
      </c>
      <c r="C936" s="9" t="n">
        <f aca="false">MONTH(A936)</f>
        <v>7</v>
      </c>
      <c r="D936" s="9" t="n">
        <f aca="false">YEAR(A936)</f>
        <v>2024</v>
      </c>
      <c r="E936" s="9" t="n">
        <f aca="false">WEEKDAY(A936,2)</f>
        <v>3</v>
      </c>
      <c r="F936" s="10" t="n">
        <f aca="false">WEEKNUM(A936,2) - WEEKNUM(DATE(YEAR(A936),MONTH(A936),1),2) + 1</f>
        <v>4</v>
      </c>
      <c r="G936" s="10"/>
      <c r="H936" s="11" t="n">
        <v>1920</v>
      </c>
      <c r="I936" s="12" t="s">
        <v>20</v>
      </c>
      <c r="J936" s="22" t="s">
        <v>58</v>
      </c>
      <c r="K936" s="12"/>
      <c r="L936" s="9" t="n">
        <f aca="false">L935+H936</f>
        <v>34711.58</v>
      </c>
      <c r="M936" s="10" t="str">
        <f aca="false">VLOOKUP(J936,RECATALOGANDO!A:C,2,0)</f>
        <v>SERVICIO DE LABORATORIO</v>
      </c>
      <c r="N936" s="12" t="str">
        <f aca="false">VLOOKUP(M936,RECATALOGANDO!B:C,2,0)</f>
        <v>VENTA DE SERVICIO</v>
      </c>
      <c r="O936" s="2" t="s">
        <v>39</v>
      </c>
    </row>
    <row r="937" customFormat="false" ht="13.8" hidden="false" customHeight="false" outlineLevel="0" collapsed="false">
      <c r="A937" s="8" t="n">
        <v>45498</v>
      </c>
      <c r="B937" s="9" t="n">
        <f aca="false">DAY(A937)</f>
        <v>25</v>
      </c>
      <c r="C937" s="9" t="n">
        <f aca="false">MONTH(A937)</f>
        <v>7</v>
      </c>
      <c r="D937" s="9" t="n">
        <f aca="false">YEAR(A937)</f>
        <v>2024</v>
      </c>
      <c r="E937" s="9" t="n">
        <f aca="false">WEEKDAY(A937,2)</f>
        <v>4</v>
      </c>
      <c r="F937" s="10" t="n">
        <f aca="false">WEEKNUM(A937,2) - WEEKNUM(DATE(YEAR(A937),MONTH(A937),1),2) + 1</f>
        <v>4</v>
      </c>
      <c r="G937" s="10"/>
      <c r="H937" s="11" t="n">
        <v>1985.48</v>
      </c>
      <c r="I937" s="12" t="s">
        <v>15</v>
      </c>
      <c r="J937" s="22" t="s">
        <v>41</v>
      </c>
      <c r="K937" s="12"/>
      <c r="L937" s="9" t="n">
        <f aca="false">L936+H937</f>
        <v>36697.06</v>
      </c>
      <c r="M937" s="10" t="str">
        <f aca="false">VLOOKUP(J937,RECATALOGANDO!A:C,2,0)</f>
        <v>HONORARIOS QUIRURGICOS</v>
      </c>
      <c r="N937" s="12" t="str">
        <f aca="false">VLOOKUP(M937,RECATALOGANDO!B:C,2,0)</f>
        <v>VENTA DE SERVICIO</v>
      </c>
      <c r="O937" s="2" t="s">
        <v>39</v>
      </c>
    </row>
    <row r="938" customFormat="false" ht="13.8" hidden="false" customHeight="false" outlineLevel="0" collapsed="false">
      <c r="A938" s="8" t="n">
        <v>45499</v>
      </c>
      <c r="B938" s="9" t="n">
        <f aca="false">DAY(A938)</f>
        <v>26</v>
      </c>
      <c r="C938" s="9" t="n">
        <f aca="false">MONTH(A938)</f>
        <v>7</v>
      </c>
      <c r="D938" s="9" t="n">
        <f aca="false">YEAR(A938)</f>
        <v>2024</v>
      </c>
      <c r="E938" s="9" t="n">
        <f aca="false">WEEKDAY(A938,2)</f>
        <v>5</v>
      </c>
      <c r="F938" s="10" t="n">
        <f aca="false">WEEKNUM(A938,2) - WEEKNUM(DATE(YEAR(A938),MONTH(A938),1),2) + 1</f>
        <v>4</v>
      </c>
      <c r="G938" s="10"/>
      <c r="H938" s="11" t="n">
        <v>1630</v>
      </c>
      <c r="I938" s="12" t="s">
        <v>15</v>
      </c>
      <c r="J938" s="22" t="s">
        <v>51</v>
      </c>
      <c r="K938" s="12"/>
      <c r="L938" s="9" t="n">
        <f aca="false">L937+H938</f>
        <v>38327.06</v>
      </c>
      <c r="M938" s="10" t="str">
        <f aca="false">VLOOKUP(J938,RECATALOGANDO!A:C,2,0)</f>
        <v>VENTA DE ALIMENTO</v>
      </c>
      <c r="N938" s="12" t="str">
        <f aca="false">VLOOKUP(M938,RECATALOGANDO!B:C,2,0)</f>
        <v>VENTA DE PRODUCTO</v>
      </c>
      <c r="O938" s="2" t="s">
        <v>39</v>
      </c>
    </row>
    <row r="939" customFormat="false" ht="13.8" hidden="false" customHeight="false" outlineLevel="0" collapsed="false">
      <c r="A939" s="8" t="n">
        <v>45500</v>
      </c>
      <c r="B939" s="9" t="n">
        <f aca="false">DAY(A939)</f>
        <v>27</v>
      </c>
      <c r="C939" s="9" t="n">
        <f aca="false">MONTH(A939)</f>
        <v>7</v>
      </c>
      <c r="D939" s="9" t="n">
        <f aca="false">YEAR(A939)</f>
        <v>2024</v>
      </c>
      <c r="E939" s="9" t="n">
        <f aca="false">WEEKDAY(A939,2)</f>
        <v>6</v>
      </c>
      <c r="F939" s="10" t="n">
        <f aca="false">WEEKNUM(A939,2) - WEEKNUM(DATE(YEAR(A939),MONTH(A939),1),2) + 1</f>
        <v>4</v>
      </c>
      <c r="G939" s="10"/>
      <c r="H939" s="11" t="n">
        <v>1000</v>
      </c>
      <c r="I939" s="12" t="s">
        <v>20</v>
      </c>
      <c r="J939" s="22" t="s">
        <v>45</v>
      </c>
      <c r="K939" s="12"/>
      <c r="L939" s="9" t="n">
        <f aca="false">L938+H939</f>
        <v>39327.06</v>
      </c>
      <c r="M939" s="10" t="str">
        <f aca="false">VLOOKUP(J939,RECATALOGANDO!A:C,2,0)</f>
        <v>VENTA DE MEDICAMENTO</v>
      </c>
      <c r="N939" s="12" t="str">
        <f aca="false">VLOOKUP(M939,RECATALOGANDO!B:C,2,0)</f>
        <v>VENTA DE PRODUCTO</v>
      </c>
      <c r="O939" s="2" t="s">
        <v>39</v>
      </c>
    </row>
    <row r="940" customFormat="false" ht="13.8" hidden="false" customHeight="false" outlineLevel="0" collapsed="false">
      <c r="A940" s="8" t="n">
        <v>45500</v>
      </c>
      <c r="B940" s="9" t="n">
        <f aca="false">DAY(A940)</f>
        <v>27</v>
      </c>
      <c r="C940" s="9" t="n">
        <f aca="false">MONTH(A940)</f>
        <v>7</v>
      </c>
      <c r="D940" s="9" t="n">
        <f aca="false">YEAR(A940)</f>
        <v>2024</v>
      </c>
      <c r="E940" s="9" t="n">
        <f aca="false">WEEKDAY(A940,2)</f>
        <v>6</v>
      </c>
      <c r="F940" s="10" t="n">
        <f aca="false">WEEKNUM(A940,2) - WEEKNUM(DATE(YEAR(A940),MONTH(A940),1),2) + 1</f>
        <v>4</v>
      </c>
      <c r="G940" s="10"/>
      <c r="H940" s="11" t="n">
        <v>170</v>
      </c>
      <c r="I940" s="12" t="s">
        <v>20</v>
      </c>
      <c r="J940" s="22" t="s">
        <v>53</v>
      </c>
      <c r="K940" s="12"/>
      <c r="L940" s="9" t="n">
        <f aca="false">L939+H940</f>
        <v>39497.06</v>
      </c>
      <c r="M940" s="10" t="str">
        <f aca="false">VLOOKUP(J940,RECATALOGANDO!A:C,2,0)</f>
        <v>SERVICIO DE GROOMING</v>
      </c>
      <c r="N940" s="12" t="str">
        <f aca="false">VLOOKUP(M940,RECATALOGANDO!B:C,2,0)</f>
        <v>VENTA DE SERVICIO</v>
      </c>
      <c r="O940" s="2" t="s">
        <v>39</v>
      </c>
    </row>
    <row r="941" customFormat="false" ht="13.8" hidden="false" customHeight="false" outlineLevel="0" collapsed="false">
      <c r="A941" s="8" t="n">
        <v>45500</v>
      </c>
      <c r="B941" s="9" t="n">
        <f aca="false">DAY(A941)</f>
        <v>27</v>
      </c>
      <c r="C941" s="9" t="n">
        <f aca="false">MONTH(A941)</f>
        <v>7</v>
      </c>
      <c r="D941" s="9" t="n">
        <f aca="false">YEAR(A941)</f>
        <v>2024</v>
      </c>
      <c r="E941" s="9" t="n">
        <f aca="false">WEEKDAY(A941,2)</f>
        <v>6</v>
      </c>
      <c r="F941" s="10" t="n">
        <f aca="false">WEEKNUM(A941,2) - WEEKNUM(DATE(YEAR(A941),MONTH(A941),1),2) + 1</f>
        <v>4</v>
      </c>
      <c r="G941" s="10"/>
      <c r="H941" s="11" t="n">
        <v>5190</v>
      </c>
      <c r="I941" s="12" t="s">
        <v>20</v>
      </c>
      <c r="J941" s="22" t="s">
        <v>41</v>
      </c>
      <c r="K941" s="12"/>
      <c r="L941" s="9" t="n">
        <f aca="false">L940+H941</f>
        <v>44687.06</v>
      </c>
      <c r="M941" s="10" t="str">
        <f aca="false">VLOOKUP(J941,RECATALOGANDO!A:C,2,0)</f>
        <v>HONORARIOS QUIRURGICOS</v>
      </c>
      <c r="N941" s="12" t="str">
        <f aca="false">VLOOKUP(M941,RECATALOGANDO!B:C,2,0)</f>
        <v>VENTA DE SERVICIO</v>
      </c>
      <c r="O941" s="2" t="s">
        <v>39</v>
      </c>
    </row>
    <row r="942" customFormat="false" ht="13.8" hidden="false" customHeight="false" outlineLevel="0" collapsed="false">
      <c r="A942" s="8" t="n">
        <v>45501</v>
      </c>
      <c r="B942" s="9" t="n">
        <f aca="false">DAY(A942)</f>
        <v>28</v>
      </c>
      <c r="C942" s="9" t="n">
        <f aca="false">MONTH(A942)</f>
        <v>7</v>
      </c>
      <c r="D942" s="9" t="n">
        <f aca="false">YEAR(A942)</f>
        <v>2024</v>
      </c>
      <c r="E942" s="9" t="n">
        <f aca="false">WEEKDAY(A942,2)</f>
        <v>7</v>
      </c>
      <c r="F942" s="10" t="n">
        <f aca="false">WEEKNUM(A942,2) - WEEKNUM(DATE(YEAR(A942),MONTH(A942),1),2) + 1</f>
        <v>4</v>
      </c>
      <c r="G942" s="10"/>
      <c r="H942" s="11" t="n">
        <v>405</v>
      </c>
      <c r="I942" s="12" t="s">
        <v>20</v>
      </c>
      <c r="J942" s="22" t="s">
        <v>45</v>
      </c>
      <c r="K942" s="12"/>
      <c r="L942" s="9" t="n">
        <f aca="false">L941+H942</f>
        <v>45092.06</v>
      </c>
      <c r="M942" s="10" t="str">
        <f aca="false">VLOOKUP(J942,RECATALOGANDO!A:C,2,0)</f>
        <v>VENTA DE MEDICAMENTO</v>
      </c>
      <c r="N942" s="12" t="str">
        <f aca="false">VLOOKUP(M942,RECATALOGANDO!B:C,2,0)</f>
        <v>VENTA DE PRODUCTO</v>
      </c>
      <c r="O942" s="2" t="s">
        <v>39</v>
      </c>
    </row>
    <row r="943" customFormat="false" ht="13.8" hidden="false" customHeight="false" outlineLevel="0" collapsed="false">
      <c r="A943" s="8" t="n">
        <v>45503</v>
      </c>
      <c r="B943" s="9" t="n">
        <f aca="false">DAY(A943)</f>
        <v>30</v>
      </c>
      <c r="C943" s="9" t="n">
        <f aca="false">MONTH(A943)</f>
        <v>7</v>
      </c>
      <c r="D943" s="9" t="n">
        <f aca="false">YEAR(A943)</f>
        <v>2024</v>
      </c>
      <c r="E943" s="9" t="n">
        <f aca="false">WEEKDAY(A943,2)</f>
        <v>2</v>
      </c>
      <c r="F943" s="10" t="n">
        <f aca="false">WEEKNUM(A943,2) - WEEKNUM(DATE(YEAR(A943),MONTH(A943),1),2) + 1</f>
        <v>5</v>
      </c>
      <c r="G943" s="10" t="n">
        <v>2</v>
      </c>
      <c r="H943" s="11" t="n">
        <v>877</v>
      </c>
      <c r="I943" s="12" t="s">
        <v>20</v>
      </c>
      <c r="J943" s="22" t="s">
        <v>45</v>
      </c>
      <c r="K943" s="12"/>
      <c r="L943" s="9" t="n">
        <f aca="false">L942+H943</f>
        <v>45969.06</v>
      </c>
      <c r="M943" s="10" t="str">
        <f aca="false">VLOOKUP(J943,RECATALOGANDO!A:C,2,0)</f>
        <v>VENTA DE MEDICAMENTO</v>
      </c>
      <c r="N943" s="12" t="str">
        <f aca="false">VLOOKUP(M943,RECATALOGANDO!B:C,2,0)</f>
        <v>VENTA DE PRODUCTO</v>
      </c>
      <c r="O943" s="2" t="s">
        <v>39</v>
      </c>
    </row>
    <row r="944" customFormat="false" ht="13.8" hidden="false" customHeight="false" outlineLevel="0" collapsed="false">
      <c r="A944" s="8" t="n">
        <v>45503</v>
      </c>
      <c r="B944" s="9" t="n">
        <f aca="false">DAY(A944)</f>
        <v>30</v>
      </c>
      <c r="C944" s="9" t="n">
        <f aca="false">MONTH(A944)</f>
        <v>7</v>
      </c>
      <c r="D944" s="9" t="n">
        <f aca="false">YEAR(A944)</f>
        <v>2024</v>
      </c>
      <c r="E944" s="9" t="n">
        <f aca="false">WEEKDAY(A944,2)</f>
        <v>2</v>
      </c>
      <c r="F944" s="10" t="n">
        <f aca="false">WEEKNUM(A944,2) - WEEKNUM(DATE(YEAR(A944),MONTH(A944),1),2) + 1</f>
        <v>5</v>
      </c>
      <c r="G944" s="10" t="n">
        <v>2</v>
      </c>
      <c r="H944" s="11" t="n">
        <v>2441.59</v>
      </c>
      <c r="I944" s="12" t="s">
        <v>15</v>
      </c>
      <c r="J944" s="22" t="s">
        <v>45</v>
      </c>
      <c r="K944" s="12"/>
      <c r="L944" s="9" t="n">
        <f aca="false">L943+H944</f>
        <v>48410.65</v>
      </c>
      <c r="M944" s="10" t="str">
        <f aca="false">VLOOKUP(J944,RECATALOGANDO!A:C,2,0)</f>
        <v>VENTA DE MEDICAMENTO</v>
      </c>
      <c r="N944" s="12" t="str">
        <f aca="false">VLOOKUP(M944,RECATALOGANDO!B:C,2,0)</f>
        <v>VENTA DE PRODUCTO</v>
      </c>
      <c r="O944" s="2" t="s">
        <v>39</v>
      </c>
    </row>
    <row r="945" customFormat="false" ht="13.8" hidden="false" customHeight="false" outlineLevel="0" collapsed="false">
      <c r="A945" s="8" t="n">
        <v>45504</v>
      </c>
      <c r="B945" s="9" t="n">
        <f aca="false">DAY(A945)</f>
        <v>31</v>
      </c>
      <c r="C945" s="9" t="n">
        <f aca="false">MONTH(A945)</f>
        <v>7</v>
      </c>
      <c r="D945" s="9" t="n">
        <f aca="false">YEAR(A945)</f>
        <v>2024</v>
      </c>
      <c r="E945" s="9" t="n">
        <f aca="false">WEEKDAY(A945,2)</f>
        <v>3</v>
      </c>
      <c r="F945" s="10" t="n">
        <f aca="false">WEEKNUM(A945,2) - WEEKNUM(DATE(YEAR(A945),MONTH(A945),1),2) + 1</f>
        <v>5</v>
      </c>
      <c r="G945" s="10"/>
      <c r="H945" s="11" t="n">
        <v>370</v>
      </c>
      <c r="I945" s="12" t="s">
        <v>20</v>
      </c>
      <c r="J945" s="22" t="s">
        <v>53</v>
      </c>
      <c r="K945" s="12"/>
      <c r="L945" s="9" t="n">
        <f aca="false">L944+H945</f>
        <v>48780.65</v>
      </c>
      <c r="M945" s="10" t="str">
        <f aca="false">VLOOKUP(J945,RECATALOGANDO!A:C,2,0)</f>
        <v>SERVICIO DE GROOMING</v>
      </c>
      <c r="N945" s="12" t="str">
        <f aca="false">VLOOKUP(M945,RECATALOGANDO!B:C,2,0)</f>
        <v>VENTA DE SERVICIO</v>
      </c>
      <c r="O945" s="2" t="s">
        <v>39</v>
      </c>
    </row>
    <row r="946" customFormat="false" ht="13.8" hidden="false" customHeight="false" outlineLevel="0" collapsed="false">
      <c r="A946" s="8" t="n">
        <v>45505</v>
      </c>
      <c r="B946" s="9" t="n">
        <f aca="false">DAY(A946)</f>
        <v>1</v>
      </c>
      <c r="C946" s="9" t="n">
        <f aca="false">MONTH(A946)</f>
        <v>8</v>
      </c>
      <c r="D946" s="9" t="n">
        <f aca="false">YEAR(A946)</f>
        <v>2024</v>
      </c>
      <c r="E946" s="9" t="n">
        <f aca="false">WEEKDAY(A946,2)</f>
        <v>4</v>
      </c>
      <c r="F946" s="10" t="n">
        <f aca="false">WEEKNUM(A946,2) - WEEKNUM(DATE(YEAR(A946),MONTH(A946),1),2) + 1</f>
        <v>1</v>
      </c>
      <c r="G946" s="10"/>
      <c r="H946" s="11" t="n">
        <v>815</v>
      </c>
      <c r="I946" s="12" t="s">
        <v>20</v>
      </c>
      <c r="J946" s="12" t="s">
        <v>54</v>
      </c>
      <c r="K946" s="12"/>
      <c r="L946" s="9" t="n">
        <f aca="false">H946</f>
        <v>815</v>
      </c>
      <c r="M946" s="10" t="str">
        <f aca="false">VLOOKUP(J946,RECATALOGANDO!A:C,2,0)</f>
        <v>SERVICIO DE LABORATORIO</v>
      </c>
      <c r="N946" s="12" t="str">
        <f aca="false">VLOOKUP(M946,RECATALOGANDO!B:C,2,0)</f>
        <v>VENTA DE SERVICIO</v>
      </c>
      <c r="O946" s="2" t="s">
        <v>39</v>
      </c>
    </row>
    <row r="947" customFormat="false" ht="13.8" hidden="false" customHeight="false" outlineLevel="0" collapsed="false">
      <c r="A947" s="8" t="n">
        <v>45506</v>
      </c>
      <c r="B947" s="9" t="n">
        <f aca="false">DAY(A947)</f>
        <v>2</v>
      </c>
      <c r="C947" s="9" t="n">
        <f aca="false">MONTH(A947)</f>
        <v>8</v>
      </c>
      <c r="D947" s="9" t="n">
        <f aca="false">YEAR(A947)</f>
        <v>2024</v>
      </c>
      <c r="E947" s="9" t="n">
        <f aca="false">WEEKDAY(A947,2)</f>
        <v>5</v>
      </c>
      <c r="F947" s="10" t="n">
        <f aca="false">WEEKNUM(A947,2) - WEEKNUM(DATE(YEAR(A947),MONTH(A947),1),2) + 1</f>
        <v>1</v>
      </c>
      <c r="G947" s="10"/>
      <c r="H947" s="11" t="n">
        <v>2630</v>
      </c>
      <c r="I947" s="12" t="s">
        <v>20</v>
      </c>
      <c r="J947" s="12" t="s">
        <v>45</v>
      </c>
      <c r="K947" s="12"/>
      <c r="L947" s="9" t="n">
        <f aca="false">L946+H947</f>
        <v>3445</v>
      </c>
      <c r="M947" s="10" t="str">
        <f aca="false">VLOOKUP(J947,RECATALOGANDO!A:C,2,0)</f>
        <v>VENTA DE MEDICAMENTO</v>
      </c>
      <c r="N947" s="12" t="str">
        <f aca="false">VLOOKUP(M947,RECATALOGANDO!B:C,2,0)</f>
        <v>VENTA DE PRODUCTO</v>
      </c>
      <c r="O947" s="2" t="s">
        <v>39</v>
      </c>
    </row>
    <row r="948" customFormat="false" ht="13.8" hidden="false" customHeight="false" outlineLevel="0" collapsed="false">
      <c r="A948" s="8" t="n">
        <v>45507</v>
      </c>
      <c r="B948" s="9" t="n">
        <f aca="false">DAY(A948)</f>
        <v>3</v>
      </c>
      <c r="C948" s="9" t="n">
        <f aca="false">MONTH(A948)</f>
        <v>8</v>
      </c>
      <c r="D948" s="9" t="n">
        <f aca="false">YEAR(A948)</f>
        <v>2024</v>
      </c>
      <c r="E948" s="9" t="n">
        <f aca="false">WEEKDAY(A948,2)</f>
        <v>6</v>
      </c>
      <c r="F948" s="10" t="n">
        <f aca="false">WEEKNUM(A948,2) - WEEKNUM(DATE(YEAR(A948),MONTH(A948),1),2) + 1</f>
        <v>1</v>
      </c>
      <c r="G948" s="10"/>
      <c r="H948" s="11" t="n">
        <v>277</v>
      </c>
      <c r="I948" s="12" t="s">
        <v>15</v>
      </c>
      <c r="J948" s="12" t="s">
        <v>49</v>
      </c>
      <c r="K948" s="12"/>
      <c r="L948" s="9" t="n">
        <f aca="false">L947+H948</f>
        <v>3722</v>
      </c>
      <c r="M948" s="10" t="str">
        <f aca="false">VLOOKUP(J948,RECATALOGANDO!A:C,2,0)</f>
        <v>SERVICIO DE GROOMING</v>
      </c>
      <c r="N948" s="12" t="str">
        <f aca="false">VLOOKUP(M948,RECATALOGANDO!B:C,2,0)</f>
        <v>VENTA DE SERVICIO</v>
      </c>
      <c r="O948" s="2" t="s">
        <v>39</v>
      </c>
    </row>
    <row r="949" customFormat="false" ht="13.8" hidden="false" customHeight="false" outlineLevel="0" collapsed="false">
      <c r="A949" s="8" t="n">
        <v>45510</v>
      </c>
      <c r="B949" s="9" t="n">
        <f aca="false">DAY(A949)</f>
        <v>6</v>
      </c>
      <c r="C949" s="9" t="n">
        <f aca="false">MONTH(A949)</f>
        <v>8</v>
      </c>
      <c r="D949" s="9" t="n">
        <f aca="false">YEAR(A949)</f>
        <v>2024</v>
      </c>
      <c r="E949" s="9" t="n">
        <f aca="false">WEEKDAY(A949,2)</f>
        <v>2</v>
      </c>
      <c r="F949" s="10" t="n">
        <f aca="false">WEEKNUM(A949,2) - WEEKNUM(DATE(YEAR(A949),MONTH(A949),1),2) + 1</f>
        <v>2</v>
      </c>
      <c r="G949" s="10"/>
      <c r="H949" s="11" t="n">
        <v>350</v>
      </c>
      <c r="I949" s="12" t="s">
        <v>20</v>
      </c>
      <c r="J949" s="12" t="s">
        <v>45</v>
      </c>
      <c r="K949" s="12"/>
      <c r="L949" s="9" t="n">
        <f aca="false">L948+H949</f>
        <v>4072</v>
      </c>
      <c r="M949" s="10" t="str">
        <f aca="false">VLOOKUP(J949,RECATALOGANDO!A:C,2,0)</f>
        <v>VENTA DE MEDICAMENTO</v>
      </c>
      <c r="N949" s="12" t="str">
        <f aca="false">VLOOKUP(M949,RECATALOGANDO!B:C,2,0)</f>
        <v>VENTA DE PRODUCTO</v>
      </c>
      <c r="O949" s="2" t="s">
        <v>39</v>
      </c>
    </row>
    <row r="950" customFormat="false" ht="13.8" hidden="false" customHeight="false" outlineLevel="0" collapsed="false">
      <c r="A950" s="8" t="n">
        <v>45512</v>
      </c>
      <c r="B950" s="9" t="n">
        <f aca="false">DAY(A950)</f>
        <v>8</v>
      </c>
      <c r="C950" s="9" t="n">
        <f aca="false">MONTH(A950)</f>
        <v>8</v>
      </c>
      <c r="D950" s="9" t="n">
        <f aca="false">YEAR(A950)</f>
        <v>2024</v>
      </c>
      <c r="E950" s="9" t="n">
        <f aca="false">WEEKDAY(A950,2)</f>
        <v>4</v>
      </c>
      <c r="F950" s="10" t="n">
        <f aca="false">WEEKNUM(A950,2) - WEEKNUM(DATE(YEAR(A950),MONTH(A950),1),2) + 1</f>
        <v>2</v>
      </c>
      <c r="G950" s="10"/>
      <c r="H950" s="11" t="n">
        <v>160</v>
      </c>
      <c r="I950" s="12" t="s">
        <v>20</v>
      </c>
      <c r="J950" s="12" t="s">
        <v>49</v>
      </c>
      <c r="K950" s="12"/>
      <c r="L950" s="9" t="n">
        <f aca="false">L949+H950</f>
        <v>4232</v>
      </c>
      <c r="M950" s="10" t="str">
        <f aca="false">VLOOKUP(J950,RECATALOGANDO!A:C,2,0)</f>
        <v>SERVICIO DE GROOMING</v>
      </c>
      <c r="N950" s="12" t="str">
        <f aca="false">VLOOKUP(M950,RECATALOGANDO!B:C,2,0)</f>
        <v>VENTA DE SERVICIO</v>
      </c>
      <c r="O950" s="2" t="s">
        <v>39</v>
      </c>
    </row>
    <row r="951" customFormat="false" ht="13.8" hidden="false" customHeight="false" outlineLevel="0" collapsed="false">
      <c r="A951" s="8" t="n">
        <v>45513</v>
      </c>
      <c r="B951" s="9" t="n">
        <f aca="false">DAY(A951)</f>
        <v>9</v>
      </c>
      <c r="C951" s="9" t="n">
        <f aca="false">MONTH(A951)</f>
        <v>8</v>
      </c>
      <c r="D951" s="9" t="n">
        <f aca="false">YEAR(A951)</f>
        <v>2024</v>
      </c>
      <c r="E951" s="9" t="n">
        <f aca="false">WEEKDAY(A951,2)</f>
        <v>5</v>
      </c>
      <c r="F951" s="10" t="n">
        <f aca="false">WEEKNUM(A951,2) - WEEKNUM(DATE(YEAR(A951),MONTH(A951),1),2) + 1</f>
        <v>2</v>
      </c>
      <c r="G951" s="10"/>
      <c r="H951" s="11" t="n">
        <v>979</v>
      </c>
      <c r="I951" s="12" t="s">
        <v>15</v>
      </c>
      <c r="J951" s="12" t="s">
        <v>51</v>
      </c>
      <c r="K951" s="12"/>
      <c r="L951" s="9" t="n">
        <f aca="false">L950+H951</f>
        <v>5211</v>
      </c>
      <c r="M951" s="10" t="str">
        <f aca="false">VLOOKUP(J951,RECATALOGANDO!A:C,2,0)</f>
        <v>VENTA DE ALIMENTO</v>
      </c>
      <c r="N951" s="12" t="str">
        <f aca="false">VLOOKUP(M951,RECATALOGANDO!B:C,2,0)</f>
        <v>VENTA DE PRODUCTO</v>
      </c>
      <c r="O951" s="2" t="s">
        <v>39</v>
      </c>
    </row>
    <row r="952" customFormat="false" ht="13.8" hidden="false" customHeight="false" outlineLevel="0" collapsed="false">
      <c r="A952" s="8" t="n">
        <v>45513</v>
      </c>
      <c r="B952" s="9" t="n">
        <f aca="false">DAY(A952)</f>
        <v>9</v>
      </c>
      <c r="C952" s="9" t="n">
        <f aca="false">MONTH(A952)</f>
        <v>8</v>
      </c>
      <c r="D952" s="9" t="n">
        <f aca="false">YEAR(A952)</f>
        <v>2024</v>
      </c>
      <c r="E952" s="9" t="n">
        <f aca="false">WEEKDAY(A952,2)</f>
        <v>5</v>
      </c>
      <c r="F952" s="10" t="n">
        <f aca="false">WEEKNUM(A952,2) - WEEKNUM(DATE(YEAR(A952),MONTH(A952),1),2) + 1</f>
        <v>2</v>
      </c>
      <c r="G952" s="10"/>
      <c r="H952" s="11" t="n">
        <v>160</v>
      </c>
      <c r="I952" s="12" t="s">
        <v>20</v>
      </c>
      <c r="J952" s="12" t="s">
        <v>49</v>
      </c>
      <c r="K952" s="12"/>
      <c r="L952" s="9" t="n">
        <f aca="false">L951+H952</f>
        <v>5371</v>
      </c>
      <c r="M952" s="10" t="str">
        <f aca="false">VLOOKUP(J952,RECATALOGANDO!A:C,2,0)</f>
        <v>SERVICIO DE GROOMING</v>
      </c>
      <c r="N952" s="12" t="str">
        <f aca="false">VLOOKUP(M952,RECATALOGANDO!B:C,2,0)</f>
        <v>VENTA DE SERVICIO</v>
      </c>
      <c r="O952" s="2" t="s">
        <v>39</v>
      </c>
    </row>
    <row r="953" customFormat="false" ht="13.8" hidden="false" customHeight="false" outlineLevel="0" collapsed="false">
      <c r="A953" s="8" t="n">
        <v>45514</v>
      </c>
      <c r="B953" s="9" t="n">
        <f aca="false">DAY(A953)</f>
        <v>10</v>
      </c>
      <c r="C953" s="9" t="n">
        <f aca="false">MONTH(A953)</f>
        <v>8</v>
      </c>
      <c r="D953" s="9" t="n">
        <f aca="false">YEAR(A953)</f>
        <v>2024</v>
      </c>
      <c r="E953" s="9" t="n">
        <f aca="false">WEEKDAY(A953,2)</f>
        <v>6</v>
      </c>
      <c r="F953" s="10" t="n">
        <f aca="false">WEEKNUM(A953,2) - WEEKNUM(DATE(YEAR(A953),MONTH(A953),1),2) + 1</f>
        <v>2</v>
      </c>
      <c r="G953" s="10"/>
      <c r="H953" s="11" t="n">
        <v>2749</v>
      </c>
      <c r="I953" s="12" t="s">
        <v>15</v>
      </c>
      <c r="J953" s="12" t="s">
        <v>51</v>
      </c>
      <c r="K953" s="12"/>
      <c r="L953" s="9" t="n">
        <f aca="false">L952+H953</f>
        <v>8120</v>
      </c>
      <c r="M953" s="10" t="str">
        <f aca="false">VLOOKUP(J953,RECATALOGANDO!A:C,2,0)</f>
        <v>VENTA DE ALIMENTO</v>
      </c>
      <c r="N953" s="12" t="str">
        <f aca="false">VLOOKUP(M953,RECATALOGANDO!B:C,2,0)</f>
        <v>VENTA DE PRODUCTO</v>
      </c>
      <c r="O953" s="2" t="s">
        <v>39</v>
      </c>
    </row>
    <row r="954" customFormat="false" ht="13.8" hidden="false" customHeight="false" outlineLevel="0" collapsed="false">
      <c r="A954" s="8" t="n">
        <v>45514</v>
      </c>
      <c r="B954" s="9" t="n">
        <f aca="false">DAY(A954)</f>
        <v>10</v>
      </c>
      <c r="C954" s="9" t="n">
        <f aca="false">MONTH(A954)</f>
        <v>8</v>
      </c>
      <c r="D954" s="9" t="n">
        <f aca="false">YEAR(A954)</f>
        <v>2024</v>
      </c>
      <c r="E954" s="9" t="n">
        <f aca="false">WEEKDAY(A954,2)</f>
        <v>6</v>
      </c>
      <c r="F954" s="10" t="n">
        <f aca="false">WEEKNUM(A954,2) - WEEKNUM(DATE(YEAR(A954),MONTH(A954),1),2) + 1</f>
        <v>2</v>
      </c>
      <c r="G954" s="10"/>
      <c r="H954" s="11" t="n">
        <v>160</v>
      </c>
      <c r="I954" s="12" t="s">
        <v>15</v>
      </c>
      <c r="J954" s="12" t="s">
        <v>49</v>
      </c>
      <c r="K954" s="12"/>
      <c r="L954" s="9" t="n">
        <f aca="false">L953+H954</f>
        <v>8280</v>
      </c>
      <c r="M954" s="10" t="str">
        <f aca="false">VLOOKUP(J954,RECATALOGANDO!A:C,2,0)</f>
        <v>SERVICIO DE GROOMING</v>
      </c>
      <c r="N954" s="12" t="str">
        <f aca="false">VLOOKUP(M954,RECATALOGANDO!B:C,2,0)</f>
        <v>VENTA DE SERVICIO</v>
      </c>
      <c r="O954" s="2" t="s">
        <v>39</v>
      </c>
    </row>
    <row r="955" customFormat="false" ht="13.8" hidden="false" customHeight="false" outlineLevel="0" collapsed="false">
      <c r="A955" s="8" t="n">
        <v>45514</v>
      </c>
      <c r="B955" s="9" t="n">
        <f aca="false">DAY(A955)</f>
        <v>10</v>
      </c>
      <c r="C955" s="9" t="n">
        <f aca="false">MONTH(A955)</f>
        <v>8</v>
      </c>
      <c r="D955" s="9" t="n">
        <f aca="false">YEAR(A955)</f>
        <v>2024</v>
      </c>
      <c r="E955" s="9" t="n">
        <f aca="false">WEEKDAY(A955,2)</f>
        <v>6</v>
      </c>
      <c r="F955" s="10" t="n">
        <f aca="false">WEEKNUM(A955,2) - WEEKNUM(DATE(YEAR(A955),MONTH(A955),1),2) + 1</f>
        <v>2</v>
      </c>
      <c r="G955" s="10"/>
      <c r="H955" s="11" t="n">
        <v>1200</v>
      </c>
      <c r="I955" s="12" t="s">
        <v>15</v>
      </c>
      <c r="J955" s="12" t="s">
        <v>44</v>
      </c>
      <c r="K955" s="12"/>
      <c r="L955" s="9" t="n">
        <f aca="false">L954+H955</f>
        <v>9480</v>
      </c>
      <c r="M955" s="10" t="str">
        <f aca="false">VLOOKUP(J955,RECATALOGANDO!A:C,2,0)</f>
        <v>HONORARIOS MEDICOS</v>
      </c>
      <c r="N955" s="12" t="str">
        <f aca="false">VLOOKUP(M955,RECATALOGANDO!B:C,2,0)</f>
        <v>VENTA DE SERVICIO</v>
      </c>
      <c r="O955" s="2" t="s">
        <v>39</v>
      </c>
    </row>
    <row r="956" customFormat="false" ht="13.8" hidden="false" customHeight="false" outlineLevel="0" collapsed="false">
      <c r="A956" s="8" t="n">
        <v>45516</v>
      </c>
      <c r="B956" s="9" t="n">
        <f aca="false">DAY(A956)</f>
        <v>12</v>
      </c>
      <c r="C956" s="9" t="n">
        <f aca="false">MONTH(A956)</f>
        <v>8</v>
      </c>
      <c r="D956" s="9" t="n">
        <f aca="false">YEAR(A956)</f>
        <v>2024</v>
      </c>
      <c r="E956" s="9" t="n">
        <f aca="false">WEEKDAY(A956,2)</f>
        <v>1</v>
      </c>
      <c r="F956" s="10" t="n">
        <f aca="false">WEEKNUM(A956,2) - WEEKNUM(DATE(YEAR(A956),MONTH(A956),1),2) + 1</f>
        <v>3</v>
      </c>
      <c r="G956" s="10"/>
      <c r="H956" s="11" t="n">
        <v>160</v>
      </c>
      <c r="I956" s="12" t="s">
        <v>20</v>
      </c>
      <c r="J956" s="12" t="s">
        <v>49</v>
      </c>
      <c r="K956" s="12"/>
      <c r="L956" s="9" t="n">
        <f aca="false">L955+H956</f>
        <v>9640</v>
      </c>
      <c r="M956" s="10" t="str">
        <f aca="false">VLOOKUP(J956,RECATALOGANDO!A:C,2,0)</f>
        <v>SERVICIO DE GROOMING</v>
      </c>
      <c r="N956" s="12" t="str">
        <f aca="false">VLOOKUP(M956,RECATALOGANDO!B:C,2,0)</f>
        <v>VENTA DE SERVICIO</v>
      </c>
      <c r="O956" s="2" t="s">
        <v>39</v>
      </c>
    </row>
    <row r="957" customFormat="false" ht="13.8" hidden="false" customHeight="false" outlineLevel="0" collapsed="false">
      <c r="A957" s="8" t="n">
        <v>45516</v>
      </c>
      <c r="B957" s="9" t="n">
        <f aca="false">DAY(A957)</f>
        <v>12</v>
      </c>
      <c r="C957" s="9" t="n">
        <f aca="false">MONTH(A957)</f>
        <v>8</v>
      </c>
      <c r="D957" s="9" t="n">
        <f aca="false">YEAR(A957)</f>
        <v>2024</v>
      </c>
      <c r="E957" s="9" t="n">
        <f aca="false">WEEKDAY(A957,2)</f>
        <v>1</v>
      </c>
      <c r="F957" s="10" t="n">
        <f aca="false">WEEKNUM(A957,2) - WEEKNUM(DATE(YEAR(A957),MONTH(A957),1),2) + 1</f>
        <v>3</v>
      </c>
      <c r="G957" s="10"/>
      <c r="H957" s="11" t="n">
        <v>350</v>
      </c>
      <c r="I957" s="12" t="s">
        <v>20</v>
      </c>
      <c r="J957" s="12" t="s">
        <v>44</v>
      </c>
      <c r="K957" s="12"/>
      <c r="L957" s="9" t="n">
        <f aca="false">L956+H957</f>
        <v>9990</v>
      </c>
      <c r="M957" s="10" t="str">
        <f aca="false">VLOOKUP(J957,RECATALOGANDO!A:C,2,0)</f>
        <v>HONORARIOS MEDICOS</v>
      </c>
      <c r="N957" s="12" t="str">
        <f aca="false">VLOOKUP(M957,RECATALOGANDO!B:C,2,0)</f>
        <v>VENTA DE SERVICIO</v>
      </c>
      <c r="O957" s="2" t="s">
        <v>39</v>
      </c>
    </row>
    <row r="958" customFormat="false" ht="13.8" hidden="false" customHeight="false" outlineLevel="0" collapsed="false">
      <c r="A958" s="8" t="n">
        <v>45516</v>
      </c>
      <c r="B958" s="9" t="n">
        <f aca="false">DAY(A958)</f>
        <v>12</v>
      </c>
      <c r="C958" s="9" t="n">
        <f aca="false">MONTH(A958)</f>
        <v>8</v>
      </c>
      <c r="D958" s="9" t="n">
        <f aca="false">YEAR(A958)</f>
        <v>2024</v>
      </c>
      <c r="E958" s="9" t="n">
        <f aca="false">WEEKDAY(A958,2)</f>
        <v>1</v>
      </c>
      <c r="F958" s="10" t="n">
        <f aca="false">WEEKNUM(A958,2) - WEEKNUM(DATE(YEAR(A958),MONTH(A958),1),2) + 1</f>
        <v>3</v>
      </c>
      <c r="G958" s="10"/>
      <c r="H958" s="11" t="n">
        <v>900</v>
      </c>
      <c r="I958" s="12" t="s">
        <v>20</v>
      </c>
      <c r="J958" s="12" t="s">
        <v>71</v>
      </c>
      <c r="K958" s="12"/>
      <c r="L958" s="9" t="n">
        <f aca="false">L957+H958</f>
        <v>10890</v>
      </c>
      <c r="M958" s="10" t="str">
        <f aca="false">VLOOKUP(J958,RECATALOGANDO!A:C,2,0)</f>
        <v>SERVICIO DE CREMACION</v>
      </c>
      <c r="N958" s="12" t="str">
        <f aca="false">VLOOKUP(M958,RECATALOGANDO!B:C,2,0)</f>
        <v>VENTA DE SERVICIO</v>
      </c>
      <c r="O958" s="2" t="s">
        <v>39</v>
      </c>
    </row>
    <row r="959" customFormat="false" ht="13.8" hidden="false" customHeight="false" outlineLevel="0" collapsed="false">
      <c r="A959" s="8" t="n">
        <v>45517</v>
      </c>
      <c r="B959" s="9" t="n">
        <f aca="false">DAY(A959)</f>
        <v>13</v>
      </c>
      <c r="C959" s="9" t="n">
        <f aca="false">MONTH(A959)</f>
        <v>8</v>
      </c>
      <c r="D959" s="9" t="n">
        <f aca="false">YEAR(A959)</f>
        <v>2024</v>
      </c>
      <c r="E959" s="9" t="n">
        <f aca="false">WEEKDAY(A959,2)</f>
        <v>2</v>
      </c>
      <c r="F959" s="10" t="n">
        <f aca="false">WEEKNUM(A959,2) - WEEKNUM(DATE(YEAR(A959),MONTH(A959),1),2) + 1</f>
        <v>3</v>
      </c>
      <c r="G959" s="10"/>
      <c r="H959" s="11" t="n">
        <v>250</v>
      </c>
      <c r="I959" s="12" t="s">
        <v>20</v>
      </c>
      <c r="J959" s="12" t="s">
        <v>49</v>
      </c>
      <c r="K959" s="12"/>
      <c r="L959" s="9" t="n">
        <f aca="false">L958+H959</f>
        <v>11140</v>
      </c>
      <c r="M959" s="10" t="str">
        <f aca="false">VLOOKUP(J959,RECATALOGANDO!A:C,2,0)</f>
        <v>SERVICIO DE GROOMING</v>
      </c>
      <c r="N959" s="12" t="str">
        <f aca="false">VLOOKUP(M959,RECATALOGANDO!B:C,2,0)</f>
        <v>VENTA DE SERVICIO</v>
      </c>
      <c r="O959" s="2" t="s">
        <v>39</v>
      </c>
    </row>
    <row r="960" customFormat="false" ht="13.8" hidden="false" customHeight="false" outlineLevel="0" collapsed="false">
      <c r="A960" s="8" t="n">
        <v>45519</v>
      </c>
      <c r="B960" s="9" t="n">
        <f aca="false">DAY(A960)</f>
        <v>15</v>
      </c>
      <c r="C960" s="9" t="n">
        <f aca="false">MONTH(A960)</f>
        <v>8</v>
      </c>
      <c r="D960" s="9" t="n">
        <f aca="false">YEAR(A960)</f>
        <v>2024</v>
      </c>
      <c r="E960" s="9" t="n">
        <f aca="false">WEEKDAY(A960,2)</f>
        <v>4</v>
      </c>
      <c r="F960" s="10" t="n">
        <f aca="false">WEEKNUM(A960,2) - WEEKNUM(DATE(YEAR(A960),MONTH(A960),1),2) + 1</f>
        <v>3</v>
      </c>
      <c r="G960" s="10" t="n">
        <v>1</v>
      </c>
      <c r="H960" s="11" t="n">
        <v>729.22</v>
      </c>
      <c r="I960" s="12" t="s">
        <v>15</v>
      </c>
      <c r="J960" s="12" t="s">
        <v>51</v>
      </c>
      <c r="K960" s="12"/>
      <c r="L960" s="9" t="n">
        <f aca="false">L959+H960</f>
        <v>11869.22</v>
      </c>
      <c r="M960" s="10" t="str">
        <f aca="false">VLOOKUP(J960,RECATALOGANDO!A:C,2,0)</f>
        <v>VENTA DE ALIMENTO</v>
      </c>
      <c r="N960" s="12" t="str">
        <f aca="false">VLOOKUP(M960,RECATALOGANDO!B:C,2,0)</f>
        <v>VENTA DE PRODUCTO</v>
      </c>
      <c r="O960" s="2" t="s">
        <v>39</v>
      </c>
    </row>
    <row r="961" customFormat="false" ht="13.8" hidden="false" customHeight="false" outlineLevel="0" collapsed="false">
      <c r="A961" s="8" t="n">
        <v>45519</v>
      </c>
      <c r="B961" s="9" t="n">
        <f aca="false">DAY(A961)</f>
        <v>15</v>
      </c>
      <c r="C961" s="9" t="n">
        <f aca="false">MONTH(A961)</f>
        <v>8</v>
      </c>
      <c r="D961" s="9" t="n">
        <f aca="false">YEAR(A961)</f>
        <v>2024</v>
      </c>
      <c r="E961" s="9" t="n">
        <f aca="false">WEEKDAY(A961,2)</f>
        <v>4</v>
      </c>
      <c r="F961" s="10" t="n">
        <f aca="false">WEEKNUM(A961,2) - WEEKNUM(DATE(YEAR(A961),MONTH(A961),1),2) + 1</f>
        <v>3</v>
      </c>
      <c r="G961" s="10" t="n">
        <v>1</v>
      </c>
      <c r="H961" s="11" t="n">
        <v>3340</v>
      </c>
      <c r="I961" s="12" t="s">
        <v>20</v>
      </c>
      <c r="J961" s="12" t="s">
        <v>45</v>
      </c>
      <c r="K961" s="12"/>
      <c r="L961" s="9" t="n">
        <f aca="false">L960+H961</f>
        <v>15209.22</v>
      </c>
      <c r="M961" s="10" t="str">
        <f aca="false">VLOOKUP(J961,RECATALOGANDO!A:C,2,0)</f>
        <v>VENTA DE MEDICAMENTO</v>
      </c>
      <c r="N961" s="12" t="str">
        <f aca="false">VLOOKUP(M961,RECATALOGANDO!B:C,2,0)</f>
        <v>VENTA DE PRODUCTO</v>
      </c>
      <c r="O961" s="2" t="s">
        <v>39</v>
      </c>
    </row>
    <row r="962" customFormat="false" ht="13.8" hidden="false" customHeight="false" outlineLevel="0" collapsed="false">
      <c r="A962" s="8" t="n">
        <v>45520</v>
      </c>
      <c r="B962" s="9" t="n">
        <f aca="false">DAY(A962)</f>
        <v>16</v>
      </c>
      <c r="C962" s="9" t="n">
        <f aca="false">MONTH(A962)</f>
        <v>8</v>
      </c>
      <c r="D962" s="9" t="n">
        <f aca="false">YEAR(A962)</f>
        <v>2024</v>
      </c>
      <c r="E962" s="9" t="n">
        <f aca="false">WEEKDAY(A962,2)</f>
        <v>5</v>
      </c>
      <c r="F962" s="10" t="n">
        <f aca="false">WEEKNUM(A962,2) - WEEKNUM(DATE(YEAR(A962),MONTH(A962),1),2) + 1</f>
        <v>3</v>
      </c>
      <c r="G962" s="10"/>
      <c r="H962" s="11" t="n">
        <v>200</v>
      </c>
      <c r="I962" s="12" t="s">
        <v>20</v>
      </c>
      <c r="J962" s="12" t="s">
        <v>49</v>
      </c>
      <c r="K962" s="12"/>
      <c r="L962" s="9" t="n">
        <f aca="false">L961+H962</f>
        <v>15409.22</v>
      </c>
      <c r="M962" s="10" t="str">
        <f aca="false">VLOOKUP(J962,RECATALOGANDO!A:C,2,0)</f>
        <v>SERVICIO DE GROOMING</v>
      </c>
      <c r="N962" s="12" t="str">
        <f aca="false">VLOOKUP(M962,RECATALOGANDO!B:C,2,0)</f>
        <v>VENTA DE SERVICIO</v>
      </c>
      <c r="O962" s="2" t="s">
        <v>39</v>
      </c>
    </row>
    <row r="963" customFormat="false" ht="13.8" hidden="false" customHeight="false" outlineLevel="0" collapsed="false">
      <c r="A963" s="8" t="n">
        <v>45520</v>
      </c>
      <c r="B963" s="9" t="n">
        <f aca="false">DAY(A963)</f>
        <v>16</v>
      </c>
      <c r="C963" s="9" t="n">
        <f aca="false">MONTH(A963)</f>
        <v>8</v>
      </c>
      <c r="D963" s="9" t="n">
        <f aca="false">YEAR(A963)</f>
        <v>2024</v>
      </c>
      <c r="E963" s="9" t="n">
        <f aca="false">WEEKDAY(A963,2)</f>
        <v>5</v>
      </c>
      <c r="F963" s="10" t="n">
        <f aca="false">WEEKNUM(A963,2) - WEEKNUM(DATE(YEAR(A963),MONTH(A963),1),2) + 1</f>
        <v>3</v>
      </c>
      <c r="G963" s="10"/>
      <c r="H963" s="11" t="n">
        <v>2695</v>
      </c>
      <c r="I963" s="12" t="s">
        <v>15</v>
      </c>
      <c r="J963" s="12" t="s">
        <v>44</v>
      </c>
      <c r="K963" s="12"/>
      <c r="L963" s="9" t="n">
        <f aca="false">L962+H963</f>
        <v>18104.22</v>
      </c>
      <c r="M963" s="10" t="str">
        <f aca="false">VLOOKUP(J963,RECATALOGANDO!A:C,2,0)</f>
        <v>HONORARIOS MEDICOS</v>
      </c>
      <c r="N963" s="12" t="str">
        <f aca="false">VLOOKUP(M963,RECATALOGANDO!B:C,2,0)</f>
        <v>VENTA DE SERVICIO</v>
      </c>
      <c r="O963" s="2" t="s">
        <v>39</v>
      </c>
    </row>
    <row r="964" customFormat="false" ht="13.8" hidden="false" customHeight="false" outlineLevel="0" collapsed="false">
      <c r="A964" s="8" t="n">
        <v>45520</v>
      </c>
      <c r="B964" s="9" t="n">
        <f aca="false">DAY(A964)</f>
        <v>16</v>
      </c>
      <c r="C964" s="9" t="n">
        <f aca="false">MONTH(A964)</f>
        <v>8</v>
      </c>
      <c r="D964" s="9" t="n">
        <f aca="false">YEAR(A964)</f>
        <v>2024</v>
      </c>
      <c r="E964" s="9" t="n">
        <f aca="false">WEEKDAY(A964,2)</f>
        <v>5</v>
      </c>
      <c r="F964" s="10" t="n">
        <f aca="false">WEEKNUM(A964,2) - WEEKNUM(DATE(YEAR(A964),MONTH(A964),1),2) + 1</f>
        <v>3</v>
      </c>
      <c r="G964" s="10"/>
      <c r="H964" s="11" t="n">
        <v>2695</v>
      </c>
      <c r="I964" s="12" t="s">
        <v>15</v>
      </c>
      <c r="J964" s="12" t="s">
        <v>44</v>
      </c>
      <c r="K964" s="12"/>
      <c r="L964" s="9" t="n">
        <f aca="false">L963+H964</f>
        <v>20799.22</v>
      </c>
      <c r="M964" s="10" t="str">
        <f aca="false">VLOOKUP(J964,RECATALOGANDO!A:C,2,0)</f>
        <v>HONORARIOS MEDICOS</v>
      </c>
      <c r="N964" s="12" t="str">
        <f aca="false">VLOOKUP(M964,RECATALOGANDO!B:C,2,0)</f>
        <v>VENTA DE SERVICIO</v>
      </c>
      <c r="O964" s="2" t="s">
        <v>39</v>
      </c>
    </row>
    <row r="965" customFormat="false" ht="13.8" hidden="false" customHeight="false" outlineLevel="0" collapsed="false">
      <c r="A965" s="8" t="n">
        <v>45522</v>
      </c>
      <c r="B965" s="9" t="n">
        <f aca="false">DAY(A965)</f>
        <v>18</v>
      </c>
      <c r="C965" s="9" t="n">
        <f aca="false">MONTH(A965)</f>
        <v>8</v>
      </c>
      <c r="D965" s="9" t="n">
        <f aca="false">YEAR(A965)</f>
        <v>2024</v>
      </c>
      <c r="E965" s="9" t="n">
        <f aca="false">WEEKDAY(A965,2)</f>
        <v>7</v>
      </c>
      <c r="F965" s="10" t="n">
        <f aca="false">WEEKNUM(A965,2) - WEEKNUM(DATE(YEAR(A965),MONTH(A965),1),2) + 1</f>
        <v>3</v>
      </c>
      <c r="G965" s="10"/>
      <c r="H965" s="11" t="n">
        <v>1856.11</v>
      </c>
      <c r="I965" s="12" t="s">
        <v>15</v>
      </c>
      <c r="J965" s="12" t="s">
        <v>45</v>
      </c>
      <c r="K965" s="12"/>
      <c r="L965" s="9" t="n">
        <f aca="false">L964+H965</f>
        <v>22655.33</v>
      </c>
      <c r="M965" s="10" t="str">
        <f aca="false">VLOOKUP(J965,RECATALOGANDO!A:C,2,0)</f>
        <v>VENTA DE MEDICAMENTO</v>
      </c>
      <c r="N965" s="12" t="str">
        <f aca="false">VLOOKUP(M965,RECATALOGANDO!B:C,2,0)</f>
        <v>VENTA DE PRODUCTO</v>
      </c>
      <c r="O965" s="2" t="s">
        <v>39</v>
      </c>
    </row>
    <row r="966" customFormat="false" ht="13.8" hidden="false" customHeight="false" outlineLevel="0" collapsed="false">
      <c r="A966" s="8" t="n">
        <v>45523</v>
      </c>
      <c r="B966" s="9" t="n">
        <f aca="false">DAY(A966)</f>
        <v>19</v>
      </c>
      <c r="C966" s="9" t="n">
        <f aca="false">MONTH(A966)</f>
        <v>8</v>
      </c>
      <c r="D966" s="9" t="n">
        <f aca="false">YEAR(A966)</f>
        <v>2024</v>
      </c>
      <c r="E966" s="9" t="n">
        <f aca="false">WEEKDAY(A966,2)</f>
        <v>1</v>
      </c>
      <c r="F966" s="10" t="n">
        <f aca="false">WEEKNUM(A966,2) - WEEKNUM(DATE(YEAR(A966),MONTH(A966),1),2) + 1</f>
        <v>4</v>
      </c>
      <c r="G966" s="10"/>
      <c r="H966" s="11" t="n">
        <v>1950</v>
      </c>
      <c r="I966" s="12" t="s">
        <v>20</v>
      </c>
      <c r="J966" s="12" t="s">
        <v>54</v>
      </c>
      <c r="K966" s="12"/>
      <c r="L966" s="9" t="n">
        <f aca="false">L965+H966</f>
        <v>24605.33</v>
      </c>
      <c r="M966" s="10" t="str">
        <f aca="false">VLOOKUP(J966,RECATALOGANDO!A:C,2,0)</f>
        <v>SERVICIO DE LABORATORIO</v>
      </c>
      <c r="N966" s="12" t="str">
        <f aca="false">VLOOKUP(M966,RECATALOGANDO!B:C,2,0)</f>
        <v>VENTA DE SERVICIO</v>
      </c>
      <c r="O966" s="2" t="s">
        <v>39</v>
      </c>
    </row>
    <row r="967" customFormat="false" ht="13.8" hidden="false" customHeight="false" outlineLevel="0" collapsed="false">
      <c r="A967" s="8" t="n">
        <v>45523</v>
      </c>
      <c r="B967" s="9" t="n">
        <f aca="false">DAY(A967)</f>
        <v>19</v>
      </c>
      <c r="C967" s="9" t="n">
        <f aca="false">MONTH(A967)</f>
        <v>8</v>
      </c>
      <c r="D967" s="9" t="n">
        <f aca="false">YEAR(A967)</f>
        <v>2024</v>
      </c>
      <c r="E967" s="9" t="n">
        <f aca="false">WEEKDAY(A967,2)</f>
        <v>1</v>
      </c>
      <c r="F967" s="10" t="n">
        <f aca="false">WEEKNUM(A967,2) - WEEKNUM(DATE(YEAR(A967),MONTH(A967),1),2) + 1</f>
        <v>4</v>
      </c>
      <c r="G967" s="10"/>
      <c r="H967" s="11" t="n">
        <v>2800</v>
      </c>
      <c r="I967" s="12" t="s">
        <v>20</v>
      </c>
      <c r="J967" s="12" t="s">
        <v>54</v>
      </c>
      <c r="K967" s="12"/>
      <c r="L967" s="9" t="n">
        <f aca="false">L966+H967</f>
        <v>27405.33</v>
      </c>
      <c r="M967" s="10" t="str">
        <f aca="false">VLOOKUP(J967,RECATALOGANDO!A:C,2,0)</f>
        <v>SERVICIO DE LABORATORIO</v>
      </c>
      <c r="N967" s="12" t="str">
        <f aca="false">VLOOKUP(M967,RECATALOGANDO!B:C,2,0)</f>
        <v>VENTA DE SERVICIO</v>
      </c>
      <c r="O967" s="2" t="s">
        <v>39</v>
      </c>
    </row>
    <row r="968" customFormat="false" ht="13.8" hidden="false" customHeight="false" outlineLevel="0" collapsed="false">
      <c r="A968" s="8" t="n">
        <v>45524</v>
      </c>
      <c r="B968" s="9" t="n">
        <f aca="false">DAY(A968)</f>
        <v>20</v>
      </c>
      <c r="C968" s="9" t="n">
        <f aca="false">MONTH(A968)</f>
        <v>8</v>
      </c>
      <c r="D968" s="9" t="n">
        <f aca="false">YEAR(A968)</f>
        <v>2024</v>
      </c>
      <c r="E968" s="9" t="n">
        <f aca="false">WEEKDAY(A968,2)</f>
        <v>2</v>
      </c>
      <c r="F968" s="10" t="n">
        <f aca="false">WEEKNUM(A968,2) - WEEKNUM(DATE(YEAR(A968),MONTH(A968),1),2) + 1</f>
        <v>4</v>
      </c>
      <c r="G968" s="10"/>
      <c r="H968" s="11" t="n">
        <v>250</v>
      </c>
      <c r="I968" s="12" t="s">
        <v>20</v>
      </c>
      <c r="J968" s="12" t="s">
        <v>49</v>
      </c>
      <c r="K968" s="12"/>
      <c r="L968" s="9" t="n">
        <f aca="false">L967+H968</f>
        <v>27655.33</v>
      </c>
      <c r="M968" s="10" t="str">
        <f aca="false">VLOOKUP(J968,RECATALOGANDO!A:C,2,0)</f>
        <v>SERVICIO DE GROOMING</v>
      </c>
      <c r="N968" s="12" t="str">
        <f aca="false">VLOOKUP(M968,RECATALOGANDO!B:C,2,0)</f>
        <v>VENTA DE SERVICIO</v>
      </c>
      <c r="O968" s="2" t="s">
        <v>39</v>
      </c>
    </row>
    <row r="969" customFormat="false" ht="13.8" hidden="false" customHeight="false" outlineLevel="0" collapsed="false">
      <c r="A969" s="8" t="n">
        <v>45524</v>
      </c>
      <c r="B969" s="9" t="n">
        <f aca="false">DAY(A969)</f>
        <v>20</v>
      </c>
      <c r="C969" s="9" t="n">
        <f aca="false">MONTH(A969)</f>
        <v>8</v>
      </c>
      <c r="D969" s="9" t="n">
        <f aca="false">YEAR(A969)</f>
        <v>2024</v>
      </c>
      <c r="E969" s="9" t="n">
        <f aca="false">WEEKDAY(A969,2)</f>
        <v>2</v>
      </c>
      <c r="F969" s="10" t="n">
        <f aca="false">WEEKNUM(A969,2) - WEEKNUM(DATE(YEAR(A969),MONTH(A969),1),2) + 1</f>
        <v>4</v>
      </c>
      <c r="G969" s="10"/>
      <c r="H969" s="11" t="n">
        <v>1043.51</v>
      </c>
      <c r="I969" s="12" t="s">
        <v>15</v>
      </c>
      <c r="J969" s="12" t="s">
        <v>72</v>
      </c>
      <c r="K969" s="12"/>
      <c r="L969" s="9" t="n">
        <f aca="false">L968+H969</f>
        <v>28698.84</v>
      </c>
      <c r="M969" s="10" t="str">
        <f aca="false">VLOOKUP(J969,RECATALOGANDO!A:C,2,0)</f>
        <v>SERVICIO DE LABORATORIO</v>
      </c>
      <c r="N969" s="12" t="str">
        <f aca="false">VLOOKUP(M969,RECATALOGANDO!B:C,2,0)</f>
        <v>VENTA DE SERVICIO</v>
      </c>
      <c r="O969" s="2" t="s">
        <v>39</v>
      </c>
    </row>
    <row r="970" customFormat="false" ht="13.8" hidden="false" customHeight="false" outlineLevel="0" collapsed="false">
      <c r="A970" s="8" t="n">
        <v>45525</v>
      </c>
      <c r="B970" s="9" t="n">
        <f aca="false">DAY(A970)</f>
        <v>21</v>
      </c>
      <c r="C970" s="9" t="n">
        <f aca="false">MONTH(A970)</f>
        <v>8</v>
      </c>
      <c r="D970" s="9" t="n">
        <f aca="false">YEAR(A970)</f>
        <v>2024</v>
      </c>
      <c r="E970" s="9" t="n">
        <f aca="false">WEEKDAY(A970,2)</f>
        <v>3</v>
      </c>
      <c r="F970" s="10" t="n">
        <f aca="false">WEEKNUM(A970,2) - WEEKNUM(DATE(YEAR(A970),MONTH(A970),1),2) + 1</f>
        <v>4</v>
      </c>
      <c r="G970" s="10"/>
      <c r="H970" s="11" t="n">
        <v>280</v>
      </c>
      <c r="I970" s="12" t="s">
        <v>15</v>
      </c>
      <c r="J970" s="12" t="s">
        <v>49</v>
      </c>
      <c r="K970" s="12"/>
      <c r="L970" s="9" t="n">
        <f aca="false">L969+H970</f>
        <v>28978.84</v>
      </c>
      <c r="M970" s="10" t="str">
        <f aca="false">VLOOKUP(J970,RECATALOGANDO!A:C,2,0)</f>
        <v>SERVICIO DE GROOMING</v>
      </c>
      <c r="N970" s="12" t="str">
        <f aca="false">VLOOKUP(M970,RECATALOGANDO!B:C,2,0)</f>
        <v>VENTA DE SERVICIO</v>
      </c>
      <c r="O970" s="2" t="s">
        <v>39</v>
      </c>
    </row>
    <row r="971" customFormat="false" ht="13.8" hidden="false" customHeight="false" outlineLevel="0" collapsed="false">
      <c r="A971" s="8" t="n">
        <v>45525</v>
      </c>
      <c r="B971" s="9" t="n">
        <f aca="false">DAY(A971)</f>
        <v>21</v>
      </c>
      <c r="C971" s="9" t="n">
        <f aca="false">MONTH(A971)</f>
        <v>8</v>
      </c>
      <c r="D971" s="9" t="n">
        <f aca="false">YEAR(A971)</f>
        <v>2024</v>
      </c>
      <c r="E971" s="9" t="n">
        <f aca="false">WEEKDAY(A971,2)</f>
        <v>3</v>
      </c>
      <c r="F971" s="10" t="n">
        <f aca="false">WEEKNUM(A971,2) - WEEKNUM(DATE(YEAR(A971),MONTH(A971),1),2) + 1</f>
        <v>4</v>
      </c>
      <c r="G971" s="10"/>
      <c r="H971" s="11" t="n">
        <v>280</v>
      </c>
      <c r="I971" s="12" t="s">
        <v>15</v>
      </c>
      <c r="J971" s="12" t="s">
        <v>49</v>
      </c>
      <c r="K971" s="12"/>
      <c r="L971" s="9" t="n">
        <f aca="false">L970+H971</f>
        <v>29258.84</v>
      </c>
      <c r="M971" s="10" t="str">
        <f aca="false">VLOOKUP(J971,RECATALOGANDO!A:C,2,0)</f>
        <v>SERVICIO DE GROOMING</v>
      </c>
      <c r="N971" s="12" t="str">
        <f aca="false">VLOOKUP(M971,RECATALOGANDO!B:C,2,0)</f>
        <v>VENTA DE SERVICIO</v>
      </c>
      <c r="O971" s="2" t="s">
        <v>39</v>
      </c>
    </row>
    <row r="972" customFormat="false" ht="13.8" hidden="false" customHeight="false" outlineLevel="0" collapsed="false">
      <c r="A972" s="8" t="n">
        <v>45526</v>
      </c>
      <c r="B972" s="9" t="n">
        <f aca="false">DAY(A972)</f>
        <v>22</v>
      </c>
      <c r="C972" s="9" t="n">
        <f aca="false">MONTH(A972)</f>
        <v>8</v>
      </c>
      <c r="D972" s="9" t="n">
        <f aca="false">YEAR(A972)</f>
        <v>2024</v>
      </c>
      <c r="E972" s="9" t="n">
        <f aca="false">WEEKDAY(A972,2)</f>
        <v>4</v>
      </c>
      <c r="F972" s="10" t="n">
        <f aca="false">WEEKNUM(A972,2) - WEEKNUM(DATE(YEAR(A972),MONTH(A972),1),2) + 1</f>
        <v>4</v>
      </c>
      <c r="G972" s="10"/>
      <c r="H972" s="11" t="n">
        <v>1800</v>
      </c>
      <c r="I972" s="12" t="s">
        <v>20</v>
      </c>
      <c r="J972" s="12" t="s">
        <v>44</v>
      </c>
      <c r="K972" s="12"/>
      <c r="L972" s="9" t="n">
        <f aca="false">L971+H972</f>
        <v>31058.84</v>
      </c>
      <c r="M972" s="10" t="str">
        <f aca="false">VLOOKUP(J972,RECATALOGANDO!A:C,2,0)</f>
        <v>HONORARIOS MEDICOS</v>
      </c>
      <c r="N972" s="12" t="str">
        <f aca="false">VLOOKUP(M972,RECATALOGANDO!B:C,2,0)</f>
        <v>VENTA DE SERVICIO</v>
      </c>
      <c r="O972" s="2" t="s">
        <v>39</v>
      </c>
    </row>
    <row r="973" customFormat="false" ht="13.8" hidden="false" customHeight="false" outlineLevel="0" collapsed="false">
      <c r="A973" s="8" t="n">
        <v>45527</v>
      </c>
      <c r="B973" s="9" t="n">
        <f aca="false">DAY(A973)</f>
        <v>23</v>
      </c>
      <c r="C973" s="9" t="n">
        <f aca="false">MONTH(A973)</f>
        <v>8</v>
      </c>
      <c r="D973" s="9" t="n">
        <f aca="false">YEAR(A973)</f>
        <v>2024</v>
      </c>
      <c r="E973" s="9" t="n">
        <f aca="false">WEEKDAY(A973,2)</f>
        <v>5</v>
      </c>
      <c r="F973" s="10" t="n">
        <f aca="false">WEEKNUM(A973,2) - WEEKNUM(DATE(YEAR(A973),MONTH(A973),1),2) + 1</f>
        <v>4</v>
      </c>
      <c r="G973" s="10"/>
      <c r="H973" s="11" t="n">
        <v>4400</v>
      </c>
      <c r="I973" s="12" t="s">
        <v>20</v>
      </c>
      <c r="J973" s="12" t="s">
        <v>44</v>
      </c>
      <c r="K973" s="12"/>
      <c r="L973" s="9" t="n">
        <f aca="false">L972+H973</f>
        <v>35458.84</v>
      </c>
      <c r="M973" s="10" t="str">
        <f aca="false">VLOOKUP(J973,RECATALOGANDO!A:C,2,0)</f>
        <v>HONORARIOS MEDICOS</v>
      </c>
      <c r="N973" s="12" t="str">
        <f aca="false">VLOOKUP(M973,RECATALOGANDO!B:C,2,0)</f>
        <v>VENTA DE SERVICIO</v>
      </c>
      <c r="O973" s="2" t="s">
        <v>39</v>
      </c>
    </row>
    <row r="974" customFormat="false" ht="13.8" hidden="false" customHeight="false" outlineLevel="0" collapsed="false">
      <c r="A974" s="8" t="n">
        <v>45529</v>
      </c>
      <c r="B974" s="9" t="n">
        <f aca="false">DAY(A974)</f>
        <v>25</v>
      </c>
      <c r="C974" s="9" t="n">
        <f aca="false">MONTH(A974)</f>
        <v>8</v>
      </c>
      <c r="D974" s="9" t="n">
        <f aca="false">YEAR(A974)</f>
        <v>2024</v>
      </c>
      <c r="E974" s="9" t="n">
        <f aca="false">WEEKDAY(A974,2)</f>
        <v>7</v>
      </c>
      <c r="F974" s="10" t="n">
        <f aca="false">WEEKNUM(A974,2) - WEEKNUM(DATE(YEAR(A974),MONTH(A974),1),2) + 1</f>
        <v>4</v>
      </c>
      <c r="G974" s="10"/>
      <c r="H974" s="11" t="n">
        <v>575.67</v>
      </c>
      <c r="I974" s="12" t="s">
        <v>15</v>
      </c>
      <c r="J974" s="12" t="s">
        <v>45</v>
      </c>
      <c r="K974" s="12"/>
      <c r="L974" s="9" t="n">
        <f aca="false">L973+H974</f>
        <v>36034.51</v>
      </c>
      <c r="M974" s="10" t="str">
        <f aca="false">VLOOKUP(J974,RECATALOGANDO!A:C,2,0)</f>
        <v>VENTA DE MEDICAMENTO</v>
      </c>
      <c r="N974" s="12" t="str">
        <f aca="false">VLOOKUP(M974,RECATALOGANDO!B:C,2,0)</f>
        <v>VENTA DE PRODUCTO</v>
      </c>
      <c r="O974" s="2" t="s">
        <v>39</v>
      </c>
    </row>
    <row r="975" customFormat="false" ht="13.8" hidden="false" customHeight="false" outlineLevel="0" collapsed="false">
      <c r="A975" s="8" t="n">
        <v>45530</v>
      </c>
      <c r="B975" s="9" t="n">
        <f aca="false">DAY(A975)</f>
        <v>26</v>
      </c>
      <c r="C975" s="9" t="n">
        <f aca="false">MONTH(A975)</f>
        <v>8</v>
      </c>
      <c r="D975" s="9" t="n">
        <f aca="false">YEAR(A975)</f>
        <v>2024</v>
      </c>
      <c r="E975" s="9" t="n">
        <f aca="false">WEEKDAY(A975,2)</f>
        <v>1</v>
      </c>
      <c r="F975" s="10" t="n">
        <f aca="false">WEEKNUM(A975,2) - WEEKNUM(DATE(YEAR(A975),MONTH(A975),1),2) + 1</f>
        <v>5</v>
      </c>
      <c r="G975" s="10"/>
      <c r="H975" s="11" t="n">
        <v>432</v>
      </c>
      <c r="I975" s="12" t="s">
        <v>20</v>
      </c>
      <c r="J975" s="12" t="s">
        <v>45</v>
      </c>
      <c r="K975" s="12"/>
      <c r="L975" s="9" t="n">
        <f aca="false">L974+H975</f>
        <v>36466.51</v>
      </c>
      <c r="M975" s="10" t="str">
        <f aca="false">VLOOKUP(J975,RECATALOGANDO!A:C,2,0)</f>
        <v>VENTA DE MEDICAMENTO</v>
      </c>
      <c r="N975" s="12" t="str">
        <f aca="false">VLOOKUP(M975,RECATALOGANDO!B:C,2,0)</f>
        <v>VENTA DE PRODUCTO</v>
      </c>
      <c r="O975" s="2" t="s">
        <v>39</v>
      </c>
    </row>
    <row r="976" customFormat="false" ht="13.8" hidden="false" customHeight="false" outlineLevel="0" collapsed="false">
      <c r="A976" s="8" t="n">
        <v>45530</v>
      </c>
      <c r="B976" s="9" t="n">
        <f aca="false">DAY(A976)</f>
        <v>26</v>
      </c>
      <c r="C976" s="9" t="n">
        <f aca="false">MONTH(A976)</f>
        <v>8</v>
      </c>
      <c r="D976" s="9" t="n">
        <f aca="false">YEAR(A976)</f>
        <v>2024</v>
      </c>
      <c r="E976" s="9" t="n">
        <f aca="false">WEEKDAY(A976,2)</f>
        <v>1</v>
      </c>
      <c r="F976" s="10" t="n">
        <f aca="false">WEEKNUM(A976,2) - WEEKNUM(DATE(YEAR(A976),MONTH(A976),1),2) + 1</f>
        <v>5</v>
      </c>
      <c r="G976" s="10"/>
      <c r="H976" s="11" t="n">
        <v>1000</v>
      </c>
      <c r="I976" s="12" t="s">
        <v>20</v>
      </c>
      <c r="J976" s="12" t="s">
        <v>51</v>
      </c>
      <c r="K976" s="12"/>
      <c r="L976" s="9" t="n">
        <f aca="false">L975+H976</f>
        <v>37466.51</v>
      </c>
      <c r="M976" s="10" t="str">
        <f aca="false">VLOOKUP(J976,RECATALOGANDO!A:C,2,0)</f>
        <v>VENTA DE ALIMENTO</v>
      </c>
      <c r="N976" s="12" t="str">
        <f aca="false">VLOOKUP(M976,RECATALOGANDO!B:C,2,0)</f>
        <v>VENTA DE PRODUCTO</v>
      </c>
      <c r="O976" s="2" t="s">
        <v>39</v>
      </c>
    </row>
    <row r="977" customFormat="false" ht="13.8" hidden="false" customHeight="false" outlineLevel="0" collapsed="false">
      <c r="A977" s="8" t="n">
        <v>45530</v>
      </c>
      <c r="B977" s="9" t="n">
        <f aca="false">DAY(A977)</f>
        <v>26</v>
      </c>
      <c r="C977" s="9" t="n">
        <f aca="false">MONTH(A977)</f>
        <v>8</v>
      </c>
      <c r="D977" s="9" t="n">
        <f aca="false">YEAR(A977)</f>
        <v>2024</v>
      </c>
      <c r="E977" s="9" t="n">
        <f aca="false">WEEKDAY(A977,2)</f>
        <v>1</v>
      </c>
      <c r="F977" s="10" t="n">
        <f aca="false">WEEKNUM(A977,2) - WEEKNUM(DATE(YEAR(A977),MONTH(A977),1),2) + 1</f>
        <v>5</v>
      </c>
      <c r="G977" s="10"/>
      <c r="H977" s="11" t="n">
        <v>2289</v>
      </c>
      <c r="I977" s="12" t="s">
        <v>20</v>
      </c>
      <c r="J977" s="12" t="s">
        <v>51</v>
      </c>
      <c r="K977" s="12"/>
      <c r="L977" s="9" t="n">
        <f aca="false">L976+H977</f>
        <v>39755.51</v>
      </c>
      <c r="M977" s="10" t="str">
        <f aca="false">VLOOKUP(J977,RECATALOGANDO!A:C,2,0)</f>
        <v>VENTA DE ALIMENTO</v>
      </c>
      <c r="N977" s="12" t="str">
        <f aca="false">VLOOKUP(M977,RECATALOGANDO!B:C,2,0)</f>
        <v>VENTA DE PRODUCTO</v>
      </c>
      <c r="O977" s="2" t="s">
        <v>39</v>
      </c>
    </row>
    <row r="978" customFormat="false" ht="13.8" hidden="false" customHeight="false" outlineLevel="0" collapsed="false">
      <c r="A978" s="8" t="n">
        <v>45530</v>
      </c>
      <c r="B978" s="9" t="n">
        <f aca="false">DAY(A978)</f>
        <v>26</v>
      </c>
      <c r="C978" s="9" t="n">
        <f aca="false">MONTH(A978)</f>
        <v>8</v>
      </c>
      <c r="D978" s="9" t="n">
        <f aca="false">YEAR(A978)</f>
        <v>2024</v>
      </c>
      <c r="E978" s="9" t="n">
        <f aca="false">WEEKDAY(A978,2)</f>
        <v>1</v>
      </c>
      <c r="F978" s="10" t="n">
        <f aca="false">WEEKNUM(A978,2) - WEEKNUM(DATE(YEAR(A978),MONTH(A978),1),2) + 1</f>
        <v>5</v>
      </c>
      <c r="G978" s="10"/>
      <c r="H978" s="11" t="n">
        <v>385</v>
      </c>
      <c r="I978" s="12" t="s">
        <v>20</v>
      </c>
      <c r="J978" s="12" t="s">
        <v>49</v>
      </c>
      <c r="K978" s="12"/>
      <c r="L978" s="9" t="n">
        <f aca="false">L977+H978</f>
        <v>40140.51</v>
      </c>
      <c r="M978" s="10" t="str">
        <f aca="false">VLOOKUP(J978,RECATALOGANDO!A:C,2,0)</f>
        <v>SERVICIO DE GROOMING</v>
      </c>
      <c r="N978" s="12" t="str">
        <f aca="false">VLOOKUP(M978,RECATALOGANDO!B:C,2,0)</f>
        <v>VENTA DE SERVICIO</v>
      </c>
      <c r="O978" s="2" t="s">
        <v>39</v>
      </c>
    </row>
    <row r="979" customFormat="false" ht="13.8" hidden="false" customHeight="false" outlineLevel="0" collapsed="false">
      <c r="A979" s="8" t="n">
        <v>45530</v>
      </c>
      <c r="B979" s="9" t="n">
        <f aca="false">DAY(A979)</f>
        <v>26</v>
      </c>
      <c r="C979" s="9" t="n">
        <f aca="false">MONTH(A979)</f>
        <v>8</v>
      </c>
      <c r="D979" s="9" t="n">
        <f aca="false">YEAR(A979)</f>
        <v>2024</v>
      </c>
      <c r="E979" s="9" t="n">
        <f aca="false">WEEKDAY(A979,2)</f>
        <v>1</v>
      </c>
      <c r="F979" s="10" t="n">
        <f aca="false">WEEKNUM(A979,2) - WEEKNUM(DATE(YEAR(A979),MONTH(A979),1),2) + 1</f>
        <v>5</v>
      </c>
      <c r="G979" s="10"/>
      <c r="H979" s="11" t="n">
        <v>400</v>
      </c>
      <c r="I979" s="12" t="s">
        <v>20</v>
      </c>
      <c r="J979" s="12" t="s">
        <v>49</v>
      </c>
      <c r="K979" s="12"/>
      <c r="L979" s="9" t="n">
        <f aca="false">L978+H979</f>
        <v>40540.51</v>
      </c>
      <c r="M979" s="10" t="str">
        <f aca="false">VLOOKUP(J979,RECATALOGANDO!A:C,2,0)</f>
        <v>SERVICIO DE GROOMING</v>
      </c>
      <c r="N979" s="12" t="str">
        <f aca="false">VLOOKUP(M979,RECATALOGANDO!B:C,2,0)</f>
        <v>VENTA DE SERVICIO</v>
      </c>
      <c r="O979" s="2" t="s">
        <v>39</v>
      </c>
    </row>
    <row r="980" customFormat="false" ht="13.8" hidden="false" customHeight="false" outlineLevel="0" collapsed="false">
      <c r="A980" s="8" t="n">
        <v>45530</v>
      </c>
      <c r="B980" s="9" t="n">
        <f aca="false">DAY(A980)</f>
        <v>26</v>
      </c>
      <c r="C980" s="9" t="n">
        <f aca="false">MONTH(A980)</f>
        <v>8</v>
      </c>
      <c r="D980" s="9" t="n">
        <f aca="false">YEAR(A980)</f>
        <v>2024</v>
      </c>
      <c r="E980" s="9" t="n">
        <f aca="false">WEEKDAY(A980,2)</f>
        <v>1</v>
      </c>
      <c r="F980" s="10" t="n">
        <f aca="false">WEEKNUM(A980,2) - WEEKNUM(DATE(YEAR(A980),MONTH(A980),1),2) + 1</f>
        <v>5</v>
      </c>
      <c r="G980" s="10"/>
      <c r="H980" s="11" t="n">
        <v>2940</v>
      </c>
      <c r="I980" s="12" t="s">
        <v>20</v>
      </c>
      <c r="J980" s="12" t="s">
        <v>44</v>
      </c>
      <c r="K980" s="12"/>
      <c r="L980" s="9" t="n">
        <f aca="false">L979+H980</f>
        <v>43480.51</v>
      </c>
      <c r="M980" s="10" t="str">
        <f aca="false">VLOOKUP(J980,RECATALOGANDO!A:C,2,0)</f>
        <v>HONORARIOS MEDICOS</v>
      </c>
      <c r="N980" s="12" t="str">
        <f aca="false">VLOOKUP(M980,RECATALOGANDO!B:C,2,0)</f>
        <v>VENTA DE SERVICIO</v>
      </c>
      <c r="O980" s="2" t="s">
        <v>39</v>
      </c>
    </row>
    <row r="981" customFormat="false" ht="13.8" hidden="false" customHeight="false" outlineLevel="0" collapsed="false">
      <c r="A981" s="8" t="n">
        <v>45532</v>
      </c>
      <c r="B981" s="9" t="n">
        <f aca="false">DAY(A981)</f>
        <v>28</v>
      </c>
      <c r="C981" s="9" t="n">
        <f aca="false">MONTH(A981)</f>
        <v>8</v>
      </c>
      <c r="D981" s="9" t="n">
        <f aca="false">YEAR(A981)</f>
        <v>2024</v>
      </c>
      <c r="E981" s="9" t="n">
        <f aca="false">WEEKDAY(A981,2)</f>
        <v>3</v>
      </c>
      <c r="F981" s="10" t="n">
        <f aca="false">WEEKNUM(A981,2) - WEEKNUM(DATE(YEAR(A981),MONTH(A981),1),2) + 1</f>
        <v>5</v>
      </c>
      <c r="G981" s="10"/>
      <c r="H981" s="11" t="n">
        <v>1420</v>
      </c>
      <c r="I981" s="12" t="s">
        <v>20</v>
      </c>
      <c r="J981" s="12" t="s">
        <v>45</v>
      </c>
      <c r="K981" s="12"/>
      <c r="L981" s="9" t="n">
        <f aca="false">L980+H981</f>
        <v>44900.51</v>
      </c>
      <c r="M981" s="10" t="str">
        <f aca="false">VLOOKUP(J981,RECATALOGANDO!A:C,2,0)</f>
        <v>VENTA DE MEDICAMENTO</v>
      </c>
      <c r="N981" s="12" t="str">
        <f aca="false">VLOOKUP(M981,RECATALOGANDO!B:C,2,0)</f>
        <v>VENTA DE PRODUCTO</v>
      </c>
      <c r="O981" s="2" t="s">
        <v>39</v>
      </c>
    </row>
    <row r="982" customFormat="false" ht="13.8" hidden="false" customHeight="false" outlineLevel="0" collapsed="false">
      <c r="A982" s="8" t="n">
        <v>45533</v>
      </c>
      <c r="B982" s="9" t="n">
        <f aca="false">DAY(A982)</f>
        <v>29</v>
      </c>
      <c r="C982" s="9" t="n">
        <f aca="false">MONTH(A982)</f>
        <v>8</v>
      </c>
      <c r="D982" s="9" t="n">
        <f aca="false">YEAR(A982)</f>
        <v>2024</v>
      </c>
      <c r="E982" s="9" t="n">
        <f aca="false">WEEKDAY(A982,2)</f>
        <v>4</v>
      </c>
      <c r="F982" s="10" t="n">
        <f aca="false">WEEKNUM(A982,2) - WEEKNUM(DATE(YEAR(A982),MONTH(A982),1),2) + 1</f>
        <v>5</v>
      </c>
      <c r="G982" s="10"/>
      <c r="H982" s="11" t="n">
        <v>3410</v>
      </c>
      <c r="I982" s="12" t="s">
        <v>20</v>
      </c>
      <c r="J982" s="12" t="s">
        <v>51</v>
      </c>
      <c r="K982" s="12"/>
      <c r="L982" s="9" t="n">
        <f aca="false">L981+H982</f>
        <v>48310.51</v>
      </c>
      <c r="M982" s="10" t="str">
        <f aca="false">VLOOKUP(J982,RECATALOGANDO!A:C,2,0)</f>
        <v>VENTA DE ALIMENTO</v>
      </c>
      <c r="N982" s="12" t="str">
        <f aca="false">VLOOKUP(M982,RECATALOGANDO!B:C,2,0)</f>
        <v>VENTA DE PRODUCTO</v>
      </c>
      <c r="O982" s="2" t="s">
        <v>39</v>
      </c>
    </row>
    <row r="983" customFormat="false" ht="13.8" hidden="false" customHeight="false" outlineLevel="0" collapsed="false">
      <c r="A983" s="8" t="n">
        <v>45533</v>
      </c>
      <c r="B983" s="9" t="n">
        <f aca="false">DAY(A983)</f>
        <v>29</v>
      </c>
      <c r="C983" s="9" t="n">
        <f aca="false">MONTH(A983)</f>
        <v>8</v>
      </c>
      <c r="D983" s="9" t="n">
        <f aca="false">YEAR(A983)</f>
        <v>2024</v>
      </c>
      <c r="E983" s="9" t="n">
        <f aca="false">WEEKDAY(A983,2)</f>
        <v>4</v>
      </c>
      <c r="F983" s="10" t="n">
        <f aca="false">WEEKNUM(A983,2) - WEEKNUM(DATE(YEAR(A983),MONTH(A983),1),2) + 1</f>
        <v>5</v>
      </c>
      <c r="G983" s="10"/>
      <c r="H983" s="11" t="n">
        <v>300</v>
      </c>
      <c r="I983" s="12" t="s">
        <v>20</v>
      </c>
      <c r="J983" s="12" t="s">
        <v>49</v>
      </c>
      <c r="K983" s="12"/>
      <c r="L983" s="9" t="n">
        <f aca="false">L982+H983</f>
        <v>48610.51</v>
      </c>
      <c r="M983" s="10" t="str">
        <f aca="false">VLOOKUP(J983,RECATALOGANDO!A:C,2,0)</f>
        <v>SERVICIO DE GROOMING</v>
      </c>
      <c r="N983" s="12" t="str">
        <f aca="false">VLOOKUP(M983,RECATALOGANDO!B:C,2,0)</f>
        <v>VENTA DE SERVICIO</v>
      </c>
      <c r="O983" s="2" t="s">
        <v>39</v>
      </c>
    </row>
    <row r="984" customFormat="false" ht="13.8" hidden="false" customHeight="false" outlineLevel="0" collapsed="false">
      <c r="A984" s="8" t="n">
        <v>45533</v>
      </c>
      <c r="B984" s="9" t="n">
        <f aca="false">DAY(A984)</f>
        <v>29</v>
      </c>
      <c r="C984" s="9" t="n">
        <f aca="false">MONTH(A984)</f>
        <v>8</v>
      </c>
      <c r="D984" s="9" t="n">
        <f aca="false">YEAR(A984)</f>
        <v>2024</v>
      </c>
      <c r="E984" s="9" t="n">
        <f aca="false">WEEKDAY(A984,2)</f>
        <v>4</v>
      </c>
      <c r="F984" s="10" t="n">
        <f aca="false">WEEKNUM(A984,2) - WEEKNUM(DATE(YEAR(A984),MONTH(A984),1),2) + 1</f>
        <v>5</v>
      </c>
      <c r="G984" s="10"/>
      <c r="H984" s="11" t="n">
        <v>4230</v>
      </c>
      <c r="I984" s="12" t="s">
        <v>20</v>
      </c>
      <c r="J984" s="12" t="s">
        <v>44</v>
      </c>
      <c r="K984" s="12"/>
      <c r="L984" s="9" t="n">
        <f aca="false">L983+H984</f>
        <v>52840.51</v>
      </c>
      <c r="M984" s="10" t="str">
        <f aca="false">VLOOKUP(J984,RECATALOGANDO!A:C,2,0)</f>
        <v>HONORARIOS MEDICOS</v>
      </c>
      <c r="N984" s="12" t="str">
        <f aca="false">VLOOKUP(M984,RECATALOGANDO!B:C,2,0)</f>
        <v>VENTA DE SERVICIO</v>
      </c>
      <c r="O984" s="2" t="s">
        <v>39</v>
      </c>
    </row>
    <row r="985" customFormat="false" ht="13.8" hidden="false" customHeight="false" outlineLevel="0" collapsed="false">
      <c r="A985" s="8" t="n">
        <v>45534</v>
      </c>
      <c r="B985" s="9" t="n">
        <f aca="false">DAY(A985)</f>
        <v>30</v>
      </c>
      <c r="C985" s="9" t="n">
        <f aca="false">MONTH(A985)</f>
        <v>8</v>
      </c>
      <c r="D985" s="9" t="n">
        <f aca="false">YEAR(A985)</f>
        <v>2024</v>
      </c>
      <c r="E985" s="9" t="n">
        <f aca="false">WEEKDAY(A985,2)</f>
        <v>5</v>
      </c>
      <c r="F985" s="10" t="n">
        <f aca="false">WEEKNUM(A985,2) - WEEKNUM(DATE(YEAR(A985),MONTH(A985),1),2) + 1</f>
        <v>5</v>
      </c>
      <c r="G985" s="10" t="n">
        <v>2</v>
      </c>
      <c r="H985" s="11" t="n">
        <v>425</v>
      </c>
      <c r="I985" s="12" t="s">
        <v>20</v>
      </c>
      <c r="J985" s="12" t="s">
        <v>45</v>
      </c>
      <c r="K985" s="12"/>
      <c r="L985" s="9" t="n">
        <f aca="false">L984+H985</f>
        <v>53265.51</v>
      </c>
      <c r="M985" s="10" t="str">
        <f aca="false">VLOOKUP(J985,RECATALOGANDO!A:C,2,0)</f>
        <v>VENTA DE MEDICAMENTO</v>
      </c>
      <c r="N985" s="12" t="str">
        <f aca="false">VLOOKUP(M985,RECATALOGANDO!B:C,2,0)</f>
        <v>VENTA DE PRODUCTO</v>
      </c>
      <c r="O985" s="2" t="s">
        <v>39</v>
      </c>
    </row>
    <row r="986" customFormat="false" ht="13.8" hidden="false" customHeight="false" outlineLevel="0" collapsed="false">
      <c r="A986" s="8" t="n">
        <v>45534</v>
      </c>
      <c r="B986" s="9" t="n">
        <f aca="false">DAY(A986)</f>
        <v>30</v>
      </c>
      <c r="C986" s="9" t="n">
        <f aca="false">MONTH(A986)</f>
        <v>8</v>
      </c>
      <c r="D986" s="9" t="n">
        <f aca="false">YEAR(A986)</f>
        <v>2024</v>
      </c>
      <c r="E986" s="9" t="n">
        <f aca="false">WEEKDAY(A986,2)</f>
        <v>5</v>
      </c>
      <c r="F986" s="10" t="n">
        <f aca="false">WEEKNUM(A986,2) - WEEKNUM(DATE(YEAR(A986),MONTH(A986),1),2) + 1</f>
        <v>5</v>
      </c>
      <c r="G986" s="10" t="n">
        <v>2</v>
      </c>
      <c r="H986" s="11" t="n">
        <v>1100</v>
      </c>
      <c r="I986" s="12" t="s">
        <v>20</v>
      </c>
      <c r="J986" s="12" t="s">
        <v>45</v>
      </c>
      <c r="K986" s="12"/>
      <c r="L986" s="9" t="n">
        <f aca="false">L985+H986</f>
        <v>54365.51</v>
      </c>
      <c r="M986" s="10" t="str">
        <f aca="false">VLOOKUP(J986,RECATALOGANDO!A:C,2,0)</f>
        <v>VENTA DE MEDICAMENTO</v>
      </c>
      <c r="N986" s="12" t="str">
        <f aca="false">VLOOKUP(M986,RECATALOGANDO!B:C,2,0)</f>
        <v>VENTA DE PRODUCTO</v>
      </c>
      <c r="O986" s="2" t="s">
        <v>39</v>
      </c>
    </row>
    <row r="987" customFormat="false" ht="13.8" hidden="false" customHeight="false" outlineLevel="0" collapsed="false">
      <c r="A987" s="8" t="n">
        <v>45534</v>
      </c>
      <c r="B987" s="9" t="n">
        <f aca="false">DAY(A987)</f>
        <v>30</v>
      </c>
      <c r="C987" s="9" t="n">
        <f aca="false">MONTH(A987)</f>
        <v>8</v>
      </c>
      <c r="D987" s="9" t="n">
        <f aca="false">YEAR(A987)</f>
        <v>2024</v>
      </c>
      <c r="E987" s="9" t="n">
        <f aca="false">WEEKDAY(A987,2)</f>
        <v>5</v>
      </c>
      <c r="F987" s="10" t="n">
        <f aca="false">WEEKNUM(A987,2) - WEEKNUM(DATE(YEAR(A987),MONTH(A987),1),2) + 1</f>
        <v>5</v>
      </c>
      <c r="G987" s="10" t="n">
        <v>2</v>
      </c>
      <c r="H987" s="11" t="n">
        <v>1762</v>
      </c>
      <c r="I987" s="12" t="s">
        <v>20</v>
      </c>
      <c r="J987" s="12" t="s">
        <v>45</v>
      </c>
      <c r="K987" s="12"/>
      <c r="L987" s="9" t="n">
        <f aca="false">L986+H987</f>
        <v>56127.51</v>
      </c>
      <c r="M987" s="10" t="str">
        <f aca="false">VLOOKUP(J987,RECATALOGANDO!A:C,2,0)</f>
        <v>VENTA DE MEDICAMENTO</v>
      </c>
      <c r="N987" s="12" t="str">
        <f aca="false">VLOOKUP(M987,RECATALOGANDO!B:C,2,0)</f>
        <v>VENTA DE PRODUCTO</v>
      </c>
      <c r="O987" s="2" t="s">
        <v>39</v>
      </c>
    </row>
    <row r="988" customFormat="false" ht="13.8" hidden="false" customHeight="false" outlineLevel="0" collapsed="false">
      <c r="A988" s="8" t="n">
        <v>45534</v>
      </c>
      <c r="B988" s="9" t="n">
        <f aca="false">DAY(A988)</f>
        <v>30</v>
      </c>
      <c r="C988" s="9" t="n">
        <f aca="false">MONTH(A988)</f>
        <v>8</v>
      </c>
      <c r="D988" s="9" t="n">
        <f aca="false">YEAR(A988)</f>
        <v>2024</v>
      </c>
      <c r="E988" s="9" t="n">
        <f aca="false">WEEKDAY(A988,2)</f>
        <v>5</v>
      </c>
      <c r="F988" s="10" t="n">
        <f aca="false">WEEKNUM(A988,2) - WEEKNUM(DATE(YEAR(A988),MONTH(A988),1),2) + 1</f>
        <v>5</v>
      </c>
      <c r="G988" s="10" t="n">
        <v>2</v>
      </c>
      <c r="H988" s="11" t="n">
        <v>200</v>
      </c>
      <c r="I988" s="12" t="s">
        <v>20</v>
      </c>
      <c r="J988" s="12" t="s">
        <v>49</v>
      </c>
      <c r="K988" s="12"/>
      <c r="L988" s="9" t="n">
        <f aca="false">L987+H988</f>
        <v>56327.51</v>
      </c>
      <c r="M988" s="10" t="str">
        <f aca="false">VLOOKUP(J988,RECATALOGANDO!A:C,2,0)</f>
        <v>SERVICIO DE GROOMING</v>
      </c>
      <c r="N988" s="12" t="str">
        <f aca="false">VLOOKUP(M988,RECATALOGANDO!B:C,2,0)</f>
        <v>VENTA DE SERVICIO</v>
      </c>
      <c r="O988" s="2" t="s">
        <v>39</v>
      </c>
    </row>
    <row r="989" customFormat="false" ht="13.8" hidden="false" customHeight="false" outlineLevel="0" collapsed="false">
      <c r="A989" s="8" t="n">
        <v>45534</v>
      </c>
      <c r="B989" s="9" t="n">
        <f aca="false">DAY(A989)</f>
        <v>30</v>
      </c>
      <c r="C989" s="9" t="n">
        <f aca="false">MONTH(A989)</f>
        <v>8</v>
      </c>
      <c r="D989" s="9" t="n">
        <f aca="false">YEAR(A989)</f>
        <v>2024</v>
      </c>
      <c r="E989" s="9" t="n">
        <f aca="false">WEEKDAY(A989,2)</f>
        <v>5</v>
      </c>
      <c r="F989" s="10" t="n">
        <f aca="false">WEEKNUM(A989,2) - WEEKNUM(DATE(YEAR(A989),MONTH(A989),1),2) + 1</f>
        <v>5</v>
      </c>
      <c r="G989" s="10" t="n">
        <v>2</v>
      </c>
      <c r="H989" s="11" t="n">
        <v>240</v>
      </c>
      <c r="I989" s="12" t="s">
        <v>20</v>
      </c>
      <c r="J989" s="12" t="s">
        <v>44</v>
      </c>
      <c r="K989" s="12"/>
      <c r="L989" s="9" t="n">
        <f aca="false">L988+H989</f>
        <v>56567.51</v>
      </c>
      <c r="M989" s="10" t="str">
        <f aca="false">VLOOKUP(J989,RECATALOGANDO!A:C,2,0)</f>
        <v>HONORARIOS MEDICOS</v>
      </c>
      <c r="N989" s="12" t="str">
        <f aca="false">VLOOKUP(M989,RECATALOGANDO!B:C,2,0)</f>
        <v>VENTA DE SERVICIO</v>
      </c>
      <c r="O989" s="2" t="s">
        <v>39</v>
      </c>
    </row>
    <row r="990" customFormat="false" ht="13.8" hidden="false" customHeight="false" outlineLevel="0" collapsed="false">
      <c r="A990" s="8" t="n">
        <v>45534</v>
      </c>
      <c r="B990" s="9" t="n">
        <f aca="false">DAY(A990)</f>
        <v>30</v>
      </c>
      <c r="C990" s="9" t="n">
        <f aca="false">MONTH(A990)</f>
        <v>8</v>
      </c>
      <c r="D990" s="9" t="n">
        <f aca="false">YEAR(A990)</f>
        <v>2024</v>
      </c>
      <c r="E990" s="9" t="n">
        <f aca="false">WEEKDAY(A990,2)</f>
        <v>5</v>
      </c>
      <c r="F990" s="10" t="n">
        <f aca="false">WEEKNUM(A990,2) - WEEKNUM(DATE(YEAR(A990),MONTH(A990),1),2) + 1</f>
        <v>5</v>
      </c>
      <c r="G990" s="10" t="n">
        <v>2</v>
      </c>
      <c r="H990" s="11" t="n">
        <v>250</v>
      </c>
      <c r="I990" s="12" t="s">
        <v>20</v>
      </c>
      <c r="J990" s="12" t="s">
        <v>49</v>
      </c>
      <c r="K990" s="12"/>
      <c r="L990" s="9" t="n">
        <f aca="false">L989+H990</f>
        <v>56817.51</v>
      </c>
      <c r="M990" s="10" t="str">
        <f aca="false">VLOOKUP(J990,RECATALOGANDO!A:C,2,0)</f>
        <v>SERVICIO DE GROOMING</v>
      </c>
      <c r="N990" s="12" t="str">
        <f aca="false">VLOOKUP(M990,RECATALOGANDO!B:C,2,0)</f>
        <v>VENTA DE SERVICIO</v>
      </c>
      <c r="O990" s="2" t="s">
        <v>39</v>
      </c>
    </row>
    <row r="991" customFormat="false" ht="13.8" hidden="false" customHeight="false" outlineLevel="0" collapsed="false">
      <c r="A991" s="8" t="n">
        <v>45534</v>
      </c>
      <c r="B991" s="9" t="n">
        <f aca="false">DAY(A991)</f>
        <v>30</v>
      </c>
      <c r="C991" s="9" t="n">
        <f aca="false">MONTH(A991)</f>
        <v>8</v>
      </c>
      <c r="D991" s="9" t="n">
        <f aca="false">YEAR(A991)</f>
        <v>2024</v>
      </c>
      <c r="E991" s="9" t="n">
        <f aca="false">WEEKDAY(A991,2)</f>
        <v>5</v>
      </c>
      <c r="F991" s="10" t="n">
        <f aca="false">WEEKNUM(A991,2) - WEEKNUM(DATE(YEAR(A991),MONTH(A991),1),2) + 1</f>
        <v>5</v>
      </c>
      <c r="G991" s="10" t="n">
        <v>2</v>
      </c>
      <c r="H991" s="11" t="n">
        <v>1000</v>
      </c>
      <c r="I991" s="12" t="s">
        <v>20</v>
      </c>
      <c r="J991" s="12" t="s">
        <v>44</v>
      </c>
      <c r="K991" s="12"/>
      <c r="L991" s="9" t="n">
        <f aca="false">L990+H991</f>
        <v>57817.51</v>
      </c>
      <c r="M991" s="10" t="str">
        <f aca="false">VLOOKUP(J991,RECATALOGANDO!A:C,2,0)</f>
        <v>HONORARIOS MEDICOS</v>
      </c>
      <c r="N991" s="12" t="str">
        <f aca="false">VLOOKUP(M991,RECATALOGANDO!B:C,2,0)</f>
        <v>VENTA DE SERVICIO</v>
      </c>
      <c r="O991" s="2" t="s">
        <v>39</v>
      </c>
    </row>
    <row r="992" customFormat="false" ht="13.8" hidden="false" customHeight="false" outlineLevel="0" collapsed="false">
      <c r="A992" s="8" t="n">
        <v>45537</v>
      </c>
      <c r="B992" s="9" t="n">
        <f aca="false">DAY(A992)</f>
        <v>2</v>
      </c>
      <c r="C992" s="9" t="n">
        <f aca="false">MONTH(A992)</f>
        <v>9</v>
      </c>
      <c r="D992" s="9" t="n">
        <f aca="false">YEAR(A992)</f>
        <v>2024</v>
      </c>
      <c r="E992" s="9" t="n">
        <f aca="false">WEEKDAY(A992,2)</f>
        <v>1</v>
      </c>
      <c r="F992" s="10" t="n">
        <f aca="false">WEEKNUM(A992,2) - WEEKNUM(DATE(YEAR(A992),MONTH(A992),1),2) + 1</f>
        <v>2</v>
      </c>
      <c r="G992" s="10"/>
      <c r="H992" s="11" t="n">
        <v>90</v>
      </c>
      <c r="I992" s="12" t="s">
        <v>20</v>
      </c>
      <c r="J992" s="12" t="s">
        <v>45</v>
      </c>
      <c r="K992" s="12"/>
      <c r="L992" s="9" t="n">
        <f aca="false">H992</f>
        <v>90</v>
      </c>
      <c r="M992" s="10" t="str">
        <f aca="false">VLOOKUP(J992,RECATALOGANDO!A:C,2,0)</f>
        <v>VENTA DE MEDICAMENTO</v>
      </c>
      <c r="N992" s="12" t="str">
        <f aca="false">VLOOKUP(M992,RECATALOGANDO!B:C,2,0)</f>
        <v>VENTA DE PRODUCTO</v>
      </c>
      <c r="O992" s="2" t="s">
        <v>39</v>
      </c>
    </row>
    <row r="993" customFormat="false" ht="13.8" hidden="false" customHeight="false" outlineLevel="0" collapsed="false">
      <c r="A993" s="8" t="n">
        <v>45537</v>
      </c>
      <c r="B993" s="9" t="n">
        <f aca="false">DAY(A993)</f>
        <v>2</v>
      </c>
      <c r="C993" s="9" t="n">
        <f aca="false">MONTH(A993)</f>
        <v>9</v>
      </c>
      <c r="D993" s="9" t="n">
        <f aca="false">YEAR(A993)</f>
        <v>2024</v>
      </c>
      <c r="E993" s="9" t="n">
        <f aca="false">WEEKDAY(A993,2)</f>
        <v>1</v>
      </c>
      <c r="F993" s="10" t="n">
        <f aca="false">WEEKNUM(A993,2) - WEEKNUM(DATE(YEAR(A993),MONTH(A993),1),2) + 1</f>
        <v>2</v>
      </c>
      <c r="G993" s="10"/>
      <c r="H993" s="11" t="n">
        <v>105</v>
      </c>
      <c r="I993" s="12" t="s">
        <v>20</v>
      </c>
      <c r="J993" s="12" t="s">
        <v>51</v>
      </c>
      <c r="K993" s="12"/>
      <c r="L993" s="9" t="n">
        <f aca="false">L992+H993</f>
        <v>195</v>
      </c>
      <c r="M993" s="10" t="str">
        <f aca="false">VLOOKUP(J993,RECATALOGANDO!A:C,2,0)</f>
        <v>VENTA DE ALIMENTO</v>
      </c>
      <c r="N993" s="12" t="str">
        <f aca="false">VLOOKUP(M993,RECATALOGANDO!B:C,2,0)</f>
        <v>VENTA DE PRODUCTO</v>
      </c>
      <c r="O993" s="2" t="s">
        <v>39</v>
      </c>
    </row>
    <row r="994" customFormat="false" ht="13.8" hidden="false" customHeight="false" outlineLevel="0" collapsed="false">
      <c r="A994" s="8" t="n">
        <v>45537</v>
      </c>
      <c r="B994" s="9" t="n">
        <f aca="false">DAY(A994)</f>
        <v>2</v>
      </c>
      <c r="C994" s="9" t="n">
        <f aca="false">MONTH(A994)</f>
        <v>9</v>
      </c>
      <c r="D994" s="9" t="n">
        <f aca="false">YEAR(A994)</f>
        <v>2024</v>
      </c>
      <c r="E994" s="9" t="n">
        <f aca="false">WEEKDAY(A994,2)</f>
        <v>1</v>
      </c>
      <c r="F994" s="10" t="n">
        <f aca="false">WEEKNUM(A994,2) - WEEKNUM(DATE(YEAR(A994),MONTH(A994),1),2) + 1</f>
        <v>2</v>
      </c>
      <c r="G994" s="10"/>
      <c r="H994" s="11" t="n">
        <v>600</v>
      </c>
      <c r="I994" s="12" t="s">
        <v>20</v>
      </c>
      <c r="J994" s="12" t="s">
        <v>45</v>
      </c>
      <c r="K994" s="12"/>
      <c r="L994" s="9" t="n">
        <f aca="false">L993+H994</f>
        <v>795</v>
      </c>
      <c r="M994" s="10" t="str">
        <f aca="false">VLOOKUP(J994,RECATALOGANDO!A:C,2,0)</f>
        <v>VENTA DE MEDICAMENTO</v>
      </c>
      <c r="N994" s="12" t="str">
        <f aca="false">VLOOKUP(M994,RECATALOGANDO!B:C,2,0)</f>
        <v>VENTA DE PRODUCTO</v>
      </c>
      <c r="O994" s="2" t="s">
        <v>39</v>
      </c>
    </row>
    <row r="995" customFormat="false" ht="13.8" hidden="false" customHeight="false" outlineLevel="0" collapsed="false">
      <c r="A995" s="8" t="n">
        <v>45537</v>
      </c>
      <c r="B995" s="9" t="n">
        <f aca="false">DAY(A995)</f>
        <v>2</v>
      </c>
      <c r="C995" s="9" t="n">
        <f aca="false">MONTH(A995)</f>
        <v>9</v>
      </c>
      <c r="D995" s="9" t="n">
        <f aca="false">YEAR(A995)</f>
        <v>2024</v>
      </c>
      <c r="E995" s="9" t="n">
        <f aca="false">WEEKDAY(A995,2)</f>
        <v>1</v>
      </c>
      <c r="F995" s="10" t="n">
        <f aca="false">WEEKNUM(A995,2) - WEEKNUM(DATE(YEAR(A995),MONTH(A995),1),2) + 1</f>
        <v>2</v>
      </c>
      <c r="G995" s="10"/>
      <c r="H995" s="11" t="n">
        <v>240</v>
      </c>
      <c r="I995" s="12" t="s">
        <v>20</v>
      </c>
      <c r="J995" s="12" t="s">
        <v>44</v>
      </c>
      <c r="K995" s="12"/>
      <c r="L995" s="9" t="n">
        <f aca="false">L994+H995</f>
        <v>1035</v>
      </c>
      <c r="M995" s="10" t="str">
        <f aca="false">VLOOKUP(J995,RECATALOGANDO!A:C,2,0)</f>
        <v>HONORARIOS MEDICOS</v>
      </c>
      <c r="N995" s="12" t="str">
        <f aca="false">VLOOKUP(M995,RECATALOGANDO!B:C,2,0)</f>
        <v>VENTA DE SERVICIO</v>
      </c>
      <c r="O995" s="2" t="s">
        <v>39</v>
      </c>
    </row>
    <row r="996" customFormat="false" ht="13.8" hidden="false" customHeight="false" outlineLevel="0" collapsed="false">
      <c r="A996" s="8" t="n">
        <v>45537</v>
      </c>
      <c r="B996" s="9" t="n">
        <f aca="false">DAY(A996)</f>
        <v>2</v>
      </c>
      <c r="C996" s="9" t="n">
        <f aca="false">MONTH(A996)</f>
        <v>9</v>
      </c>
      <c r="D996" s="9" t="n">
        <f aca="false">YEAR(A996)</f>
        <v>2024</v>
      </c>
      <c r="E996" s="9" t="n">
        <f aca="false">WEEKDAY(A996,2)</f>
        <v>1</v>
      </c>
      <c r="F996" s="10" t="n">
        <f aca="false">WEEKNUM(A996,2) - WEEKNUM(DATE(YEAR(A996),MONTH(A996),1),2) + 1</f>
        <v>2</v>
      </c>
      <c r="G996" s="10"/>
      <c r="H996" s="11" t="n">
        <v>950</v>
      </c>
      <c r="I996" s="12" t="s">
        <v>20</v>
      </c>
      <c r="J996" s="12" t="s">
        <v>56</v>
      </c>
      <c r="K996" s="12"/>
      <c r="L996" s="9" t="n">
        <f aca="false">L995+H996</f>
        <v>1985</v>
      </c>
      <c r="M996" s="10" t="str">
        <f aca="false">VLOOKUP(J996,RECATALOGANDO!A:C,2,0)</f>
        <v>SERVICIO DE IMAGEN</v>
      </c>
      <c r="N996" s="12" t="str">
        <f aca="false">VLOOKUP(M996,RECATALOGANDO!B:C,2,0)</f>
        <v>VENTA DE SERVICIO</v>
      </c>
      <c r="O996" s="2" t="s">
        <v>39</v>
      </c>
    </row>
    <row r="997" customFormat="false" ht="13.8" hidden="false" customHeight="false" outlineLevel="0" collapsed="false">
      <c r="A997" s="8" t="n">
        <v>45537</v>
      </c>
      <c r="B997" s="9" t="n">
        <f aca="false">DAY(A997)</f>
        <v>2</v>
      </c>
      <c r="C997" s="9" t="n">
        <f aca="false">MONTH(A997)</f>
        <v>9</v>
      </c>
      <c r="D997" s="9" t="n">
        <f aca="false">YEAR(A997)</f>
        <v>2024</v>
      </c>
      <c r="E997" s="9" t="n">
        <f aca="false">WEEKDAY(A997,2)</f>
        <v>1</v>
      </c>
      <c r="F997" s="10" t="n">
        <f aca="false">WEEKNUM(A997,2) - WEEKNUM(DATE(YEAR(A997),MONTH(A997),1),2) + 1</f>
        <v>2</v>
      </c>
      <c r="G997" s="10"/>
      <c r="H997" s="11" t="n">
        <v>1200</v>
      </c>
      <c r="I997" s="12" t="s">
        <v>20</v>
      </c>
      <c r="J997" s="12" t="s">
        <v>56</v>
      </c>
      <c r="K997" s="12"/>
      <c r="L997" s="9" t="n">
        <f aca="false">L996+H997</f>
        <v>3185</v>
      </c>
      <c r="M997" s="10" t="str">
        <f aca="false">VLOOKUP(J997,RECATALOGANDO!A:C,2,0)</f>
        <v>SERVICIO DE IMAGEN</v>
      </c>
      <c r="N997" s="12" t="str">
        <f aca="false">VLOOKUP(M997,RECATALOGANDO!B:C,2,0)</f>
        <v>VENTA DE SERVICIO</v>
      </c>
      <c r="O997" s="2" t="s">
        <v>39</v>
      </c>
    </row>
    <row r="998" customFormat="false" ht="13.8" hidden="false" customHeight="false" outlineLevel="0" collapsed="false">
      <c r="A998" s="8" t="n">
        <v>45537</v>
      </c>
      <c r="B998" s="9" t="n">
        <f aca="false">DAY(A998)</f>
        <v>2</v>
      </c>
      <c r="C998" s="9" t="n">
        <f aca="false">MONTH(A998)</f>
        <v>9</v>
      </c>
      <c r="D998" s="9" t="n">
        <f aca="false">YEAR(A998)</f>
        <v>2024</v>
      </c>
      <c r="E998" s="9" t="n">
        <f aca="false">WEEKDAY(A998,2)</f>
        <v>1</v>
      </c>
      <c r="F998" s="10" t="n">
        <f aca="false">WEEKNUM(A998,2) - WEEKNUM(DATE(YEAR(A998),MONTH(A998),1),2) + 1</f>
        <v>2</v>
      </c>
      <c r="G998" s="10"/>
      <c r="H998" s="11" t="n">
        <v>1500</v>
      </c>
      <c r="I998" s="12" t="s">
        <v>20</v>
      </c>
      <c r="J998" s="12" t="s">
        <v>56</v>
      </c>
      <c r="K998" s="12"/>
      <c r="L998" s="9" t="n">
        <f aca="false">L997+H998</f>
        <v>4685</v>
      </c>
      <c r="M998" s="10" t="str">
        <f aca="false">VLOOKUP(J998,RECATALOGANDO!A:C,2,0)</f>
        <v>SERVICIO DE IMAGEN</v>
      </c>
      <c r="N998" s="12" t="str">
        <f aca="false">VLOOKUP(M998,RECATALOGANDO!B:C,2,0)</f>
        <v>VENTA DE SERVICIO</v>
      </c>
      <c r="O998" s="2" t="s">
        <v>39</v>
      </c>
    </row>
    <row r="999" customFormat="false" ht="13.8" hidden="false" customHeight="false" outlineLevel="0" collapsed="false">
      <c r="A999" s="8" t="n">
        <v>45537</v>
      </c>
      <c r="B999" s="9" t="n">
        <f aca="false">DAY(A999)</f>
        <v>2</v>
      </c>
      <c r="C999" s="9" t="n">
        <f aca="false">MONTH(A999)</f>
        <v>9</v>
      </c>
      <c r="D999" s="9" t="n">
        <f aca="false">YEAR(A999)</f>
        <v>2024</v>
      </c>
      <c r="E999" s="9" t="n">
        <f aca="false">WEEKDAY(A999,2)</f>
        <v>1</v>
      </c>
      <c r="F999" s="10" t="n">
        <f aca="false">WEEKNUM(A999,2) - WEEKNUM(DATE(YEAR(A999),MONTH(A999),1),2) + 1</f>
        <v>2</v>
      </c>
      <c r="G999" s="10"/>
      <c r="H999" s="11" t="n">
        <v>4200</v>
      </c>
      <c r="I999" s="12" t="s">
        <v>20</v>
      </c>
      <c r="J999" s="12" t="s">
        <v>64</v>
      </c>
      <c r="K999" s="12"/>
      <c r="L999" s="9" t="n">
        <f aca="false">L998+H999</f>
        <v>8885</v>
      </c>
      <c r="M999" s="10" t="str">
        <f aca="false">VLOOKUP(J999,RECATALOGANDO!A:C,2,0)</f>
        <v>HONORARIOS QUIRURGICOS</v>
      </c>
      <c r="N999" s="12" t="str">
        <f aca="false">VLOOKUP(M999,RECATALOGANDO!B:C,2,0)</f>
        <v>VENTA DE SERVICIO</v>
      </c>
      <c r="O999" s="2" t="s">
        <v>39</v>
      </c>
    </row>
    <row r="1000" customFormat="false" ht="13.8" hidden="false" customHeight="false" outlineLevel="0" collapsed="false">
      <c r="A1000" s="8" t="n">
        <v>45538</v>
      </c>
      <c r="B1000" s="9" t="n">
        <f aca="false">DAY(A1000)</f>
        <v>3</v>
      </c>
      <c r="C1000" s="9" t="n">
        <f aca="false">MONTH(A1000)</f>
        <v>9</v>
      </c>
      <c r="D1000" s="9" t="n">
        <f aca="false">YEAR(A1000)</f>
        <v>2024</v>
      </c>
      <c r="E1000" s="9" t="n">
        <f aca="false">WEEKDAY(A1000,2)</f>
        <v>2</v>
      </c>
      <c r="F1000" s="10" t="n">
        <f aca="false">WEEKNUM(A1000,2) - WEEKNUM(DATE(YEAR(A1000),MONTH(A1000),1),2) + 1</f>
        <v>2</v>
      </c>
      <c r="G1000" s="10"/>
      <c r="H1000" s="11" t="n">
        <v>480</v>
      </c>
      <c r="I1000" s="12" t="s">
        <v>20</v>
      </c>
      <c r="J1000" s="12" t="s">
        <v>51</v>
      </c>
      <c r="K1000" s="12"/>
      <c r="L1000" s="9" t="n">
        <f aca="false">L999+H1000</f>
        <v>9365</v>
      </c>
      <c r="M1000" s="10" t="str">
        <f aca="false">VLOOKUP(J1000,RECATALOGANDO!A:C,2,0)</f>
        <v>VENTA DE ALIMENTO</v>
      </c>
      <c r="N1000" s="12" t="str">
        <f aca="false">VLOOKUP(M1000,RECATALOGANDO!B:C,2,0)</f>
        <v>VENTA DE PRODUCTO</v>
      </c>
      <c r="O1000" s="2" t="s">
        <v>39</v>
      </c>
    </row>
    <row r="1001" customFormat="false" ht="13.8" hidden="false" customHeight="false" outlineLevel="0" collapsed="false">
      <c r="A1001" s="8" t="n">
        <v>45538</v>
      </c>
      <c r="B1001" s="9" t="n">
        <f aca="false">DAY(A1001)</f>
        <v>3</v>
      </c>
      <c r="C1001" s="9" t="n">
        <f aca="false">MONTH(A1001)</f>
        <v>9</v>
      </c>
      <c r="D1001" s="9" t="n">
        <f aca="false">YEAR(A1001)</f>
        <v>2024</v>
      </c>
      <c r="E1001" s="9" t="n">
        <f aca="false">WEEKDAY(A1001,2)</f>
        <v>2</v>
      </c>
      <c r="F1001" s="10" t="n">
        <f aca="false">WEEKNUM(A1001,2) - WEEKNUM(DATE(YEAR(A1001),MONTH(A1001),1),2) + 1</f>
        <v>2</v>
      </c>
      <c r="G1001" s="10"/>
      <c r="H1001" s="11" t="n">
        <v>920</v>
      </c>
      <c r="I1001" s="12" t="s">
        <v>20</v>
      </c>
      <c r="J1001" s="12" t="s">
        <v>45</v>
      </c>
      <c r="K1001" s="12"/>
      <c r="L1001" s="9" t="n">
        <f aca="false">L1000+H1001</f>
        <v>10285</v>
      </c>
      <c r="M1001" s="10" t="str">
        <f aca="false">VLOOKUP(J1001,RECATALOGANDO!A:C,2,0)</f>
        <v>VENTA DE MEDICAMENTO</v>
      </c>
      <c r="N1001" s="12" t="str">
        <f aca="false">VLOOKUP(M1001,RECATALOGANDO!B:C,2,0)</f>
        <v>VENTA DE PRODUCTO</v>
      </c>
      <c r="O1001" s="2" t="s">
        <v>39</v>
      </c>
    </row>
    <row r="1002" customFormat="false" ht="13.8" hidden="false" customHeight="false" outlineLevel="0" collapsed="false">
      <c r="A1002" s="8" t="n">
        <v>45538</v>
      </c>
      <c r="B1002" s="9" t="n">
        <f aca="false">DAY(A1002)</f>
        <v>3</v>
      </c>
      <c r="C1002" s="9" t="n">
        <f aca="false">MONTH(A1002)</f>
        <v>9</v>
      </c>
      <c r="D1002" s="9" t="n">
        <f aca="false">YEAR(A1002)</f>
        <v>2024</v>
      </c>
      <c r="E1002" s="9" t="n">
        <f aca="false">WEEKDAY(A1002,2)</f>
        <v>2</v>
      </c>
      <c r="F1002" s="10" t="n">
        <f aca="false">WEEKNUM(A1002,2) - WEEKNUM(DATE(YEAR(A1002),MONTH(A1002),1),2) + 1</f>
        <v>2</v>
      </c>
      <c r="G1002" s="10"/>
      <c r="H1002" s="11" t="n">
        <v>4500</v>
      </c>
      <c r="I1002" s="12" t="s">
        <v>20</v>
      </c>
      <c r="J1002" s="12" t="s">
        <v>64</v>
      </c>
      <c r="K1002" s="12"/>
      <c r="L1002" s="9" t="n">
        <f aca="false">L1001+H1002</f>
        <v>14785</v>
      </c>
      <c r="M1002" s="10" t="str">
        <f aca="false">VLOOKUP(J1002,RECATALOGANDO!A:C,2,0)</f>
        <v>HONORARIOS QUIRURGICOS</v>
      </c>
      <c r="N1002" s="12" t="str">
        <f aca="false">VLOOKUP(M1002,RECATALOGANDO!B:C,2,0)</f>
        <v>VENTA DE SERVICIO</v>
      </c>
      <c r="O1002" s="2" t="s">
        <v>39</v>
      </c>
    </row>
    <row r="1003" customFormat="false" ht="13.8" hidden="false" customHeight="false" outlineLevel="0" collapsed="false">
      <c r="A1003" s="8" t="n">
        <v>45539</v>
      </c>
      <c r="B1003" s="9" t="n">
        <f aca="false">DAY(A1003)</f>
        <v>4</v>
      </c>
      <c r="C1003" s="9" t="n">
        <f aca="false">MONTH(A1003)</f>
        <v>9</v>
      </c>
      <c r="D1003" s="9" t="n">
        <f aca="false">YEAR(A1003)</f>
        <v>2024</v>
      </c>
      <c r="E1003" s="9" t="n">
        <f aca="false">WEEKDAY(A1003,2)</f>
        <v>3</v>
      </c>
      <c r="F1003" s="10" t="n">
        <f aca="false">WEEKNUM(A1003,2) - WEEKNUM(DATE(YEAR(A1003),MONTH(A1003),1),2) + 1</f>
        <v>2</v>
      </c>
      <c r="G1003" s="10"/>
      <c r="H1003" s="11" t="n">
        <v>290</v>
      </c>
      <c r="I1003" s="12" t="s">
        <v>20</v>
      </c>
      <c r="J1003" s="12" t="s">
        <v>45</v>
      </c>
      <c r="K1003" s="12"/>
      <c r="L1003" s="9" t="n">
        <f aca="false">L1002+H1003</f>
        <v>15075</v>
      </c>
      <c r="M1003" s="10" t="str">
        <f aca="false">VLOOKUP(J1003,RECATALOGANDO!A:C,2,0)</f>
        <v>VENTA DE MEDICAMENTO</v>
      </c>
      <c r="N1003" s="12" t="str">
        <f aca="false">VLOOKUP(M1003,RECATALOGANDO!B:C,2,0)</f>
        <v>VENTA DE PRODUCTO</v>
      </c>
      <c r="O1003" s="2" t="s">
        <v>39</v>
      </c>
    </row>
    <row r="1004" customFormat="false" ht="13.8" hidden="false" customHeight="false" outlineLevel="0" collapsed="false">
      <c r="A1004" s="8" t="n">
        <v>45539</v>
      </c>
      <c r="B1004" s="9" t="n">
        <f aca="false">DAY(A1004)</f>
        <v>4</v>
      </c>
      <c r="C1004" s="9" t="n">
        <f aca="false">MONTH(A1004)</f>
        <v>9</v>
      </c>
      <c r="D1004" s="9" t="n">
        <f aca="false">YEAR(A1004)</f>
        <v>2024</v>
      </c>
      <c r="E1004" s="9" t="n">
        <f aca="false">WEEKDAY(A1004,2)</f>
        <v>3</v>
      </c>
      <c r="F1004" s="10" t="n">
        <f aca="false">WEEKNUM(A1004,2) - WEEKNUM(DATE(YEAR(A1004),MONTH(A1004),1),2) + 1</f>
        <v>2</v>
      </c>
      <c r="G1004" s="10"/>
      <c r="H1004" s="11" t="n">
        <v>1040</v>
      </c>
      <c r="I1004" s="12" t="s">
        <v>20</v>
      </c>
      <c r="J1004" s="12" t="s">
        <v>45</v>
      </c>
      <c r="K1004" s="12"/>
      <c r="L1004" s="9" t="n">
        <f aca="false">L1003+H1004</f>
        <v>16115</v>
      </c>
      <c r="M1004" s="10" t="str">
        <f aca="false">VLOOKUP(J1004,RECATALOGANDO!A:C,2,0)</f>
        <v>VENTA DE MEDICAMENTO</v>
      </c>
      <c r="N1004" s="12" t="str">
        <f aca="false">VLOOKUP(M1004,RECATALOGANDO!B:C,2,0)</f>
        <v>VENTA DE PRODUCTO</v>
      </c>
      <c r="O1004" s="2" t="s">
        <v>39</v>
      </c>
    </row>
    <row r="1005" customFormat="false" ht="13.8" hidden="false" customHeight="false" outlineLevel="0" collapsed="false">
      <c r="A1005" s="8" t="n">
        <v>45539</v>
      </c>
      <c r="B1005" s="9" t="n">
        <f aca="false">DAY(A1005)</f>
        <v>4</v>
      </c>
      <c r="C1005" s="9" t="n">
        <f aca="false">MONTH(A1005)</f>
        <v>9</v>
      </c>
      <c r="D1005" s="9" t="n">
        <f aca="false">YEAR(A1005)</f>
        <v>2024</v>
      </c>
      <c r="E1005" s="9" t="n">
        <f aca="false">WEEKDAY(A1005,2)</f>
        <v>3</v>
      </c>
      <c r="F1005" s="10" t="n">
        <f aca="false">WEEKNUM(A1005,2) - WEEKNUM(DATE(YEAR(A1005),MONTH(A1005),1),2) + 1</f>
        <v>2</v>
      </c>
      <c r="G1005" s="10"/>
      <c r="H1005" s="11" t="n">
        <v>857</v>
      </c>
      <c r="I1005" s="12" t="s">
        <v>15</v>
      </c>
      <c r="J1005" s="12" t="s">
        <v>44</v>
      </c>
      <c r="K1005" s="12"/>
      <c r="L1005" s="9" t="n">
        <f aca="false">L1004+H1005</f>
        <v>16972</v>
      </c>
      <c r="M1005" s="10" t="str">
        <f aca="false">VLOOKUP(J1005,RECATALOGANDO!A:C,2,0)</f>
        <v>HONORARIOS MEDICOS</v>
      </c>
      <c r="N1005" s="12" t="str">
        <f aca="false">VLOOKUP(M1005,RECATALOGANDO!B:C,2,0)</f>
        <v>VENTA DE SERVICIO</v>
      </c>
      <c r="O1005" s="2" t="s">
        <v>39</v>
      </c>
    </row>
    <row r="1006" customFormat="false" ht="13.8" hidden="false" customHeight="false" outlineLevel="0" collapsed="false">
      <c r="A1006" s="8" t="n">
        <v>45540</v>
      </c>
      <c r="B1006" s="9" t="n">
        <f aca="false">DAY(A1006)</f>
        <v>5</v>
      </c>
      <c r="C1006" s="9" t="n">
        <f aca="false">MONTH(A1006)</f>
        <v>9</v>
      </c>
      <c r="D1006" s="9" t="n">
        <f aca="false">YEAR(A1006)</f>
        <v>2024</v>
      </c>
      <c r="E1006" s="9" t="n">
        <f aca="false">WEEKDAY(A1006,2)</f>
        <v>4</v>
      </c>
      <c r="F1006" s="10" t="n">
        <f aca="false">WEEKNUM(A1006,2) - WEEKNUM(DATE(YEAR(A1006),MONTH(A1006),1),2) + 1</f>
        <v>2</v>
      </c>
      <c r="G1006" s="10"/>
      <c r="H1006" s="11" t="n">
        <v>1000</v>
      </c>
      <c r="I1006" s="12" t="s">
        <v>20</v>
      </c>
      <c r="J1006" s="12" t="s">
        <v>45</v>
      </c>
      <c r="K1006" s="12"/>
      <c r="L1006" s="9" t="n">
        <f aca="false">L1005+H1006</f>
        <v>17972</v>
      </c>
      <c r="M1006" s="10" t="str">
        <f aca="false">VLOOKUP(J1006,RECATALOGANDO!A:C,2,0)</f>
        <v>VENTA DE MEDICAMENTO</v>
      </c>
      <c r="N1006" s="12" t="str">
        <f aca="false">VLOOKUP(M1006,RECATALOGANDO!B:C,2,0)</f>
        <v>VENTA DE PRODUCTO</v>
      </c>
      <c r="O1006" s="2" t="s">
        <v>39</v>
      </c>
    </row>
    <row r="1007" customFormat="false" ht="13.8" hidden="false" customHeight="false" outlineLevel="0" collapsed="false">
      <c r="A1007" s="8" t="n">
        <v>45540</v>
      </c>
      <c r="B1007" s="9" t="n">
        <f aca="false">DAY(A1007)</f>
        <v>5</v>
      </c>
      <c r="C1007" s="9" t="n">
        <f aca="false">MONTH(A1007)</f>
        <v>9</v>
      </c>
      <c r="D1007" s="9" t="n">
        <f aca="false">YEAR(A1007)</f>
        <v>2024</v>
      </c>
      <c r="E1007" s="9" t="n">
        <f aca="false">WEEKDAY(A1007,2)</f>
        <v>4</v>
      </c>
      <c r="F1007" s="10" t="n">
        <f aca="false">WEEKNUM(A1007,2) - WEEKNUM(DATE(YEAR(A1007),MONTH(A1007),1),2) + 1</f>
        <v>2</v>
      </c>
      <c r="G1007" s="10"/>
      <c r="H1007" s="11" t="n">
        <v>1100</v>
      </c>
      <c r="I1007" s="12" t="s">
        <v>20</v>
      </c>
      <c r="J1007" s="12" t="s">
        <v>51</v>
      </c>
      <c r="K1007" s="12"/>
      <c r="L1007" s="9" t="n">
        <f aca="false">L1006+H1007</f>
        <v>19072</v>
      </c>
      <c r="M1007" s="10" t="str">
        <f aca="false">VLOOKUP(J1007,RECATALOGANDO!A:C,2,0)</f>
        <v>VENTA DE ALIMENTO</v>
      </c>
      <c r="N1007" s="12" t="str">
        <f aca="false">VLOOKUP(M1007,RECATALOGANDO!B:C,2,0)</f>
        <v>VENTA DE PRODUCTO</v>
      </c>
      <c r="O1007" s="2" t="s">
        <v>39</v>
      </c>
    </row>
    <row r="1008" customFormat="false" ht="13.8" hidden="false" customHeight="false" outlineLevel="0" collapsed="false">
      <c r="A1008" s="8" t="n">
        <v>45540</v>
      </c>
      <c r="B1008" s="9" t="n">
        <f aca="false">DAY(A1008)</f>
        <v>5</v>
      </c>
      <c r="C1008" s="9" t="n">
        <f aca="false">MONTH(A1008)</f>
        <v>9</v>
      </c>
      <c r="D1008" s="9" t="n">
        <f aca="false">YEAR(A1008)</f>
        <v>2024</v>
      </c>
      <c r="E1008" s="9" t="n">
        <f aca="false">WEEKDAY(A1008,2)</f>
        <v>4</v>
      </c>
      <c r="F1008" s="10" t="n">
        <f aca="false">WEEKNUM(A1008,2) - WEEKNUM(DATE(YEAR(A1008),MONTH(A1008),1),2) + 1</f>
        <v>2</v>
      </c>
      <c r="G1008" s="10"/>
      <c r="H1008" s="11" t="n">
        <v>370</v>
      </c>
      <c r="I1008" s="12" t="s">
        <v>20</v>
      </c>
      <c r="J1008" s="12" t="s">
        <v>44</v>
      </c>
      <c r="K1008" s="12"/>
      <c r="L1008" s="9" t="n">
        <f aca="false">L1007+H1008</f>
        <v>19442</v>
      </c>
      <c r="M1008" s="10" t="str">
        <f aca="false">VLOOKUP(J1008,RECATALOGANDO!A:C,2,0)</f>
        <v>HONORARIOS MEDICOS</v>
      </c>
      <c r="N1008" s="12" t="str">
        <f aca="false">VLOOKUP(M1008,RECATALOGANDO!B:C,2,0)</f>
        <v>VENTA DE SERVICIO</v>
      </c>
      <c r="O1008" s="2" t="s">
        <v>39</v>
      </c>
    </row>
    <row r="1009" customFormat="false" ht="13.8" hidden="false" customHeight="false" outlineLevel="0" collapsed="false">
      <c r="A1009" s="8" t="n">
        <v>45541</v>
      </c>
      <c r="B1009" s="9" t="n">
        <f aca="false">DAY(A1009)</f>
        <v>6</v>
      </c>
      <c r="C1009" s="9" t="n">
        <f aca="false">MONTH(A1009)</f>
        <v>9</v>
      </c>
      <c r="D1009" s="9" t="n">
        <f aca="false">YEAR(A1009)</f>
        <v>2024</v>
      </c>
      <c r="E1009" s="9" t="n">
        <f aca="false">WEEKDAY(A1009,2)</f>
        <v>5</v>
      </c>
      <c r="F1009" s="10" t="n">
        <f aca="false">WEEKNUM(A1009,2) - WEEKNUM(DATE(YEAR(A1009),MONTH(A1009),1),2) + 1</f>
        <v>2</v>
      </c>
      <c r="G1009" s="10"/>
      <c r="H1009" s="11" t="n">
        <v>1250</v>
      </c>
      <c r="I1009" s="12" t="s">
        <v>20</v>
      </c>
      <c r="J1009" s="12" t="s">
        <v>45</v>
      </c>
      <c r="K1009" s="12"/>
      <c r="L1009" s="9" t="n">
        <f aca="false">L1008+H1009</f>
        <v>20692</v>
      </c>
      <c r="M1009" s="10" t="str">
        <f aca="false">VLOOKUP(J1009,RECATALOGANDO!A:C,2,0)</f>
        <v>VENTA DE MEDICAMENTO</v>
      </c>
      <c r="N1009" s="12" t="str">
        <f aca="false">VLOOKUP(M1009,RECATALOGANDO!B:C,2,0)</f>
        <v>VENTA DE PRODUCTO</v>
      </c>
      <c r="O1009" s="2" t="s">
        <v>39</v>
      </c>
    </row>
    <row r="1010" customFormat="false" ht="13.8" hidden="false" customHeight="false" outlineLevel="0" collapsed="false">
      <c r="A1010" s="8" t="n">
        <v>45541</v>
      </c>
      <c r="B1010" s="9" t="n">
        <f aca="false">DAY(A1010)</f>
        <v>6</v>
      </c>
      <c r="C1010" s="9" t="n">
        <f aca="false">MONTH(A1010)</f>
        <v>9</v>
      </c>
      <c r="D1010" s="9" t="n">
        <f aca="false">YEAR(A1010)</f>
        <v>2024</v>
      </c>
      <c r="E1010" s="9" t="n">
        <f aca="false">WEEKDAY(A1010,2)</f>
        <v>5</v>
      </c>
      <c r="F1010" s="10" t="n">
        <f aca="false">WEEKNUM(A1010,2) - WEEKNUM(DATE(YEAR(A1010),MONTH(A1010),1),2) + 1</f>
        <v>2</v>
      </c>
      <c r="G1010" s="10"/>
      <c r="H1010" s="11" t="n">
        <v>2080</v>
      </c>
      <c r="I1010" s="12" t="s">
        <v>20</v>
      </c>
      <c r="J1010" s="12" t="s">
        <v>56</v>
      </c>
      <c r="K1010" s="12"/>
      <c r="L1010" s="9" t="n">
        <f aca="false">L1009+H1010</f>
        <v>22772</v>
      </c>
      <c r="M1010" s="10" t="str">
        <f aca="false">VLOOKUP(J1010,RECATALOGANDO!A:C,2,0)</f>
        <v>SERVICIO DE IMAGEN</v>
      </c>
      <c r="N1010" s="12" t="str">
        <f aca="false">VLOOKUP(M1010,RECATALOGANDO!B:C,2,0)</f>
        <v>VENTA DE SERVICIO</v>
      </c>
      <c r="O1010" s="2" t="s">
        <v>39</v>
      </c>
    </row>
    <row r="1011" customFormat="false" ht="13.8" hidden="false" customHeight="false" outlineLevel="0" collapsed="false">
      <c r="A1011" s="8" t="n">
        <v>45542</v>
      </c>
      <c r="B1011" s="9" t="n">
        <f aca="false">DAY(A1011)</f>
        <v>7</v>
      </c>
      <c r="C1011" s="9" t="n">
        <f aca="false">MONTH(A1011)</f>
        <v>9</v>
      </c>
      <c r="D1011" s="9" t="n">
        <f aca="false">YEAR(A1011)</f>
        <v>2024</v>
      </c>
      <c r="E1011" s="9" t="n">
        <f aca="false">WEEKDAY(A1011,2)</f>
        <v>6</v>
      </c>
      <c r="F1011" s="10" t="n">
        <f aca="false">WEEKNUM(A1011,2) - WEEKNUM(DATE(YEAR(A1011),MONTH(A1011),1),2) + 1</f>
        <v>2</v>
      </c>
      <c r="G1011" s="10"/>
      <c r="H1011" s="11" t="n">
        <v>2232.68</v>
      </c>
      <c r="I1011" s="12" t="s">
        <v>15</v>
      </c>
      <c r="J1011" s="12" t="s">
        <v>51</v>
      </c>
      <c r="K1011" s="12"/>
      <c r="L1011" s="9" t="n">
        <f aca="false">L1010+H1011</f>
        <v>25004.68</v>
      </c>
      <c r="M1011" s="10" t="str">
        <f aca="false">VLOOKUP(J1011,RECATALOGANDO!A:C,2,0)</f>
        <v>VENTA DE ALIMENTO</v>
      </c>
      <c r="N1011" s="12" t="str">
        <f aca="false">VLOOKUP(M1011,RECATALOGANDO!B:C,2,0)</f>
        <v>VENTA DE PRODUCTO</v>
      </c>
      <c r="O1011" s="2" t="s">
        <v>39</v>
      </c>
    </row>
    <row r="1012" customFormat="false" ht="13.8" hidden="false" customHeight="false" outlineLevel="0" collapsed="false">
      <c r="A1012" s="8" t="n">
        <v>45542</v>
      </c>
      <c r="B1012" s="9" t="n">
        <f aca="false">DAY(A1012)</f>
        <v>7</v>
      </c>
      <c r="C1012" s="9" t="n">
        <f aca="false">MONTH(A1012)</f>
        <v>9</v>
      </c>
      <c r="D1012" s="9" t="n">
        <f aca="false">YEAR(A1012)</f>
        <v>2024</v>
      </c>
      <c r="E1012" s="9" t="n">
        <f aca="false">WEEKDAY(A1012,2)</f>
        <v>6</v>
      </c>
      <c r="F1012" s="10" t="n">
        <f aca="false">WEEKNUM(A1012,2) - WEEKNUM(DATE(YEAR(A1012),MONTH(A1012),1),2) + 1</f>
        <v>2</v>
      </c>
      <c r="G1012" s="10"/>
      <c r="H1012" s="11" t="n">
        <v>2270</v>
      </c>
      <c r="I1012" s="12" t="s">
        <v>15</v>
      </c>
      <c r="J1012" s="12" t="s">
        <v>45</v>
      </c>
      <c r="K1012" s="12"/>
      <c r="L1012" s="9" t="n">
        <f aca="false">L1011+H1012</f>
        <v>27274.68</v>
      </c>
      <c r="M1012" s="10" t="str">
        <f aca="false">VLOOKUP(J1012,RECATALOGANDO!A:C,2,0)</f>
        <v>VENTA DE MEDICAMENTO</v>
      </c>
      <c r="N1012" s="12" t="str">
        <f aca="false">VLOOKUP(M1012,RECATALOGANDO!B:C,2,0)</f>
        <v>VENTA DE PRODUCTO</v>
      </c>
      <c r="O1012" s="2" t="s">
        <v>39</v>
      </c>
    </row>
    <row r="1013" customFormat="false" ht="13.8" hidden="false" customHeight="false" outlineLevel="0" collapsed="false">
      <c r="A1013" s="8" t="n">
        <v>45542</v>
      </c>
      <c r="B1013" s="9" t="n">
        <f aca="false">DAY(A1013)</f>
        <v>7</v>
      </c>
      <c r="C1013" s="9" t="n">
        <f aca="false">MONTH(A1013)</f>
        <v>9</v>
      </c>
      <c r="D1013" s="9" t="n">
        <f aca="false">YEAR(A1013)</f>
        <v>2024</v>
      </c>
      <c r="E1013" s="9" t="n">
        <f aca="false">WEEKDAY(A1013,2)</f>
        <v>6</v>
      </c>
      <c r="F1013" s="10" t="n">
        <f aca="false">WEEKNUM(A1013,2) - WEEKNUM(DATE(YEAR(A1013),MONTH(A1013),1),2) + 1</f>
        <v>2</v>
      </c>
      <c r="G1013" s="10"/>
      <c r="H1013" s="11" t="n">
        <v>240</v>
      </c>
      <c r="I1013" s="12" t="s">
        <v>15</v>
      </c>
      <c r="J1013" s="12" t="s">
        <v>49</v>
      </c>
      <c r="K1013" s="12"/>
      <c r="L1013" s="9" t="n">
        <f aca="false">L1012+H1013</f>
        <v>27514.68</v>
      </c>
      <c r="M1013" s="10" t="str">
        <f aca="false">VLOOKUP(J1013,RECATALOGANDO!A:C,2,0)</f>
        <v>SERVICIO DE GROOMING</v>
      </c>
      <c r="N1013" s="12" t="str">
        <f aca="false">VLOOKUP(M1013,RECATALOGANDO!B:C,2,0)</f>
        <v>VENTA DE SERVICIO</v>
      </c>
      <c r="O1013" s="2" t="s">
        <v>39</v>
      </c>
    </row>
    <row r="1014" customFormat="false" ht="13.8" hidden="false" customHeight="false" outlineLevel="0" collapsed="false">
      <c r="A1014" s="8" t="n">
        <v>45544</v>
      </c>
      <c r="B1014" s="9" t="n">
        <f aca="false">DAY(A1014)</f>
        <v>9</v>
      </c>
      <c r="C1014" s="9" t="n">
        <f aca="false">MONTH(A1014)</f>
        <v>9</v>
      </c>
      <c r="D1014" s="9" t="n">
        <f aca="false">YEAR(A1014)</f>
        <v>2024</v>
      </c>
      <c r="E1014" s="9" t="n">
        <f aca="false">WEEKDAY(A1014,2)</f>
        <v>1</v>
      </c>
      <c r="F1014" s="10" t="n">
        <f aca="false">WEEKNUM(A1014,2) - WEEKNUM(DATE(YEAR(A1014),MONTH(A1014),1),2) + 1</f>
        <v>3</v>
      </c>
      <c r="G1014" s="10"/>
      <c r="H1014" s="11" t="n">
        <v>1505</v>
      </c>
      <c r="I1014" s="12" t="s">
        <v>20</v>
      </c>
      <c r="J1014" s="12" t="s">
        <v>51</v>
      </c>
      <c r="K1014" s="12"/>
      <c r="L1014" s="9" t="n">
        <f aca="false">L1013+H1014</f>
        <v>29019.68</v>
      </c>
      <c r="M1014" s="10" t="str">
        <f aca="false">VLOOKUP(J1014,RECATALOGANDO!A:C,2,0)</f>
        <v>VENTA DE ALIMENTO</v>
      </c>
      <c r="N1014" s="12" t="str">
        <f aca="false">VLOOKUP(M1014,RECATALOGANDO!B:C,2,0)</f>
        <v>VENTA DE PRODUCTO</v>
      </c>
      <c r="O1014" s="2" t="s">
        <v>39</v>
      </c>
    </row>
    <row r="1015" customFormat="false" ht="13.8" hidden="false" customHeight="false" outlineLevel="0" collapsed="false">
      <c r="A1015" s="8" t="n">
        <v>45544</v>
      </c>
      <c r="B1015" s="9" t="n">
        <f aca="false">DAY(A1015)</f>
        <v>9</v>
      </c>
      <c r="C1015" s="9" t="n">
        <f aca="false">MONTH(A1015)</f>
        <v>9</v>
      </c>
      <c r="D1015" s="9" t="n">
        <f aca="false">YEAR(A1015)</f>
        <v>2024</v>
      </c>
      <c r="E1015" s="9" t="n">
        <f aca="false">WEEKDAY(A1015,2)</f>
        <v>1</v>
      </c>
      <c r="F1015" s="10" t="n">
        <f aca="false">WEEKNUM(A1015,2) - WEEKNUM(DATE(YEAR(A1015),MONTH(A1015),1),2) + 1</f>
        <v>3</v>
      </c>
      <c r="G1015" s="10"/>
      <c r="H1015" s="11" t="n">
        <v>1664</v>
      </c>
      <c r="I1015" s="12" t="s">
        <v>20</v>
      </c>
      <c r="J1015" s="12" t="s">
        <v>45</v>
      </c>
      <c r="K1015" s="12"/>
      <c r="L1015" s="9" t="n">
        <f aca="false">L1014+H1015</f>
        <v>30683.68</v>
      </c>
      <c r="M1015" s="10" t="str">
        <f aca="false">VLOOKUP(J1015,RECATALOGANDO!A:C,2,0)</f>
        <v>VENTA DE MEDICAMENTO</v>
      </c>
      <c r="N1015" s="12" t="str">
        <f aca="false">VLOOKUP(M1015,RECATALOGANDO!B:C,2,0)</f>
        <v>VENTA DE PRODUCTO</v>
      </c>
      <c r="O1015" s="2" t="s">
        <v>39</v>
      </c>
    </row>
    <row r="1016" customFormat="false" ht="13.8" hidden="false" customHeight="false" outlineLevel="0" collapsed="false">
      <c r="A1016" s="8" t="n">
        <v>45544</v>
      </c>
      <c r="B1016" s="9" t="n">
        <f aca="false">DAY(A1016)</f>
        <v>9</v>
      </c>
      <c r="C1016" s="9" t="n">
        <f aca="false">MONTH(A1016)</f>
        <v>9</v>
      </c>
      <c r="D1016" s="9" t="n">
        <f aca="false">YEAR(A1016)</f>
        <v>2024</v>
      </c>
      <c r="E1016" s="9" t="n">
        <f aca="false">WEEKDAY(A1016,2)</f>
        <v>1</v>
      </c>
      <c r="F1016" s="10" t="n">
        <f aca="false">WEEKNUM(A1016,2) - WEEKNUM(DATE(YEAR(A1016),MONTH(A1016),1),2) + 1</f>
        <v>3</v>
      </c>
      <c r="G1016" s="10"/>
      <c r="H1016" s="11" t="n">
        <v>350</v>
      </c>
      <c r="I1016" s="12" t="s">
        <v>15</v>
      </c>
      <c r="J1016" s="12" t="s">
        <v>49</v>
      </c>
      <c r="K1016" s="12"/>
      <c r="L1016" s="9" t="n">
        <f aca="false">L1015+H1016</f>
        <v>31033.68</v>
      </c>
      <c r="M1016" s="10" t="str">
        <f aca="false">VLOOKUP(J1016,RECATALOGANDO!A:C,2,0)</f>
        <v>SERVICIO DE GROOMING</v>
      </c>
      <c r="N1016" s="12" t="str">
        <f aca="false">VLOOKUP(M1016,RECATALOGANDO!B:C,2,0)</f>
        <v>VENTA DE SERVICIO</v>
      </c>
      <c r="O1016" s="2" t="s">
        <v>39</v>
      </c>
    </row>
    <row r="1017" customFormat="false" ht="13.8" hidden="false" customHeight="false" outlineLevel="0" collapsed="false">
      <c r="A1017" s="8" t="n">
        <v>45544</v>
      </c>
      <c r="B1017" s="9" t="n">
        <f aca="false">DAY(A1017)</f>
        <v>9</v>
      </c>
      <c r="C1017" s="9" t="n">
        <f aca="false">MONTH(A1017)</f>
        <v>9</v>
      </c>
      <c r="D1017" s="9" t="n">
        <f aca="false">YEAR(A1017)</f>
        <v>2024</v>
      </c>
      <c r="E1017" s="9" t="n">
        <f aca="false">WEEKDAY(A1017,2)</f>
        <v>1</v>
      </c>
      <c r="F1017" s="10" t="n">
        <f aca="false">WEEKNUM(A1017,2) - WEEKNUM(DATE(YEAR(A1017),MONTH(A1017),1),2) + 1</f>
        <v>3</v>
      </c>
      <c r="G1017" s="10"/>
      <c r="H1017" s="11" t="n">
        <v>4940</v>
      </c>
      <c r="I1017" s="12" t="s">
        <v>20</v>
      </c>
      <c r="J1017" s="12" t="s">
        <v>54</v>
      </c>
      <c r="K1017" s="12"/>
      <c r="L1017" s="9" t="n">
        <f aca="false">L1016+H1017</f>
        <v>35973.68</v>
      </c>
      <c r="M1017" s="10" t="str">
        <f aca="false">VLOOKUP(J1017,RECATALOGANDO!A:C,2,0)</f>
        <v>SERVICIO DE LABORATORIO</v>
      </c>
      <c r="N1017" s="12" t="str">
        <f aca="false">VLOOKUP(M1017,RECATALOGANDO!B:C,2,0)</f>
        <v>VENTA DE SERVICIO</v>
      </c>
      <c r="O1017" s="2" t="s">
        <v>39</v>
      </c>
    </row>
    <row r="1018" customFormat="false" ht="13.8" hidden="false" customHeight="false" outlineLevel="0" collapsed="false">
      <c r="A1018" s="8" t="n">
        <v>45545</v>
      </c>
      <c r="B1018" s="9" t="n">
        <f aca="false">DAY(A1018)</f>
        <v>10</v>
      </c>
      <c r="C1018" s="9" t="n">
        <f aca="false">MONTH(A1018)</f>
        <v>9</v>
      </c>
      <c r="D1018" s="9" t="n">
        <f aca="false">YEAR(A1018)</f>
        <v>2024</v>
      </c>
      <c r="E1018" s="9" t="n">
        <f aca="false">WEEKDAY(A1018,2)</f>
        <v>2</v>
      </c>
      <c r="F1018" s="10" t="n">
        <f aca="false">WEEKNUM(A1018,2) - WEEKNUM(DATE(YEAR(A1018),MONTH(A1018),1),2) + 1</f>
        <v>3</v>
      </c>
      <c r="G1018" s="10"/>
      <c r="H1018" s="11" t="n">
        <v>2019</v>
      </c>
      <c r="I1018" s="12" t="s">
        <v>20</v>
      </c>
      <c r="J1018" s="12" t="s">
        <v>51</v>
      </c>
      <c r="K1018" s="12"/>
      <c r="L1018" s="9" t="n">
        <f aca="false">L1017+H1018</f>
        <v>37992.68</v>
      </c>
      <c r="M1018" s="10" t="str">
        <f aca="false">VLOOKUP(J1018,RECATALOGANDO!A:C,2,0)</f>
        <v>VENTA DE ALIMENTO</v>
      </c>
      <c r="N1018" s="12" t="str">
        <f aca="false">VLOOKUP(M1018,RECATALOGANDO!B:C,2,0)</f>
        <v>VENTA DE PRODUCTO</v>
      </c>
      <c r="O1018" s="2" t="s">
        <v>39</v>
      </c>
    </row>
    <row r="1019" customFormat="false" ht="13.8" hidden="false" customHeight="false" outlineLevel="0" collapsed="false">
      <c r="A1019" s="8" t="n">
        <v>45545</v>
      </c>
      <c r="B1019" s="9" t="n">
        <f aca="false">DAY(A1019)</f>
        <v>10</v>
      </c>
      <c r="C1019" s="9" t="n">
        <f aca="false">MONTH(A1019)</f>
        <v>9</v>
      </c>
      <c r="D1019" s="9" t="n">
        <f aca="false">YEAR(A1019)</f>
        <v>2024</v>
      </c>
      <c r="E1019" s="9" t="n">
        <f aca="false">WEEKDAY(A1019,2)</f>
        <v>2</v>
      </c>
      <c r="F1019" s="10" t="n">
        <f aca="false">WEEKNUM(A1019,2) - WEEKNUM(DATE(YEAR(A1019),MONTH(A1019),1),2) + 1</f>
        <v>3</v>
      </c>
      <c r="G1019" s="10"/>
      <c r="H1019" s="11" t="n">
        <v>3573.28</v>
      </c>
      <c r="I1019" s="12" t="s">
        <v>15</v>
      </c>
      <c r="J1019" s="12" t="s">
        <v>45</v>
      </c>
      <c r="K1019" s="12"/>
      <c r="L1019" s="9" t="n">
        <f aca="false">L1018+H1019</f>
        <v>41565.96</v>
      </c>
      <c r="M1019" s="10" t="str">
        <f aca="false">VLOOKUP(J1019,RECATALOGANDO!A:C,2,0)</f>
        <v>VENTA DE MEDICAMENTO</v>
      </c>
      <c r="N1019" s="12" t="str">
        <f aca="false">VLOOKUP(M1019,RECATALOGANDO!B:C,2,0)</f>
        <v>VENTA DE PRODUCTO</v>
      </c>
      <c r="O1019" s="2" t="s">
        <v>39</v>
      </c>
    </row>
    <row r="1020" customFormat="false" ht="13.8" hidden="false" customHeight="false" outlineLevel="0" collapsed="false">
      <c r="A1020" s="8" t="n">
        <v>45546</v>
      </c>
      <c r="B1020" s="9" t="n">
        <f aca="false">DAY(A1020)</f>
        <v>11</v>
      </c>
      <c r="C1020" s="9" t="n">
        <f aca="false">MONTH(A1020)</f>
        <v>9</v>
      </c>
      <c r="D1020" s="9" t="n">
        <f aca="false">YEAR(A1020)</f>
        <v>2024</v>
      </c>
      <c r="E1020" s="9" t="n">
        <f aca="false">WEEKDAY(A1020,2)</f>
        <v>3</v>
      </c>
      <c r="F1020" s="10" t="n">
        <f aca="false">WEEKNUM(A1020,2) - WEEKNUM(DATE(YEAR(A1020),MONTH(A1020),1),2) + 1</f>
        <v>3</v>
      </c>
      <c r="G1020" s="10"/>
      <c r="H1020" s="11" t="n">
        <v>237.64</v>
      </c>
      <c r="I1020" s="12" t="s">
        <v>15</v>
      </c>
      <c r="J1020" s="12" t="s">
        <v>49</v>
      </c>
      <c r="K1020" s="12"/>
      <c r="L1020" s="9" t="n">
        <f aca="false">L1019+H1020</f>
        <v>41803.6</v>
      </c>
      <c r="M1020" s="10" t="str">
        <f aca="false">VLOOKUP(J1020,RECATALOGANDO!A:C,2,0)</f>
        <v>SERVICIO DE GROOMING</v>
      </c>
      <c r="N1020" s="12" t="str">
        <f aca="false">VLOOKUP(M1020,RECATALOGANDO!B:C,2,0)</f>
        <v>VENTA DE SERVICIO</v>
      </c>
      <c r="O1020" s="2" t="s">
        <v>39</v>
      </c>
    </row>
    <row r="1021" customFormat="false" ht="13.8" hidden="false" customHeight="false" outlineLevel="0" collapsed="false">
      <c r="A1021" s="8" t="n">
        <v>45546</v>
      </c>
      <c r="B1021" s="9" t="n">
        <f aca="false">DAY(A1021)</f>
        <v>11</v>
      </c>
      <c r="C1021" s="9" t="n">
        <f aca="false">MONTH(A1021)</f>
        <v>9</v>
      </c>
      <c r="D1021" s="9" t="n">
        <f aca="false">YEAR(A1021)</f>
        <v>2024</v>
      </c>
      <c r="E1021" s="9" t="n">
        <f aca="false">WEEKDAY(A1021,2)</f>
        <v>3</v>
      </c>
      <c r="F1021" s="10" t="n">
        <f aca="false">WEEKNUM(A1021,2) - WEEKNUM(DATE(YEAR(A1021),MONTH(A1021),1),2) + 1</f>
        <v>3</v>
      </c>
      <c r="G1021" s="10"/>
      <c r="H1021" s="11" t="n">
        <v>4296</v>
      </c>
      <c r="I1021" s="12" t="s">
        <v>20</v>
      </c>
      <c r="J1021" s="12" t="s">
        <v>54</v>
      </c>
      <c r="K1021" s="12"/>
      <c r="L1021" s="9" t="n">
        <f aca="false">L1020+H1021</f>
        <v>46099.6</v>
      </c>
      <c r="M1021" s="10" t="str">
        <f aca="false">VLOOKUP(J1021,RECATALOGANDO!A:C,2,0)</f>
        <v>SERVICIO DE LABORATORIO</v>
      </c>
      <c r="N1021" s="12" t="str">
        <f aca="false">VLOOKUP(M1021,RECATALOGANDO!B:C,2,0)</f>
        <v>VENTA DE SERVICIO</v>
      </c>
      <c r="O1021" s="2" t="s">
        <v>39</v>
      </c>
    </row>
    <row r="1022" customFormat="false" ht="13.8" hidden="false" customHeight="false" outlineLevel="0" collapsed="false">
      <c r="A1022" s="8" t="n">
        <v>45547</v>
      </c>
      <c r="B1022" s="9" t="n">
        <f aca="false">DAY(A1022)</f>
        <v>12</v>
      </c>
      <c r="C1022" s="9" t="n">
        <f aca="false">MONTH(A1022)</f>
        <v>9</v>
      </c>
      <c r="D1022" s="9" t="n">
        <f aca="false">YEAR(A1022)</f>
        <v>2024</v>
      </c>
      <c r="E1022" s="9" t="n">
        <f aca="false">WEEKDAY(A1022,2)</f>
        <v>4</v>
      </c>
      <c r="F1022" s="10" t="n">
        <f aca="false">WEEKNUM(A1022,2) - WEEKNUM(DATE(YEAR(A1022),MONTH(A1022),1),2) + 1</f>
        <v>3</v>
      </c>
      <c r="G1022" s="10"/>
      <c r="H1022" s="11" t="n">
        <v>260</v>
      </c>
      <c r="I1022" s="12" t="s">
        <v>20</v>
      </c>
      <c r="J1022" s="12" t="s">
        <v>45</v>
      </c>
      <c r="K1022" s="12"/>
      <c r="L1022" s="9" t="n">
        <f aca="false">L1021+H1022</f>
        <v>46359.6</v>
      </c>
      <c r="M1022" s="10" t="str">
        <f aca="false">VLOOKUP(J1022,RECATALOGANDO!A:C,2,0)</f>
        <v>VENTA DE MEDICAMENTO</v>
      </c>
      <c r="N1022" s="12" t="str">
        <f aca="false">VLOOKUP(M1022,RECATALOGANDO!B:C,2,0)</f>
        <v>VENTA DE PRODUCTO</v>
      </c>
      <c r="O1022" s="2" t="s">
        <v>39</v>
      </c>
    </row>
    <row r="1023" customFormat="false" ht="13.8" hidden="false" customHeight="false" outlineLevel="0" collapsed="false">
      <c r="A1023" s="8" t="n">
        <v>45547</v>
      </c>
      <c r="B1023" s="9" t="n">
        <f aca="false">DAY(A1023)</f>
        <v>12</v>
      </c>
      <c r="C1023" s="9" t="n">
        <f aca="false">MONTH(A1023)</f>
        <v>9</v>
      </c>
      <c r="D1023" s="9" t="n">
        <f aca="false">YEAR(A1023)</f>
        <v>2024</v>
      </c>
      <c r="E1023" s="9" t="n">
        <f aca="false">WEEKDAY(A1023,2)</f>
        <v>4</v>
      </c>
      <c r="F1023" s="10" t="n">
        <f aca="false">WEEKNUM(A1023,2) - WEEKNUM(DATE(YEAR(A1023),MONTH(A1023),1),2) + 1</f>
        <v>3</v>
      </c>
      <c r="G1023" s="10"/>
      <c r="H1023" s="11" t="n">
        <v>280</v>
      </c>
      <c r="I1023" s="12" t="s">
        <v>20</v>
      </c>
      <c r="J1023" s="12" t="s">
        <v>45</v>
      </c>
      <c r="K1023" s="12"/>
      <c r="L1023" s="9" t="n">
        <f aca="false">L1022+H1023</f>
        <v>46639.6</v>
      </c>
      <c r="M1023" s="10" t="str">
        <f aca="false">VLOOKUP(J1023,RECATALOGANDO!A:C,2,0)</f>
        <v>VENTA DE MEDICAMENTO</v>
      </c>
      <c r="N1023" s="12" t="str">
        <f aca="false">VLOOKUP(M1023,RECATALOGANDO!B:C,2,0)</f>
        <v>VENTA DE PRODUCTO</v>
      </c>
      <c r="O1023" s="2" t="s">
        <v>39</v>
      </c>
    </row>
    <row r="1024" customFormat="false" ht="13.8" hidden="false" customHeight="false" outlineLevel="0" collapsed="false">
      <c r="A1024" s="8" t="n">
        <v>45547</v>
      </c>
      <c r="B1024" s="9" t="n">
        <f aca="false">DAY(A1024)</f>
        <v>12</v>
      </c>
      <c r="C1024" s="9" t="n">
        <f aca="false">MONTH(A1024)</f>
        <v>9</v>
      </c>
      <c r="D1024" s="9" t="n">
        <f aca="false">YEAR(A1024)</f>
        <v>2024</v>
      </c>
      <c r="E1024" s="9" t="n">
        <f aca="false">WEEKDAY(A1024,2)</f>
        <v>4</v>
      </c>
      <c r="F1024" s="10" t="n">
        <f aca="false">WEEKNUM(A1024,2) - WEEKNUM(DATE(YEAR(A1024),MONTH(A1024),1),2) + 1</f>
        <v>3</v>
      </c>
      <c r="G1024" s="10"/>
      <c r="H1024" s="11" t="n">
        <v>1750</v>
      </c>
      <c r="I1024" s="12" t="s">
        <v>20</v>
      </c>
      <c r="J1024" s="12" t="s">
        <v>51</v>
      </c>
      <c r="K1024" s="12"/>
      <c r="L1024" s="9" t="n">
        <f aca="false">L1023+H1024</f>
        <v>48389.6</v>
      </c>
      <c r="M1024" s="10" t="str">
        <f aca="false">VLOOKUP(J1024,RECATALOGANDO!A:C,2,0)</f>
        <v>VENTA DE ALIMENTO</v>
      </c>
      <c r="N1024" s="12" t="str">
        <f aca="false">VLOOKUP(M1024,RECATALOGANDO!B:C,2,0)</f>
        <v>VENTA DE PRODUCTO</v>
      </c>
      <c r="O1024" s="2" t="s">
        <v>39</v>
      </c>
    </row>
    <row r="1025" customFormat="false" ht="13.8" hidden="false" customHeight="false" outlineLevel="0" collapsed="false">
      <c r="A1025" s="8" t="n">
        <v>45547</v>
      </c>
      <c r="B1025" s="9" t="n">
        <f aca="false">DAY(A1025)</f>
        <v>12</v>
      </c>
      <c r="C1025" s="9" t="n">
        <f aca="false">MONTH(A1025)</f>
        <v>9</v>
      </c>
      <c r="D1025" s="9" t="n">
        <f aca="false">YEAR(A1025)</f>
        <v>2024</v>
      </c>
      <c r="E1025" s="9" t="n">
        <f aca="false">WEEKDAY(A1025,2)</f>
        <v>4</v>
      </c>
      <c r="F1025" s="10" t="n">
        <f aca="false">WEEKNUM(A1025,2) - WEEKNUM(DATE(YEAR(A1025),MONTH(A1025),1),2) + 1</f>
        <v>3</v>
      </c>
      <c r="G1025" s="10"/>
      <c r="H1025" s="11" t="n">
        <v>2600</v>
      </c>
      <c r="I1025" s="12" t="s">
        <v>20</v>
      </c>
      <c r="J1025" s="12" t="s">
        <v>57</v>
      </c>
      <c r="K1025" s="12"/>
      <c r="L1025" s="9" t="n">
        <f aca="false">L1024+H1025</f>
        <v>50989.6</v>
      </c>
      <c r="M1025" s="10" t="str">
        <f aca="false">VLOOKUP(J1025,RECATALOGANDO!A:C,2,0)</f>
        <v>SERVICIO DE CREMACION</v>
      </c>
      <c r="N1025" s="12" t="str">
        <f aca="false">VLOOKUP(M1025,RECATALOGANDO!B:C,2,0)</f>
        <v>VENTA DE SERVICIO</v>
      </c>
      <c r="O1025" s="2" t="s">
        <v>39</v>
      </c>
    </row>
    <row r="1026" customFormat="false" ht="13.8" hidden="false" customHeight="false" outlineLevel="0" collapsed="false">
      <c r="A1026" s="8" t="n">
        <v>45548</v>
      </c>
      <c r="B1026" s="9" t="n">
        <f aca="false">DAY(A1026)</f>
        <v>13</v>
      </c>
      <c r="C1026" s="9" t="n">
        <f aca="false">MONTH(A1026)</f>
        <v>9</v>
      </c>
      <c r="D1026" s="9" t="n">
        <f aca="false">YEAR(A1026)</f>
        <v>2024</v>
      </c>
      <c r="E1026" s="9" t="n">
        <f aca="false">WEEKDAY(A1026,2)</f>
        <v>5</v>
      </c>
      <c r="F1026" s="10" t="n">
        <f aca="false">WEEKNUM(A1026,2) - WEEKNUM(DATE(YEAR(A1026),MONTH(A1026),1),2) + 1</f>
        <v>3</v>
      </c>
      <c r="G1026" s="10" t="n">
        <v>1</v>
      </c>
      <c r="H1026" s="11" t="n">
        <v>1200</v>
      </c>
      <c r="I1026" s="12" t="s">
        <v>20</v>
      </c>
      <c r="J1026" s="12" t="s">
        <v>64</v>
      </c>
      <c r="K1026" s="12"/>
      <c r="L1026" s="9" t="n">
        <f aca="false">L1025+H1026</f>
        <v>52189.6</v>
      </c>
      <c r="M1026" s="10" t="str">
        <f aca="false">VLOOKUP(J1026,RECATALOGANDO!A:C,2,0)</f>
        <v>HONORARIOS QUIRURGICOS</v>
      </c>
      <c r="N1026" s="12" t="str">
        <f aca="false">VLOOKUP(M1026,RECATALOGANDO!B:C,2,0)</f>
        <v>VENTA DE SERVICIO</v>
      </c>
      <c r="O1026" s="2" t="s">
        <v>39</v>
      </c>
    </row>
    <row r="1027" customFormat="false" ht="13.8" hidden="false" customHeight="false" outlineLevel="0" collapsed="false">
      <c r="A1027" s="8" t="n">
        <v>45548</v>
      </c>
      <c r="B1027" s="9" t="n">
        <f aca="false">DAY(A1027)</f>
        <v>13</v>
      </c>
      <c r="C1027" s="9" t="n">
        <f aca="false">MONTH(A1027)</f>
        <v>9</v>
      </c>
      <c r="D1027" s="9" t="n">
        <f aca="false">YEAR(A1027)</f>
        <v>2024</v>
      </c>
      <c r="E1027" s="9" t="n">
        <f aca="false">WEEKDAY(A1027,2)</f>
        <v>5</v>
      </c>
      <c r="F1027" s="10" t="n">
        <f aca="false">WEEKNUM(A1027,2) - WEEKNUM(DATE(YEAR(A1027),MONTH(A1027),1),2) + 1</f>
        <v>3</v>
      </c>
      <c r="G1027" s="10" t="n">
        <v>1</v>
      </c>
      <c r="H1027" s="11" t="n">
        <v>4150</v>
      </c>
      <c r="I1027" s="12" t="s">
        <v>20</v>
      </c>
      <c r="J1027" s="12" t="s">
        <v>54</v>
      </c>
      <c r="K1027" s="12"/>
      <c r="L1027" s="9" t="n">
        <f aca="false">L1026+H1027</f>
        <v>56339.6</v>
      </c>
      <c r="M1027" s="10" t="str">
        <f aca="false">VLOOKUP(J1027,RECATALOGANDO!A:C,2,0)</f>
        <v>SERVICIO DE LABORATORIO</v>
      </c>
      <c r="N1027" s="12" t="str">
        <f aca="false">VLOOKUP(M1027,RECATALOGANDO!B:C,2,0)</f>
        <v>VENTA DE SERVICIO</v>
      </c>
      <c r="O1027" s="2" t="s">
        <v>39</v>
      </c>
    </row>
    <row r="1028" customFormat="false" ht="13.8" hidden="false" customHeight="false" outlineLevel="0" collapsed="false">
      <c r="A1028" s="8" t="n">
        <v>45549</v>
      </c>
      <c r="B1028" s="9" t="n">
        <f aca="false">DAY(A1028)</f>
        <v>14</v>
      </c>
      <c r="C1028" s="9" t="n">
        <f aca="false">MONTH(A1028)</f>
        <v>9</v>
      </c>
      <c r="D1028" s="9" t="n">
        <f aca="false">YEAR(A1028)</f>
        <v>2024</v>
      </c>
      <c r="E1028" s="9" t="n">
        <f aca="false">WEEKDAY(A1028,2)</f>
        <v>6</v>
      </c>
      <c r="F1028" s="10" t="n">
        <f aca="false">WEEKNUM(A1028,2) - WEEKNUM(DATE(YEAR(A1028),MONTH(A1028),1),2) + 1</f>
        <v>3</v>
      </c>
      <c r="G1028" s="10"/>
      <c r="H1028" s="11" t="n">
        <v>1160.42</v>
      </c>
      <c r="I1028" s="12" t="s">
        <v>15</v>
      </c>
      <c r="J1028" s="12" t="s">
        <v>45</v>
      </c>
      <c r="K1028" s="12"/>
      <c r="L1028" s="9" t="n">
        <f aca="false">L1027+H1028</f>
        <v>57500.02</v>
      </c>
      <c r="M1028" s="10" t="str">
        <f aca="false">VLOOKUP(J1028,RECATALOGANDO!A:C,2,0)</f>
        <v>VENTA DE MEDICAMENTO</v>
      </c>
      <c r="N1028" s="12" t="str">
        <f aca="false">VLOOKUP(M1028,RECATALOGANDO!B:C,2,0)</f>
        <v>VENTA DE PRODUCTO</v>
      </c>
      <c r="O1028" s="2" t="s">
        <v>39</v>
      </c>
    </row>
    <row r="1029" customFormat="false" ht="13.8" hidden="false" customHeight="false" outlineLevel="0" collapsed="false">
      <c r="A1029" s="8" t="n">
        <v>45552</v>
      </c>
      <c r="B1029" s="9" t="n">
        <f aca="false">DAY(A1029)</f>
        <v>17</v>
      </c>
      <c r="C1029" s="9" t="n">
        <f aca="false">MONTH(A1029)</f>
        <v>9</v>
      </c>
      <c r="D1029" s="9" t="n">
        <f aca="false">YEAR(A1029)</f>
        <v>2024</v>
      </c>
      <c r="E1029" s="9" t="n">
        <f aca="false">WEEKDAY(A1029,2)</f>
        <v>2</v>
      </c>
      <c r="F1029" s="10" t="n">
        <f aca="false">WEEKNUM(A1029,2) - WEEKNUM(DATE(YEAR(A1029),MONTH(A1029),1),2) + 1</f>
        <v>4</v>
      </c>
      <c r="G1029" s="10"/>
      <c r="H1029" s="11" t="n">
        <v>540</v>
      </c>
      <c r="I1029" s="12" t="s">
        <v>20</v>
      </c>
      <c r="J1029" s="12" t="s">
        <v>45</v>
      </c>
      <c r="K1029" s="12"/>
      <c r="L1029" s="9" t="n">
        <f aca="false">L1028+H1029</f>
        <v>58040.02</v>
      </c>
      <c r="M1029" s="10" t="str">
        <f aca="false">VLOOKUP(J1029,RECATALOGANDO!A:C,2,0)</f>
        <v>VENTA DE MEDICAMENTO</v>
      </c>
      <c r="N1029" s="12" t="str">
        <f aca="false">VLOOKUP(M1029,RECATALOGANDO!B:C,2,0)</f>
        <v>VENTA DE PRODUCTO</v>
      </c>
      <c r="O1029" s="2" t="s">
        <v>39</v>
      </c>
    </row>
    <row r="1030" customFormat="false" ht="13.8" hidden="false" customHeight="false" outlineLevel="0" collapsed="false">
      <c r="A1030" s="8" t="n">
        <v>45552</v>
      </c>
      <c r="B1030" s="9" t="n">
        <f aca="false">DAY(A1030)</f>
        <v>17</v>
      </c>
      <c r="C1030" s="9" t="n">
        <f aca="false">MONTH(A1030)</f>
        <v>9</v>
      </c>
      <c r="D1030" s="9" t="n">
        <f aca="false">YEAR(A1030)</f>
        <v>2024</v>
      </c>
      <c r="E1030" s="9" t="n">
        <f aca="false">WEEKDAY(A1030,2)</f>
        <v>2</v>
      </c>
      <c r="F1030" s="10" t="n">
        <f aca="false">WEEKNUM(A1030,2) - WEEKNUM(DATE(YEAR(A1030),MONTH(A1030),1),2) + 1</f>
        <v>4</v>
      </c>
      <c r="G1030" s="10"/>
      <c r="H1030" s="11" t="n">
        <v>720</v>
      </c>
      <c r="I1030" s="12" t="s">
        <v>20</v>
      </c>
      <c r="J1030" s="12" t="s">
        <v>45</v>
      </c>
      <c r="K1030" s="12"/>
      <c r="L1030" s="9" t="n">
        <f aca="false">L1029+H1030</f>
        <v>58760.02</v>
      </c>
      <c r="M1030" s="10" t="str">
        <f aca="false">VLOOKUP(J1030,RECATALOGANDO!A:C,2,0)</f>
        <v>VENTA DE MEDICAMENTO</v>
      </c>
      <c r="N1030" s="12" t="str">
        <f aca="false">VLOOKUP(M1030,RECATALOGANDO!B:C,2,0)</f>
        <v>VENTA DE PRODUCTO</v>
      </c>
      <c r="O1030" s="2" t="s">
        <v>39</v>
      </c>
    </row>
    <row r="1031" customFormat="false" ht="13.8" hidden="false" customHeight="false" outlineLevel="0" collapsed="false">
      <c r="A1031" s="8" t="n">
        <v>45552</v>
      </c>
      <c r="B1031" s="9" t="n">
        <f aca="false">DAY(A1031)</f>
        <v>17</v>
      </c>
      <c r="C1031" s="9" t="n">
        <f aca="false">MONTH(A1031)</f>
        <v>9</v>
      </c>
      <c r="D1031" s="9" t="n">
        <f aca="false">YEAR(A1031)</f>
        <v>2024</v>
      </c>
      <c r="E1031" s="9" t="n">
        <f aca="false">WEEKDAY(A1031,2)</f>
        <v>2</v>
      </c>
      <c r="F1031" s="10" t="n">
        <f aca="false">WEEKNUM(A1031,2) - WEEKNUM(DATE(YEAR(A1031),MONTH(A1031),1),2) + 1</f>
        <v>4</v>
      </c>
      <c r="G1031" s="10"/>
      <c r="H1031" s="11" t="n">
        <v>2160</v>
      </c>
      <c r="I1031" s="12" t="s">
        <v>20</v>
      </c>
      <c r="J1031" s="12" t="s">
        <v>51</v>
      </c>
      <c r="K1031" s="12"/>
      <c r="L1031" s="9" t="n">
        <f aca="false">L1030+H1031</f>
        <v>60920.02</v>
      </c>
      <c r="M1031" s="10" t="str">
        <f aca="false">VLOOKUP(J1031,RECATALOGANDO!A:C,2,0)</f>
        <v>VENTA DE ALIMENTO</v>
      </c>
      <c r="N1031" s="12" t="str">
        <f aca="false">VLOOKUP(M1031,RECATALOGANDO!B:C,2,0)</f>
        <v>VENTA DE PRODUCTO</v>
      </c>
      <c r="O1031" s="2" t="s">
        <v>39</v>
      </c>
    </row>
    <row r="1032" customFormat="false" ht="13.8" hidden="false" customHeight="false" outlineLevel="0" collapsed="false">
      <c r="A1032" s="8" t="n">
        <v>45552</v>
      </c>
      <c r="B1032" s="9" t="n">
        <f aca="false">DAY(A1032)</f>
        <v>17</v>
      </c>
      <c r="C1032" s="9" t="n">
        <f aca="false">MONTH(A1032)</f>
        <v>9</v>
      </c>
      <c r="D1032" s="9" t="n">
        <f aca="false">YEAR(A1032)</f>
        <v>2024</v>
      </c>
      <c r="E1032" s="9" t="n">
        <f aca="false">WEEKDAY(A1032,2)</f>
        <v>2</v>
      </c>
      <c r="F1032" s="10" t="n">
        <f aca="false">WEEKNUM(A1032,2) - WEEKNUM(DATE(YEAR(A1032),MONTH(A1032),1),2) + 1</f>
        <v>4</v>
      </c>
      <c r="G1032" s="10"/>
      <c r="H1032" s="11" t="n">
        <v>110</v>
      </c>
      <c r="I1032" s="12" t="s">
        <v>20</v>
      </c>
      <c r="J1032" s="12" t="s">
        <v>49</v>
      </c>
      <c r="K1032" s="12"/>
      <c r="L1032" s="9" t="n">
        <f aca="false">L1031+H1032</f>
        <v>61030.02</v>
      </c>
      <c r="M1032" s="10" t="str">
        <f aca="false">VLOOKUP(J1032,RECATALOGANDO!A:C,2,0)</f>
        <v>SERVICIO DE GROOMING</v>
      </c>
      <c r="N1032" s="12" t="str">
        <f aca="false">VLOOKUP(M1032,RECATALOGANDO!B:C,2,0)</f>
        <v>VENTA DE SERVICIO</v>
      </c>
      <c r="O1032" s="2" t="s">
        <v>39</v>
      </c>
    </row>
    <row r="1033" customFormat="false" ht="13.8" hidden="false" customHeight="false" outlineLevel="0" collapsed="false">
      <c r="A1033" s="8" t="n">
        <v>45552</v>
      </c>
      <c r="B1033" s="9" t="n">
        <f aca="false">DAY(A1033)</f>
        <v>17</v>
      </c>
      <c r="C1033" s="9" t="n">
        <f aca="false">MONTH(A1033)</f>
        <v>9</v>
      </c>
      <c r="D1033" s="9" t="n">
        <f aca="false">YEAR(A1033)</f>
        <v>2024</v>
      </c>
      <c r="E1033" s="9" t="n">
        <f aca="false">WEEKDAY(A1033,2)</f>
        <v>2</v>
      </c>
      <c r="F1033" s="10" t="n">
        <f aca="false">WEEKNUM(A1033,2) - WEEKNUM(DATE(YEAR(A1033),MONTH(A1033),1),2) + 1</f>
        <v>4</v>
      </c>
      <c r="G1033" s="10"/>
      <c r="H1033" s="11" t="n">
        <v>185</v>
      </c>
      <c r="I1033" s="12" t="s">
        <v>20</v>
      </c>
      <c r="J1033" s="12" t="s">
        <v>49</v>
      </c>
      <c r="K1033" s="12"/>
      <c r="L1033" s="9" t="n">
        <f aca="false">L1032+H1033</f>
        <v>61215.02</v>
      </c>
      <c r="M1033" s="10" t="str">
        <f aca="false">VLOOKUP(J1033,RECATALOGANDO!A:C,2,0)</f>
        <v>SERVICIO DE GROOMING</v>
      </c>
      <c r="N1033" s="12" t="str">
        <f aca="false">VLOOKUP(M1033,RECATALOGANDO!B:C,2,0)</f>
        <v>VENTA DE SERVICIO</v>
      </c>
      <c r="O1033" s="2" t="s">
        <v>39</v>
      </c>
    </row>
    <row r="1034" customFormat="false" ht="13.8" hidden="false" customHeight="false" outlineLevel="0" collapsed="false">
      <c r="A1034" s="8" t="n">
        <v>45552</v>
      </c>
      <c r="B1034" s="9" t="n">
        <f aca="false">DAY(A1034)</f>
        <v>17</v>
      </c>
      <c r="C1034" s="9" t="n">
        <f aca="false">MONTH(A1034)</f>
        <v>9</v>
      </c>
      <c r="D1034" s="9" t="n">
        <f aca="false">YEAR(A1034)</f>
        <v>2024</v>
      </c>
      <c r="E1034" s="9" t="n">
        <f aca="false">WEEKDAY(A1034,2)</f>
        <v>2</v>
      </c>
      <c r="F1034" s="10" t="n">
        <f aca="false">WEEKNUM(A1034,2) - WEEKNUM(DATE(YEAR(A1034),MONTH(A1034),1),2) + 1</f>
        <v>4</v>
      </c>
      <c r="G1034" s="10"/>
      <c r="H1034" s="11" t="n">
        <v>200</v>
      </c>
      <c r="I1034" s="12" t="s">
        <v>20</v>
      </c>
      <c r="J1034" s="12" t="s">
        <v>49</v>
      </c>
      <c r="K1034" s="12"/>
      <c r="L1034" s="9" t="n">
        <f aca="false">L1033+H1034</f>
        <v>61415.02</v>
      </c>
      <c r="M1034" s="10" t="str">
        <f aca="false">VLOOKUP(J1034,RECATALOGANDO!A:C,2,0)</f>
        <v>SERVICIO DE GROOMING</v>
      </c>
      <c r="N1034" s="12" t="str">
        <f aca="false">VLOOKUP(M1034,RECATALOGANDO!B:C,2,0)</f>
        <v>VENTA DE SERVICIO</v>
      </c>
      <c r="O1034" s="2" t="s">
        <v>39</v>
      </c>
    </row>
    <row r="1035" customFormat="false" ht="13.8" hidden="false" customHeight="false" outlineLevel="0" collapsed="false">
      <c r="A1035" s="8" t="n">
        <v>45552</v>
      </c>
      <c r="B1035" s="9" t="n">
        <f aca="false">DAY(A1035)</f>
        <v>17</v>
      </c>
      <c r="C1035" s="9" t="n">
        <f aca="false">MONTH(A1035)</f>
        <v>9</v>
      </c>
      <c r="D1035" s="9" t="n">
        <f aca="false">YEAR(A1035)</f>
        <v>2024</v>
      </c>
      <c r="E1035" s="9" t="n">
        <f aca="false">WEEKDAY(A1035,2)</f>
        <v>2</v>
      </c>
      <c r="F1035" s="10" t="n">
        <f aca="false">WEEKNUM(A1035,2) - WEEKNUM(DATE(YEAR(A1035),MONTH(A1035),1),2) + 1</f>
        <v>4</v>
      </c>
      <c r="G1035" s="10"/>
      <c r="H1035" s="11" t="n">
        <v>230</v>
      </c>
      <c r="I1035" s="12" t="s">
        <v>20</v>
      </c>
      <c r="J1035" s="12" t="s">
        <v>49</v>
      </c>
      <c r="K1035" s="12"/>
      <c r="L1035" s="9" t="n">
        <f aca="false">L1034+H1035</f>
        <v>61645.02</v>
      </c>
      <c r="M1035" s="10" t="str">
        <f aca="false">VLOOKUP(J1035,RECATALOGANDO!A:C,2,0)</f>
        <v>SERVICIO DE GROOMING</v>
      </c>
      <c r="N1035" s="12" t="str">
        <f aca="false">VLOOKUP(M1035,RECATALOGANDO!B:C,2,0)</f>
        <v>VENTA DE SERVICIO</v>
      </c>
      <c r="O1035" s="2" t="s">
        <v>39</v>
      </c>
    </row>
    <row r="1036" customFormat="false" ht="13.8" hidden="false" customHeight="false" outlineLevel="0" collapsed="false">
      <c r="A1036" s="8" t="n">
        <v>45552</v>
      </c>
      <c r="B1036" s="9" t="n">
        <f aca="false">DAY(A1036)</f>
        <v>17</v>
      </c>
      <c r="C1036" s="9" t="n">
        <f aca="false">MONTH(A1036)</f>
        <v>9</v>
      </c>
      <c r="D1036" s="9" t="n">
        <f aca="false">YEAR(A1036)</f>
        <v>2024</v>
      </c>
      <c r="E1036" s="9" t="n">
        <f aca="false">WEEKDAY(A1036,2)</f>
        <v>2</v>
      </c>
      <c r="F1036" s="10" t="n">
        <f aca="false">WEEKNUM(A1036,2) - WEEKNUM(DATE(YEAR(A1036),MONTH(A1036),1),2) + 1</f>
        <v>4</v>
      </c>
      <c r="G1036" s="10"/>
      <c r="H1036" s="11" t="n">
        <v>280</v>
      </c>
      <c r="I1036" s="12" t="s">
        <v>20</v>
      </c>
      <c r="J1036" s="12" t="s">
        <v>49</v>
      </c>
      <c r="K1036" s="12"/>
      <c r="L1036" s="9" t="n">
        <f aca="false">L1035+H1036</f>
        <v>61925.02</v>
      </c>
      <c r="M1036" s="10" t="str">
        <f aca="false">VLOOKUP(J1036,RECATALOGANDO!A:C,2,0)</f>
        <v>SERVICIO DE GROOMING</v>
      </c>
      <c r="N1036" s="12" t="str">
        <f aca="false">VLOOKUP(M1036,RECATALOGANDO!B:C,2,0)</f>
        <v>VENTA DE SERVICIO</v>
      </c>
      <c r="O1036" s="2" t="s">
        <v>39</v>
      </c>
    </row>
    <row r="1037" customFormat="false" ht="13.8" hidden="false" customHeight="false" outlineLevel="0" collapsed="false">
      <c r="A1037" s="8" t="n">
        <v>45552</v>
      </c>
      <c r="B1037" s="9" t="n">
        <f aca="false">DAY(A1037)</f>
        <v>17</v>
      </c>
      <c r="C1037" s="9" t="n">
        <f aca="false">MONTH(A1037)</f>
        <v>9</v>
      </c>
      <c r="D1037" s="9" t="n">
        <f aca="false">YEAR(A1037)</f>
        <v>2024</v>
      </c>
      <c r="E1037" s="9" t="n">
        <f aca="false">WEEKDAY(A1037,2)</f>
        <v>2</v>
      </c>
      <c r="F1037" s="10" t="n">
        <f aca="false">WEEKNUM(A1037,2) - WEEKNUM(DATE(YEAR(A1037),MONTH(A1037),1),2) + 1</f>
        <v>4</v>
      </c>
      <c r="G1037" s="10"/>
      <c r="H1037" s="11" t="n">
        <v>1440</v>
      </c>
      <c r="I1037" s="12" t="s">
        <v>20</v>
      </c>
      <c r="J1037" s="12" t="s">
        <v>59</v>
      </c>
      <c r="K1037" s="12"/>
      <c r="L1037" s="9" t="n">
        <f aca="false">L1036+H1037</f>
        <v>63365.02</v>
      </c>
      <c r="M1037" s="10" t="str">
        <f aca="false">VLOOKUP(J1037,RECATALOGANDO!A:C,2,0)</f>
        <v>SERVICIO DE PENSION</v>
      </c>
      <c r="N1037" s="12" t="str">
        <f aca="false">VLOOKUP(M1037,RECATALOGANDO!B:C,2,0)</f>
        <v>VENTA DE SERVICIO</v>
      </c>
      <c r="O1037" s="2" t="s">
        <v>39</v>
      </c>
    </row>
    <row r="1038" customFormat="false" ht="13.8" hidden="false" customHeight="false" outlineLevel="0" collapsed="false">
      <c r="A1038" s="8" t="n">
        <v>45557</v>
      </c>
      <c r="B1038" s="9" t="n">
        <f aca="false">DAY(A1038)</f>
        <v>22</v>
      </c>
      <c r="C1038" s="9" t="n">
        <f aca="false">MONTH(A1038)</f>
        <v>9</v>
      </c>
      <c r="D1038" s="9" t="n">
        <f aca="false">YEAR(A1038)</f>
        <v>2024</v>
      </c>
      <c r="E1038" s="9" t="n">
        <f aca="false">WEEKDAY(A1038,2)</f>
        <v>7</v>
      </c>
      <c r="F1038" s="10" t="n">
        <f aca="false">WEEKNUM(A1038,2) - WEEKNUM(DATE(YEAR(A1038),MONTH(A1038),1),2) + 1</f>
        <v>4</v>
      </c>
      <c r="G1038" s="10"/>
      <c r="H1038" s="11" t="n">
        <v>2162.59</v>
      </c>
      <c r="I1038" s="12" t="s">
        <v>15</v>
      </c>
      <c r="J1038" s="12" t="s">
        <v>59</v>
      </c>
      <c r="K1038" s="12"/>
      <c r="L1038" s="9" t="n">
        <f aca="false">L1037+H1038</f>
        <v>65527.61</v>
      </c>
      <c r="M1038" s="10" t="str">
        <f aca="false">VLOOKUP(J1038,RECATALOGANDO!A:C,2,0)</f>
        <v>SERVICIO DE PENSION</v>
      </c>
      <c r="N1038" s="12" t="str">
        <f aca="false">VLOOKUP(M1038,RECATALOGANDO!B:C,2,0)</f>
        <v>VENTA DE SERVICIO</v>
      </c>
      <c r="O1038" s="2" t="s">
        <v>39</v>
      </c>
    </row>
    <row r="1039" customFormat="false" ht="13.8" hidden="false" customHeight="false" outlineLevel="0" collapsed="false">
      <c r="A1039" s="8" t="n">
        <v>45558</v>
      </c>
      <c r="B1039" s="9" t="n">
        <f aca="false">DAY(A1039)</f>
        <v>23</v>
      </c>
      <c r="C1039" s="9" t="n">
        <f aca="false">MONTH(A1039)</f>
        <v>9</v>
      </c>
      <c r="D1039" s="9" t="n">
        <f aca="false">YEAR(A1039)</f>
        <v>2024</v>
      </c>
      <c r="E1039" s="9" t="n">
        <f aca="false">WEEKDAY(A1039,2)</f>
        <v>1</v>
      </c>
      <c r="F1039" s="10" t="n">
        <f aca="false">WEEKNUM(A1039,2) - WEEKNUM(DATE(YEAR(A1039),MONTH(A1039),1),2) + 1</f>
        <v>5</v>
      </c>
      <c r="G1039" s="10"/>
      <c r="H1039" s="11" t="n">
        <v>630</v>
      </c>
      <c r="I1039" s="12" t="s">
        <v>20</v>
      </c>
      <c r="J1039" s="12" t="s">
        <v>45</v>
      </c>
      <c r="K1039" s="12"/>
      <c r="L1039" s="9" t="n">
        <f aca="false">L1038+H1039</f>
        <v>66157.61</v>
      </c>
      <c r="M1039" s="10" t="str">
        <f aca="false">VLOOKUP(J1039,RECATALOGANDO!A:C,2,0)</f>
        <v>VENTA DE MEDICAMENTO</v>
      </c>
      <c r="N1039" s="12" t="str">
        <f aca="false">VLOOKUP(M1039,RECATALOGANDO!B:C,2,0)</f>
        <v>VENTA DE PRODUCTO</v>
      </c>
      <c r="O1039" s="2" t="s">
        <v>39</v>
      </c>
    </row>
    <row r="1040" customFormat="false" ht="13.8" hidden="false" customHeight="false" outlineLevel="0" collapsed="false">
      <c r="A1040" s="8" t="n">
        <v>45559</v>
      </c>
      <c r="B1040" s="9" t="n">
        <f aca="false">DAY(A1040)</f>
        <v>24</v>
      </c>
      <c r="C1040" s="9" t="n">
        <f aca="false">MONTH(A1040)</f>
        <v>9</v>
      </c>
      <c r="D1040" s="9" t="n">
        <f aca="false">YEAR(A1040)</f>
        <v>2024</v>
      </c>
      <c r="E1040" s="9" t="n">
        <f aca="false">WEEKDAY(A1040,2)</f>
        <v>2</v>
      </c>
      <c r="F1040" s="10" t="n">
        <f aca="false">WEEKNUM(A1040,2) - WEEKNUM(DATE(YEAR(A1040),MONTH(A1040),1),2) + 1</f>
        <v>5</v>
      </c>
      <c r="G1040" s="10"/>
      <c r="H1040" s="11" t="n">
        <v>851</v>
      </c>
      <c r="I1040" s="12" t="s">
        <v>20</v>
      </c>
      <c r="J1040" s="12" t="s">
        <v>45</v>
      </c>
      <c r="K1040" s="12"/>
      <c r="L1040" s="9" t="n">
        <f aca="false">L1039+H1040</f>
        <v>67008.61</v>
      </c>
      <c r="M1040" s="10" t="str">
        <f aca="false">VLOOKUP(J1040,RECATALOGANDO!A:C,2,0)</f>
        <v>VENTA DE MEDICAMENTO</v>
      </c>
      <c r="N1040" s="12" t="str">
        <f aca="false">VLOOKUP(M1040,RECATALOGANDO!B:C,2,0)</f>
        <v>VENTA DE PRODUCTO</v>
      </c>
      <c r="O1040" s="2" t="s">
        <v>39</v>
      </c>
    </row>
    <row r="1041" customFormat="false" ht="13.8" hidden="false" customHeight="false" outlineLevel="0" collapsed="false">
      <c r="A1041" s="8" t="n">
        <v>45559</v>
      </c>
      <c r="B1041" s="9" t="n">
        <f aca="false">DAY(A1041)</f>
        <v>24</v>
      </c>
      <c r="C1041" s="9" t="n">
        <f aca="false">MONTH(A1041)</f>
        <v>9</v>
      </c>
      <c r="D1041" s="9" t="n">
        <f aca="false">YEAR(A1041)</f>
        <v>2024</v>
      </c>
      <c r="E1041" s="9" t="n">
        <f aca="false">WEEKDAY(A1041,2)</f>
        <v>2</v>
      </c>
      <c r="F1041" s="10" t="n">
        <f aca="false">WEEKNUM(A1041,2) - WEEKNUM(DATE(YEAR(A1041),MONTH(A1041),1),2) + 1</f>
        <v>5</v>
      </c>
      <c r="G1041" s="10"/>
      <c r="H1041" s="11" t="n">
        <v>1169</v>
      </c>
      <c r="I1041" s="12" t="s">
        <v>20</v>
      </c>
      <c r="J1041" s="12" t="s">
        <v>45</v>
      </c>
      <c r="K1041" s="12"/>
      <c r="L1041" s="9" t="n">
        <f aca="false">L1040+H1041</f>
        <v>68177.61</v>
      </c>
      <c r="M1041" s="10" t="str">
        <f aca="false">VLOOKUP(J1041,RECATALOGANDO!A:C,2,0)</f>
        <v>VENTA DE MEDICAMENTO</v>
      </c>
      <c r="N1041" s="12" t="str">
        <f aca="false">VLOOKUP(M1041,RECATALOGANDO!B:C,2,0)</f>
        <v>VENTA DE PRODUCTO</v>
      </c>
      <c r="O1041" s="2" t="s">
        <v>39</v>
      </c>
    </row>
    <row r="1042" customFormat="false" ht="13.8" hidden="false" customHeight="false" outlineLevel="0" collapsed="false">
      <c r="A1042" s="8" t="n">
        <v>45559</v>
      </c>
      <c r="B1042" s="9" t="n">
        <f aca="false">DAY(A1042)</f>
        <v>24</v>
      </c>
      <c r="C1042" s="9" t="n">
        <f aca="false">MONTH(A1042)</f>
        <v>9</v>
      </c>
      <c r="D1042" s="9" t="n">
        <f aca="false">YEAR(A1042)</f>
        <v>2024</v>
      </c>
      <c r="E1042" s="9" t="n">
        <f aca="false">WEEKDAY(A1042,2)</f>
        <v>2</v>
      </c>
      <c r="F1042" s="10" t="n">
        <f aca="false">WEEKNUM(A1042,2) - WEEKNUM(DATE(YEAR(A1042),MONTH(A1042),1),2) + 1</f>
        <v>5</v>
      </c>
      <c r="G1042" s="10"/>
      <c r="H1042" s="11" t="n">
        <v>1200</v>
      </c>
      <c r="I1042" s="12" t="s">
        <v>20</v>
      </c>
      <c r="J1042" s="12" t="s">
        <v>54</v>
      </c>
      <c r="K1042" s="12"/>
      <c r="L1042" s="9" t="n">
        <f aca="false">L1041+H1042</f>
        <v>69377.61</v>
      </c>
      <c r="M1042" s="10" t="str">
        <f aca="false">VLOOKUP(J1042,RECATALOGANDO!A:C,2,0)</f>
        <v>SERVICIO DE LABORATORIO</v>
      </c>
      <c r="N1042" s="12" t="str">
        <f aca="false">VLOOKUP(M1042,RECATALOGANDO!B:C,2,0)</f>
        <v>VENTA DE SERVICIO</v>
      </c>
      <c r="O1042" s="2" t="s">
        <v>39</v>
      </c>
    </row>
    <row r="1043" customFormat="false" ht="13.8" hidden="false" customHeight="false" outlineLevel="0" collapsed="false">
      <c r="A1043" s="8" t="n">
        <v>45560</v>
      </c>
      <c r="B1043" s="9" t="n">
        <f aca="false">DAY(A1043)</f>
        <v>25</v>
      </c>
      <c r="C1043" s="9" t="n">
        <f aca="false">MONTH(A1043)</f>
        <v>9</v>
      </c>
      <c r="D1043" s="9" t="n">
        <f aca="false">YEAR(A1043)</f>
        <v>2024</v>
      </c>
      <c r="E1043" s="9" t="n">
        <f aca="false">WEEKDAY(A1043,2)</f>
        <v>3</v>
      </c>
      <c r="F1043" s="10" t="n">
        <f aca="false">WEEKNUM(A1043,2) - WEEKNUM(DATE(YEAR(A1043),MONTH(A1043),1),2) + 1</f>
        <v>5</v>
      </c>
      <c r="G1043" s="10"/>
      <c r="H1043" s="11" t="n">
        <v>360</v>
      </c>
      <c r="I1043" s="12" t="s">
        <v>20</v>
      </c>
      <c r="J1043" s="12" t="s">
        <v>45</v>
      </c>
      <c r="K1043" s="12"/>
      <c r="L1043" s="9" t="n">
        <f aca="false">L1042+H1043</f>
        <v>69737.61</v>
      </c>
      <c r="M1043" s="10" t="str">
        <f aca="false">VLOOKUP(J1043,RECATALOGANDO!A:C,2,0)</f>
        <v>VENTA DE MEDICAMENTO</v>
      </c>
      <c r="N1043" s="12" t="str">
        <f aca="false">VLOOKUP(M1043,RECATALOGANDO!B:C,2,0)</f>
        <v>VENTA DE PRODUCTO</v>
      </c>
      <c r="O1043" s="2" t="s">
        <v>39</v>
      </c>
    </row>
    <row r="1044" customFormat="false" ht="13.8" hidden="false" customHeight="false" outlineLevel="0" collapsed="false">
      <c r="A1044" s="8" t="n">
        <v>45560</v>
      </c>
      <c r="B1044" s="9" t="n">
        <f aca="false">DAY(A1044)</f>
        <v>25</v>
      </c>
      <c r="C1044" s="9" t="n">
        <f aca="false">MONTH(A1044)</f>
        <v>9</v>
      </c>
      <c r="D1044" s="9" t="n">
        <f aca="false">YEAR(A1044)</f>
        <v>2024</v>
      </c>
      <c r="E1044" s="9" t="n">
        <f aca="false">WEEKDAY(A1044,2)</f>
        <v>3</v>
      </c>
      <c r="F1044" s="10" t="n">
        <f aca="false">WEEKNUM(A1044,2) - WEEKNUM(DATE(YEAR(A1044),MONTH(A1044),1),2) + 1</f>
        <v>5</v>
      </c>
      <c r="G1044" s="10"/>
      <c r="H1044" s="11" t="n">
        <v>575.97</v>
      </c>
      <c r="I1044" s="12" t="s">
        <v>15</v>
      </c>
      <c r="J1044" s="22" t="s">
        <v>51</v>
      </c>
      <c r="K1044" s="12"/>
      <c r="L1044" s="9" t="n">
        <f aca="false">L1043+H1044</f>
        <v>70313.58</v>
      </c>
      <c r="M1044" s="10" t="str">
        <f aca="false">VLOOKUP(J1044,RECATALOGANDO!A:C,2,0)</f>
        <v>VENTA DE ALIMENTO</v>
      </c>
      <c r="N1044" s="12" t="str">
        <f aca="false">VLOOKUP(M1044,RECATALOGANDO!B:C,2,0)</f>
        <v>VENTA DE PRODUCTO</v>
      </c>
      <c r="O1044" s="2" t="s">
        <v>39</v>
      </c>
    </row>
    <row r="1045" customFormat="false" ht="13.8" hidden="false" customHeight="false" outlineLevel="0" collapsed="false">
      <c r="A1045" s="8" t="n">
        <v>45560</v>
      </c>
      <c r="B1045" s="9" t="n">
        <f aca="false">DAY(A1045)</f>
        <v>25</v>
      </c>
      <c r="C1045" s="9" t="n">
        <f aca="false">MONTH(A1045)</f>
        <v>9</v>
      </c>
      <c r="D1045" s="9" t="n">
        <f aca="false">YEAR(A1045)</f>
        <v>2024</v>
      </c>
      <c r="E1045" s="9" t="n">
        <f aca="false">WEEKDAY(A1045,2)</f>
        <v>3</v>
      </c>
      <c r="F1045" s="10" t="n">
        <f aca="false">WEEKNUM(A1045,2) - WEEKNUM(DATE(YEAR(A1045),MONTH(A1045),1),2) + 1</f>
        <v>5</v>
      </c>
      <c r="G1045" s="10"/>
      <c r="H1045" s="11" t="n">
        <v>1230</v>
      </c>
      <c r="I1045" s="12" t="s">
        <v>15</v>
      </c>
      <c r="J1045" s="12" t="s">
        <v>51</v>
      </c>
      <c r="K1045" s="12"/>
      <c r="L1045" s="9" t="n">
        <f aca="false">L1044+H1045</f>
        <v>71543.58</v>
      </c>
      <c r="M1045" s="10" t="str">
        <f aca="false">VLOOKUP(J1045,RECATALOGANDO!A:C,2,0)</f>
        <v>VENTA DE ALIMENTO</v>
      </c>
      <c r="N1045" s="12" t="str">
        <f aca="false">VLOOKUP(M1045,RECATALOGANDO!B:C,2,0)</f>
        <v>VENTA DE PRODUCTO</v>
      </c>
      <c r="O1045" s="2" t="s">
        <v>39</v>
      </c>
    </row>
    <row r="1046" customFormat="false" ht="13.8" hidden="false" customHeight="false" outlineLevel="0" collapsed="false">
      <c r="A1046" s="8" t="n">
        <v>45560</v>
      </c>
      <c r="B1046" s="9" t="n">
        <f aca="false">DAY(A1046)</f>
        <v>25</v>
      </c>
      <c r="C1046" s="9" t="n">
        <f aca="false">MONTH(A1046)</f>
        <v>9</v>
      </c>
      <c r="D1046" s="9" t="n">
        <f aca="false">YEAR(A1046)</f>
        <v>2024</v>
      </c>
      <c r="E1046" s="9" t="n">
        <f aca="false">WEEKDAY(A1046,2)</f>
        <v>3</v>
      </c>
      <c r="F1046" s="10" t="n">
        <f aca="false">WEEKNUM(A1046,2) - WEEKNUM(DATE(YEAR(A1046),MONTH(A1046),1),2) + 1</f>
        <v>5</v>
      </c>
      <c r="G1046" s="10"/>
      <c r="H1046" s="11" t="n">
        <v>6710</v>
      </c>
      <c r="I1046" s="12" t="s">
        <v>15</v>
      </c>
      <c r="J1046" s="12" t="s">
        <v>64</v>
      </c>
      <c r="K1046" s="12"/>
      <c r="L1046" s="9" t="n">
        <f aca="false">L1045+H1046</f>
        <v>78253.58</v>
      </c>
      <c r="M1046" s="10" t="str">
        <f aca="false">VLOOKUP(J1046,RECATALOGANDO!A:C,2,0)</f>
        <v>HONORARIOS QUIRURGICOS</v>
      </c>
      <c r="N1046" s="12" t="str">
        <f aca="false">VLOOKUP(M1046,RECATALOGANDO!B:C,2,0)</f>
        <v>VENTA DE SERVICIO</v>
      </c>
      <c r="O1046" s="2" t="s">
        <v>39</v>
      </c>
    </row>
    <row r="1047" customFormat="false" ht="13.8" hidden="false" customHeight="false" outlineLevel="0" collapsed="false">
      <c r="A1047" s="8" t="n">
        <v>45561</v>
      </c>
      <c r="B1047" s="9" t="n">
        <f aca="false">DAY(A1047)</f>
        <v>26</v>
      </c>
      <c r="C1047" s="9" t="n">
        <f aca="false">MONTH(A1047)</f>
        <v>9</v>
      </c>
      <c r="D1047" s="9" t="n">
        <f aca="false">YEAR(A1047)</f>
        <v>2024</v>
      </c>
      <c r="E1047" s="9" t="n">
        <f aca="false">WEEKDAY(A1047,2)</f>
        <v>4</v>
      </c>
      <c r="F1047" s="10" t="n">
        <f aca="false">WEEKNUM(A1047,2) - WEEKNUM(DATE(YEAR(A1047),MONTH(A1047),1),2) + 1</f>
        <v>5</v>
      </c>
      <c r="G1047" s="10"/>
      <c r="H1047" s="11" t="n">
        <v>2280</v>
      </c>
      <c r="I1047" s="12" t="s">
        <v>20</v>
      </c>
      <c r="J1047" s="12" t="s">
        <v>51</v>
      </c>
      <c r="K1047" s="12"/>
      <c r="L1047" s="9" t="n">
        <f aca="false">L1046+H1047</f>
        <v>80533.58</v>
      </c>
      <c r="M1047" s="10" t="str">
        <f aca="false">VLOOKUP(J1047,RECATALOGANDO!A:C,2,0)</f>
        <v>VENTA DE ALIMENTO</v>
      </c>
      <c r="N1047" s="12" t="str">
        <f aca="false">VLOOKUP(M1047,RECATALOGANDO!B:C,2,0)</f>
        <v>VENTA DE PRODUCTO</v>
      </c>
      <c r="O1047" s="2" t="s">
        <v>39</v>
      </c>
    </row>
    <row r="1048" customFormat="false" ht="13.8" hidden="false" customHeight="false" outlineLevel="0" collapsed="false">
      <c r="A1048" s="8" t="n">
        <v>45563</v>
      </c>
      <c r="B1048" s="9" t="n">
        <f aca="false">DAY(A1048)</f>
        <v>28</v>
      </c>
      <c r="C1048" s="9" t="n">
        <f aca="false">MONTH(A1048)</f>
        <v>9</v>
      </c>
      <c r="D1048" s="9" t="n">
        <f aca="false">YEAR(A1048)</f>
        <v>2024</v>
      </c>
      <c r="E1048" s="9" t="n">
        <f aca="false">WEEKDAY(A1048,2)</f>
        <v>6</v>
      </c>
      <c r="F1048" s="10" t="n">
        <f aca="false">WEEKNUM(A1048,2) - WEEKNUM(DATE(YEAR(A1048),MONTH(A1048),1),2) + 1</f>
        <v>5</v>
      </c>
      <c r="G1048" s="10"/>
      <c r="H1048" s="11" t="n">
        <v>1865.7</v>
      </c>
      <c r="I1048" s="12" t="s">
        <v>15</v>
      </c>
      <c r="J1048" s="12" t="s">
        <v>51</v>
      </c>
      <c r="K1048" s="12"/>
      <c r="L1048" s="9" t="n">
        <f aca="false">L1047+H1048</f>
        <v>82399.28</v>
      </c>
      <c r="M1048" s="10" t="str">
        <f aca="false">VLOOKUP(J1048,RECATALOGANDO!A:C,2,0)</f>
        <v>VENTA DE ALIMENTO</v>
      </c>
      <c r="N1048" s="12" t="str">
        <f aca="false">VLOOKUP(M1048,RECATALOGANDO!B:C,2,0)</f>
        <v>VENTA DE PRODUCTO</v>
      </c>
      <c r="O1048" s="2" t="s">
        <v>39</v>
      </c>
    </row>
    <row r="1049" customFormat="false" ht="13.8" hidden="false" customHeight="false" outlineLevel="0" collapsed="false">
      <c r="A1049" s="8" t="n">
        <v>45564</v>
      </c>
      <c r="B1049" s="9" t="n">
        <f aca="false">DAY(A1049)</f>
        <v>29</v>
      </c>
      <c r="C1049" s="9" t="n">
        <f aca="false">MONTH(A1049)</f>
        <v>9</v>
      </c>
      <c r="D1049" s="9" t="n">
        <f aca="false">YEAR(A1049)</f>
        <v>2024</v>
      </c>
      <c r="E1049" s="9" t="n">
        <f aca="false">WEEKDAY(A1049,2)</f>
        <v>7</v>
      </c>
      <c r="F1049" s="10" t="n">
        <f aca="false">WEEKNUM(A1049,2) - WEEKNUM(DATE(YEAR(A1049),MONTH(A1049),1),2) + 1</f>
        <v>5</v>
      </c>
      <c r="G1049" s="10"/>
      <c r="H1049" s="11" t="n">
        <v>2333.32</v>
      </c>
      <c r="I1049" s="12" t="s">
        <v>15</v>
      </c>
      <c r="J1049" s="12" t="s">
        <v>54</v>
      </c>
      <c r="K1049" s="12"/>
      <c r="L1049" s="9" t="n">
        <f aca="false">L1048+H1049</f>
        <v>84732.6</v>
      </c>
      <c r="M1049" s="10" t="str">
        <f aca="false">VLOOKUP(J1049,RECATALOGANDO!A:C,2,0)</f>
        <v>SERVICIO DE LABORATORIO</v>
      </c>
      <c r="N1049" s="12" t="str">
        <f aca="false">VLOOKUP(M1049,RECATALOGANDO!B:C,2,0)</f>
        <v>VENTA DE SERVICIO</v>
      </c>
      <c r="O1049" s="2" t="s">
        <v>39</v>
      </c>
    </row>
    <row r="1050" customFormat="false" ht="13.8" hidden="false" customHeight="false" outlineLevel="0" collapsed="false">
      <c r="A1050" s="8" t="n">
        <v>45566</v>
      </c>
      <c r="B1050" s="9" t="n">
        <f aca="false">DAY(A1050)</f>
        <v>1</v>
      </c>
      <c r="C1050" s="9" t="n">
        <f aca="false">MONTH(A1050)</f>
        <v>10</v>
      </c>
      <c r="D1050" s="9" t="n">
        <f aca="false">YEAR(A1050)</f>
        <v>2024</v>
      </c>
      <c r="E1050" s="9" t="n">
        <f aca="false">WEEKDAY(A1050,2)</f>
        <v>2</v>
      </c>
      <c r="F1050" s="10" t="n">
        <f aca="false">WEEKNUM(A1050,2) - WEEKNUM(DATE(YEAR(A1050),MONTH(A1050),1),2) + 1</f>
        <v>1</v>
      </c>
      <c r="G1050" s="10"/>
      <c r="H1050" s="11" t="n">
        <v>6094</v>
      </c>
      <c r="I1050" s="12" t="s">
        <v>15</v>
      </c>
      <c r="J1050" s="12" t="s">
        <v>64</v>
      </c>
      <c r="K1050" s="12"/>
      <c r="L1050" s="9" t="n">
        <f aca="false">H1050</f>
        <v>6094</v>
      </c>
      <c r="M1050" s="10" t="str">
        <f aca="false">VLOOKUP(J1050,RECATALOGANDO!A:C,2,0)</f>
        <v>HONORARIOS QUIRURGICOS</v>
      </c>
      <c r="N1050" s="12" t="str">
        <f aca="false">VLOOKUP(M1050,RECATALOGANDO!B:C,2,0)</f>
        <v>VENTA DE SERVICIO</v>
      </c>
      <c r="O1050" s="2" t="s">
        <v>39</v>
      </c>
    </row>
    <row r="1051" customFormat="false" ht="13.8" hidden="false" customHeight="false" outlineLevel="0" collapsed="false">
      <c r="A1051" s="8" t="n">
        <v>45567</v>
      </c>
      <c r="B1051" s="9" t="n">
        <f aca="false">DAY(A1051)</f>
        <v>2</v>
      </c>
      <c r="C1051" s="9" t="n">
        <f aca="false">MONTH(A1051)</f>
        <v>10</v>
      </c>
      <c r="D1051" s="9" t="n">
        <f aca="false">YEAR(A1051)</f>
        <v>2024</v>
      </c>
      <c r="E1051" s="9" t="n">
        <f aca="false">WEEKDAY(A1051,2)</f>
        <v>3</v>
      </c>
      <c r="F1051" s="10" t="n">
        <f aca="false">WEEKNUM(A1051,2) - WEEKNUM(DATE(YEAR(A1051),MONTH(A1051),1),2) + 1</f>
        <v>1</v>
      </c>
      <c r="G1051" s="10"/>
      <c r="H1051" s="11" t="n">
        <v>3700</v>
      </c>
      <c r="I1051" s="12" t="s">
        <v>20</v>
      </c>
      <c r="J1051" s="12" t="s">
        <v>45</v>
      </c>
      <c r="K1051" s="12"/>
      <c r="L1051" s="9" t="n">
        <f aca="false">L1050+H1051</f>
        <v>9794</v>
      </c>
      <c r="M1051" s="10" t="str">
        <f aca="false">VLOOKUP(J1051,RECATALOGANDO!A:C,2,0)</f>
        <v>VENTA DE MEDICAMENTO</v>
      </c>
      <c r="N1051" s="12" t="str">
        <f aca="false">VLOOKUP(M1051,RECATALOGANDO!B:C,2,0)</f>
        <v>VENTA DE PRODUCTO</v>
      </c>
      <c r="O1051" s="2" t="s">
        <v>39</v>
      </c>
    </row>
    <row r="1052" customFormat="false" ht="13.8" hidden="false" customHeight="false" outlineLevel="0" collapsed="false">
      <c r="A1052" s="8" t="n">
        <v>45567</v>
      </c>
      <c r="B1052" s="9" t="n">
        <f aca="false">DAY(A1052)</f>
        <v>2</v>
      </c>
      <c r="C1052" s="9" t="n">
        <f aca="false">MONTH(A1052)</f>
        <v>10</v>
      </c>
      <c r="D1052" s="9" t="n">
        <f aca="false">YEAR(A1052)</f>
        <v>2024</v>
      </c>
      <c r="E1052" s="9" t="n">
        <f aca="false">WEEKDAY(A1052,2)</f>
        <v>3</v>
      </c>
      <c r="F1052" s="10" t="n">
        <f aca="false">WEEKNUM(A1052,2) - WEEKNUM(DATE(YEAR(A1052),MONTH(A1052),1),2) + 1</f>
        <v>1</v>
      </c>
      <c r="G1052" s="10"/>
      <c r="H1052" s="11" t="n">
        <v>379</v>
      </c>
      <c r="I1052" s="12" t="s">
        <v>20</v>
      </c>
      <c r="J1052" s="12" t="s">
        <v>49</v>
      </c>
      <c r="K1052" s="12"/>
      <c r="L1052" s="9" t="n">
        <f aca="false">L1051+H1052</f>
        <v>10173</v>
      </c>
      <c r="M1052" s="10" t="str">
        <f aca="false">VLOOKUP(J1052,RECATALOGANDO!A:C,2,0)</f>
        <v>SERVICIO DE GROOMING</v>
      </c>
      <c r="N1052" s="12" t="str">
        <f aca="false">VLOOKUP(M1052,RECATALOGANDO!B:C,2,0)</f>
        <v>VENTA DE SERVICIO</v>
      </c>
      <c r="O1052" s="2" t="s">
        <v>39</v>
      </c>
    </row>
    <row r="1053" customFormat="false" ht="13.8" hidden="false" customHeight="false" outlineLevel="0" collapsed="false">
      <c r="A1053" s="8" t="n">
        <v>45567</v>
      </c>
      <c r="B1053" s="9" t="n">
        <f aca="false">DAY(A1053)</f>
        <v>2</v>
      </c>
      <c r="C1053" s="9" t="n">
        <f aca="false">MONTH(A1053)</f>
        <v>10</v>
      </c>
      <c r="D1053" s="9" t="n">
        <f aca="false">YEAR(A1053)</f>
        <v>2024</v>
      </c>
      <c r="E1053" s="9" t="n">
        <f aca="false">WEEKDAY(A1053,2)</f>
        <v>3</v>
      </c>
      <c r="F1053" s="10" t="n">
        <f aca="false">WEEKNUM(A1053,2) - WEEKNUM(DATE(YEAR(A1053),MONTH(A1053),1),2) + 1</f>
        <v>1</v>
      </c>
      <c r="G1053" s="10"/>
      <c r="H1053" s="11" t="n">
        <v>435</v>
      </c>
      <c r="I1053" s="12" t="s">
        <v>20</v>
      </c>
      <c r="J1053" s="12" t="s">
        <v>44</v>
      </c>
      <c r="K1053" s="12"/>
      <c r="L1053" s="9" t="n">
        <f aca="false">L1052+H1053</f>
        <v>10608</v>
      </c>
      <c r="M1053" s="10" t="str">
        <f aca="false">VLOOKUP(J1053,RECATALOGANDO!A:C,2,0)</f>
        <v>HONORARIOS MEDICOS</v>
      </c>
      <c r="N1053" s="12" t="str">
        <f aca="false">VLOOKUP(M1053,RECATALOGANDO!B:C,2,0)</f>
        <v>VENTA DE SERVICIO</v>
      </c>
      <c r="O1053" s="2" t="s">
        <v>39</v>
      </c>
    </row>
    <row r="1054" customFormat="false" ht="13.8" hidden="false" customHeight="false" outlineLevel="0" collapsed="false">
      <c r="A1054" s="8" t="n">
        <v>45568</v>
      </c>
      <c r="B1054" s="9" t="n">
        <f aca="false">DAY(A1054)</f>
        <v>3</v>
      </c>
      <c r="C1054" s="9" t="n">
        <f aca="false">MONTH(A1054)</f>
        <v>10</v>
      </c>
      <c r="D1054" s="9" t="n">
        <f aca="false">YEAR(A1054)</f>
        <v>2024</v>
      </c>
      <c r="E1054" s="9" t="n">
        <f aca="false">WEEKDAY(A1054,2)</f>
        <v>4</v>
      </c>
      <c r="F1054" s="10" t="n">
        <f aca="false">WEEKNUM(A1054,2) - WEEKNUM(DATE(YEAR(A1054),MONTH(A1054),1),2) + 1</f>
        <v>1</v>
      </c>
      <c r="G1054" s="10"/>
      <c r="H1054" s="11" t="n">
        <v>1210</v>
      </c>
      <c r="I1054" s="12" t="s">
        <v>20</v>
      </c>
      <c r="J1054" s="12" t="s">
        <v>51</v>
      </c>
      <c r="K1054" s="12"/>
      <c r="L1054" s="9" t="n">
        <f aca="false">L1053+H1054</f>
        <v>11818</v>
      </c>
      <c r="M1054" s="10" t="str">
        <f aca="false">VLOOKUP(J1054,RECATALOGANDO!A:C,2,0)</f>
        <v>VENTA DE ALIMENTO</v>
      </c>
      <c r="N1054" s="12" t="str">
        <f aca="false">VLOOKUP(M1054,RECATALOGANDO!B:C,2,0)</f>
        <v>VENTA DE PRODUCTO</v>
      </c>
      <c r="O1054" s="2" t="s">
        <v>39</v>
      </c>
    </row>
    <row r="1055" customFormat="false" ht="13.8" hidden="false" customHeight="false" outlineLevel="0" collapsed="false">
      <c r="A1055" s="8" t="n">
        <v>45568</v>
      </c>
      <c r="B1055" s="9" t="n">
        <f aca="false">DAY(A1055)</f>
        <v>3</v>
      </c>
      <c r="C1055" s="9" t="n">
        <f aca="false">MONTH(A1055)</f>
        <v>10</v>
      </c>
      <c r="D1055" s="9" t="n">
        <f aca="false">YEAR(A1055)</f>
        <v>2024</v>
      </c>
      <c r="E1055" s="9" t="n">
        <f aca="false">WEEKDAY(A1055,2)</f>
        <v>4</v>
      </c>
      <c r="F1055" s="10" t="n">
        <f aca="false">WEEKNUM(A1055,2) - WEEKNUM(DATE(YEAR(A1055),MONTH(A1055),1),2) + 1</f>
        <v>1</v>
      </c>
      <c r="G1055" s="10"/>
      <c r="H1055" s="11" t="n">
        <v>1537.98</v>
      </c>
      <c r="I1055" s="12" t="s">
        <v>15</v>
      </c>
      <c r="J1055" s="12" t="s">
        <v>51</v>
      </c>
      <c r="K1055" s="12"/>
      <c r="L1055" s="9" t="n">
        <f aca="false">L1054+H1055</f>
        <v>13355.98</v>
      </c>
      <c r="M1055" s="10" t="str">
        <f aca="false">VLOOKUP(J1055,RECATALOGANDO!A:C,2,0)</f>
        <v>VENTA DE ALIMENTO</v>
      </c>
      <c r="N1055" s="12" t="str">
        <f aca="false">VLOOKUP(M1055,RECATALOGANDO!B:C,2,0)</f>
        <v>VENTA DE PRODUCTO</v>
      </c>
      <c r="O1055" s="2" t="s">
        <v>39</v>
      </c>
    </row>
    <row r="1056" customFormat="false" ht="13.8" hidden="false" customHeight="false" outlineLevel="0" collapsed="false">
      <c r="A1056" s="8" t="n">
        <v>45568</v>
      </c>
      <c r="B1056" s="9" t="n">
        <f aca="false">DAY(A1056)</f>
        <v>3</v>
      </c>
      <c r="C1056" s="9" t="n">
        <f aca="false">MONTH(A1056)</f>
        <v>10</v>
      </c>
      <c r="D1056" s="9" t="n">
        <f aca="false">YEAR(A1056)</f>
        <v>2024</v>
      </c>
      <c r="E1056" s="9" t="n">
        <f aca="false">WEEKDAY(A1056,2)</f>
        <v>4</v>
      </c>
      <c r="F1056" s="10" t="n">
        <f aca="false">WEEKNUM(A1056,2) - WEEKNUM(DATE(YEAR(A1056),MONTH(A1056),1),2) + 1</f>
        <v>1</v>
      </c>
      <c r="G1056" s="10"/>
      <c r="H1056" s="11" t="n">
        <v>1600</v>
      </c>
      <c r="I1056" s="12" t="s">
        <v>20</v>
      </c>
      <c r="J1056" s="12" t="s">
        <v>45</v>
      </c>
      <c r="K1056" s="12"/>
      <c r="L1056" s="9" t="n">
        <f aca="false">L1055+H1056</f>
        <v>14955.98</v>
      </c>
      <c r="M1056" s="10" t="str">
        <f aca="false">VLOOKUP(J1056,RECATALOGANDO!A:C,2,0)</f>
        <v>VENTA DE MEDICAMENTO</v>
      </c>
      <c r="N1056" s="12" t="str">
        <f aca="false">VLOOKUP(M1056,RECATALOGANDO!B:C,2,0)</f>
        <v>VENTA DE PRODUCTO</v>
      </c>
      <c r="O1056" s="2" t="s">
        <v>39</v>
      </c>
    </row>
    <row r="1057" customFormat="false" ht="13.8" hidden="false" customHeight="false" outlineLevel="0" collapsed="false">
      <c r="A1057" s="8" t="n">
        <v>45568</v>
      </c>
      <c r="B1057" s="9" t="n">
        <f aca="false">DAY(A1057)</f>
        <v>3</v>
      </c>
      <c r="C1057" s="9" t="n">
        <f aca="false">MONTH(A1057)</f>
        <v>10</v>
      </c>
      <c r="D1057" s="9" t="n">
        <f aca="false">YEAR(A1057)</f>
        <v>2024</v>
      </c>
      <c r="E1057" s="9" t="n">
        <f aca="false">WEEKDAY(A1057,2)</f>
        <v>4</v>
      </c>
      <c r="F1057" s="10" t="n">
        <f aca="false">WEEKNUM(A1057,2) - WEEKNUM(DATE(YEAR(A1057),MONTH(A1057),1),2) + 1</f>
        <v>1</v>
      </c>
      <c r="G1057" s="10"/>
      <c r="H1057" s="11" t="n">
        <v>1052</v>
      </c>
      <c r="I1057" s="12" t="s">
        <v>20</v>
      </c>
      <c r="J1057" s="12" t="s">
        <v>56</v>
      </c>
      <c r="K1057" s="12"/>
      <c r="L1057" s="9" t="n">
        <f aca="false">L1056+H1057</f>
        <v>16007.98</v>
      </c>
      <c r="M1057" s="10" t="str">
        <f aca="false">VLOOKUP(J1057,RECATALOGANDO!A:C,2,0)</f>
        <v>SERVICIO DE IMAGEN</v>
      </c>
      <c r="N1057" s="12" t="str">
        <f aca="false">VLOOKUP(M1057,RECATALOGANDO!B:C,2,0)</f>
        <v>VENTA DE SERVICIO</v>
      </c>
      <c r="O1057" s="2" t="s">
        <v>39</v>
      </c>
    </row>
    <row r="1058" customFormat="false" ht="13.8" hidden="false" customHeight="false" outlineLevel="0" collapsed="false">
      <c r="A1058" s="8" t="n">
        <v>45569</v>
      </c>
      <c r="B1058" s="9" t="n">
        <f aca="false">DAY(A1058)</f>
        <v>4</v>
      </c>
      <c r="C1058" s="9" t="n">
        <f aca="false">MONTH(A1058)</f>
        <v>10</v>
      </c>
      <c r="D1058" s="9" t="n">
        <f aca="false">YEAR(A1058)</f>
        <v>2024</v>
      </c>
      <c r="E1058" s="9" t="n">
        <f aca="false">WEEKDAY(A1058,2)</f>
        <v>5</v>
      </c>
      <c r="F1058" s="10" t="n">
        <f aca="false">WEEKNUM(A1058,2) - WEEKNUM(DATE(YEAR(A1058),MONTH(A1058),1),2) + 1</f>
        <v>1</v>
      </c>
      <c r="G1058" s="10"/>
      <c r="H1058" s="11" t="n">
        <v>1980</v>
      </c>
      <c r="I1058" s="12" t="s">
        <v>15</v>
      </c>
      <c r="J1058" s="12" t="s">
        <v>45</v>
      </c>
      <c r="K1058" s="12"/>
      <c r="L1058" s="9" t="n">
        <f aca="false">L1057+H1058</f>
        <v>17987.98</v>
      </c>
      <c r="M1058" s="10" t="str">
        <f aca="false">VLOOKUP(J1058,RECATALOGANDO!A:C,2,0)</f>
        <v>VENTA DE MEDICAMENTO</v>
      </c>
      <c r="N1058" s="12" t="str">
        <f aca="false">VLOOKUP(M1058,RECATALOGANDO!B:C,2,0)</f>
        <v>VENTA DE PRODUCTO</v>
      </c>
      <c r="O1058" s="2" t="s">
        <v>39</v>
      </c>
    </row>
    <row r="1059" customFormat="false" ht="13.8" hidden="false" customHeight="false" outlineLevel="0" collapsed="false">
      <c r="A1059" s="8" t="n">
        <v>45569</v>
      </c>
      <c r="B1059" s="9" t="n">
        <f aca="false">DAY(A1059)</f>
        <v>4</v>
      </c>
      <c r="C1059" s="9" t="n">
        <f aca="false">MONTH(A1059)</f>
        <v>10</v>
      </c>
      <c r="D1059" s="9" t="n">
        <f aca="false">YEAR(A1059)</f>
        <v>2024</v>
      </c>
      <c r="E1059" s="9" t="n">
        <f aca="false">WEEKDAY(A1059,2)</f>
        <v>5</v>
      </c>
      <c r="F1059" s="10" t="n">
        <f aca="false">WEEKNUM(A1059,2) - WEEKNUM(DATE(YEAR(A1059),MONTH(A1059),1),2) + 1</f>
        <v>1</v>
      </c>
      <c r="G1059" s="10"/>
      <c r="H1059" s="11" t="n">
        <v>11760</v>
      </c>
      <c r="I1059" s="12" t="s">
        <v>15</v>
      </c>
      <c r="J1059" s="12" t="s">
        <v>60</v>
      </c>
      <c r="K1059" s="12"/>
      <c r="L1059" s="9" t="n">
        <f aca="false">L1058+H1059</f>
        <v>29747.98</v>
      </c>
      <c r="M1059" s="10" t="str">
        <f aca="false">VLOOKUP(J1059,RECATALOGANDO!A:C,2,0)</f>
        <v>SERVICIO DE HOSPITALIZACION</v>
      </c>
      <c r="N1059" s="12" t="str">
        <f aca="false">VLOOKUP(M1059,RECATALOGANDO!B:C,2,0)</f>
        <v>VENTA DE SERVICIO</v>
      </c>
      <c r="O1059" s="2" t="s">
        <v>39</v>
      </c>
    </row>
    <row r="1060" customFormat="false" ht="13.8" hidden="false" customHeight="false" outlineLevel="0" collapsed="false">
      <c r="A1060" s="8" t="n">
        <v>45571</v>
      </c>
      <c r="B1060" s="9" t="n">
        <f aca="false">DAY(A1060)</f>
        <v>6</v>
      </c>
      <c r="C1060" s="9" t="n">
        <f aca="false">MONTH(A1060)</f>
        <v>10</v>
      </c>
      <c r="D1060" s="9" t="n">
        <f aca="false">YEAR(A1060)</f>
        <v>2024</v>
      </c>
      <c r="E1060" s="9" t="n">
        <f aca="false">WEEKDAY(A1060,2)</f>
        <v>7</v>
      </c>
      <c r="F1060" s="10" t="n">
        <f aca="false">WEEKNUM(A1060,2) - WEEKNUM(DATE(YEAR(A1060),MONTH(A1060),1),2) + 1</f>
        <v>1</v>
      </c>
      <c r="G1060" s="10"/>
      <c r="H1060" s="11" t="n">
        <v>2978.21</v>
      </c>
      <c r="I1060" s="12" t="s">
        <v>15</v>
      </c>
      <c r="J1060" s="12" t="s">
        <v>45</v>
      </c>
      <c r="K1060" s="12"/>
      <c r="L1060" s="9" t="n">
        <f aca="false">L1059+H1060</f>
        <v>32726.19</v>
      </c>
      <c r="M1060" s="10" t="str">
        <f aca="false">VLOOKUP(J1060,RECATALOGANDO!A:C,2,0)</f>
        <v>VENTA DE MEDICAMENTO</v>
      </c>
      <c r="N1060" s="12" t="str">
        <f aca="false">VLOOKUP(M1060,RECATALOGANDO!B:C,2,0)</f>
        <v>VENTA DE PRODUCTO</v>
      </c>
      <c r="O1060" s="2" t="s">
        <v>39</v>
      </c>
    </row>
    <row r="1061" customFormat="false" ht="13.8" hidden="false" customHeight="false" outlineLevel="0" collapsed="false">
      <c r="A1061" s="8" t="n">
        <v>45572</v>
      </c>
      <c r="B1061" s="9" t="n">
        <f aca="false">DAY(A1061)</f>
        <v>7</v>
      </c>
      <c r="C1061" s="9" t="n">
        <f aca="false">MONTH(A1061)</f>
        <v>10</v>
      </c>
      <c r="D1061" s="9" t="n">
        <f aca="false">YEAR(A1061)</f>
        <v>2024</v>
      </c>
      <c r="E1061" s="9" t="n">
        <f aca="false">WEEKDAY(A1061,2)</f>
        <v>1</v>
      </c>
      <c r="F1061" s="10" t="n">
        <f aca="false">WEEKNUM(A1061,2) - WEEKNUM(DATE(YEAR(A1061),MONTH(A1061),1),2) + 1</f>
        <v>2</v>
      </c>
      <c r="G1061" s="10"/>
      <c r="H1061" s="11" t="n">
        <v>307</v>
      </c>
      <c r="I1061" s="12" t="s">
        <v>20</v>
      </c>
      <c r="J1061" s="12" t="s">
        <v>64</v>
      </c>
      <c r="K1061" s="12"/>
      <c r="L1061" s="9" t="n">
        <f aca="false">L1060+H1061</f>
        <v>33033.19</v>
      </c>
      <c r="M1061" s="10" t="str">
        <f aca="false">VLOOKUP(J1061,RECATALOGANDO!A:C,2,0)</f>
        <v>HONORARIOS QUIRURGICOS</v>
      </c>
      <c r="N1061" s="12" t="str">
        <f aca="false">VLOOKUP(M1061,RECATALOGANDO!B:C,2,0)</f>
        <v>VENTA DE SERVICIO</v>
      </c>
      <c r="O1061" s="2" t="s">
        <v>39</v>
      </c>
    </row>
    <row r="1062" customFormat="false" ht="13.8" hidden="false" customHeight="false" outlineLevel="0" collapsed="false">
      <c r="A1062" s="8" t="n">
        <v>45572</v>
      </c>
      <c r="B1062" s="9" t="n">
        <f aca="false">DAY(A1062)</f>
        <v>7</v>
      </c>
      <c r="C1062" s="9" t="n">
        <f aca="false">MONTH(A1062)</f>
        <v>10</v>
      </c>
      <c r="D1062" s="9" t="n">
        <f aca="false">YEAR(A1062)</f>
        <v>2024</v>
      </c>
      <c r="E1062" s="9" t="n">
        <f aca="false">WEEKDAY(A1062,2)</f>
        <v>1</v>
      </c>
      <c r="F1062" s="10" t="n">
        <f aca="false">WEEKNUM(A1062,2) - WEEKNUM(DATE(YEAR(A1062),MONTH(A1062),1),2) + 1</f>
        <v>2</v>
      </c>
      <c r="G1062" s="10"/>
      <c r="H1062" s="11" t="n">
        <v>1091.44</v>
      </c>
      <c r="I1062" s="12" t="s">
        <v>15</v>
      </c>
      <c r="J1062" s="12" t="s">
        <v>59</v>
      </c>
      <c r="K1062" s="12"/>
      <c r="L1062" s="9" t="n">
        <f aca="false">L1061+H1062</f>
        <v>34124.63</v>
      </c>
      <c r="M1062" s="10" t="str">
        <f aca="false">VLOOKUP(J1062,RECATALOGANDO!A:C,2,0)</f>
        <v>SERVICIO DE PENSION</v>
      </c>
      <c r="N1062" s="12" t="str">
        <f aca="false">VLOOKUP(M1062,RECATALOGANDO!B:C,2,0)</f>
        <v>VENTA DE SERVICIO</v>
      </c>
      <c r="O1062" s="2" t="s">
        <v>39</v>
      </c>
    </row>
    <row r="1063" customFormat="false" ht="13.8" hidden="false" customHeight="false" outlineLevel="0" collapsed="false">
      <c r="A1063" s="8" t="n">
        <v>45575</v>
      </c>
      <c r="B1063" s="9" t="n">
        <f aca="false">DAY(A1063)</f>
        <v>10</v>
      </c>
      <c r="C1063" s="9" t="n">
        <f aca="false">MONTH(A1063)</f>
        <v>10</v>
      </c>
      <c r="D1063" s="9" t="n">
        <f aca="false">YEAR(A1063)</f>
        <v>2024</v>
      </c>
      <c r="E1063" s="9" t="n">
        <f aca="false">WEEKDAY(A1063,2)</f>
        <v>4</v>
      </c>
      <c r="F1063" s="10" t="n">
        <f aca="false">WEEKNUM(A1063,2) - WEEKNUM(DATE(YEAR(A1063),MONTH(A1063),1),2) + 1</f>
        <v>2</v>
      </c>
      <c r="G1063" s="10"/>
      <c r="H1063" s="11" t="n">
        <v>2110</v>
      </c>
      <c r="I1063" s="12" t="s">
        <v>20</v>
      </c>
      <c r="J1063" s="12" t="s">
        <v>51</v>
      </c>
      <c r="K1063" s="12"/>
      <c r="L1063" s="9" t="n">
        <f aca="false">L1062+H1063</f>
        <v>36234.63</v>
      </c>
      <c r="M1063" s="10" t="str">
        <f aca="false">VLOOKUP(J1063,RECATALOGANDO!A:C,2,0)</f>
        <v>VENTA DE ALIMENTO</v>
      </c>
      <c r="N1063" s="12" t="str">
        <f aca="false">VLOOKUP(M1063,RECATALOGANDO!B:C,2,0)</f>
        <v>VENTA DE PRODUCTO</v>
      </c>
      <c r="O1063" s="2" t="s">
        <v>39</v>
      </c>
    </row>
    <row r="1064" customFormat="false" ht="13.8" hidden="false" customHeight="false" outlineLevel="0" collapsed="false">
      <c r="A1064" s="8" t="n">
        <v>45575</v>
      </c>
      <c r="B1064" s="9" t="n">
        <f aca="false">DAY(A1064)</f>
        <v>10</v>
      </c>
      <c r="C1064" s="9" t="n">
        <f aca="false">MONTH(A1064)</f>
        <v>10</v>
      </c>
      <c r="D1064" s="9" t="n">
        <f aca="false">YEAR(A1064)</f>
        <v>2024</v>
      </c>
      <c r="E1064" s="9" t="n">
        <f aca="false">WEEKDAY(A1064,2)</f>
        <v>4</v>
      </c>
      <c r="F1064" s="10" t="n">
        <f aca="false">WEEKNUM(A1064,2) - WEEKNUM(DATE(YEAR(A1064),MONTH(A1064),1),2) + 1</f>
        <v>2</v>
      </c>
      <c r="G1064" s="10"/>
      <c r="H1064" s="11" t="n">
        <v>2205</v>
      </c>
      <c r="I1064" s="12" t="s">
        <v>20</v>
      </c>
      <c r="J1064" s="12" t="s">
        <v>54</v>
      </c>
      <c r="K1064" s="12"/>
      <c r="L1064" s="9" t="n">
        <f aca="false">L1063+H1064</f>
        <v>38439.63</v>
      </c>
      <c r="M1064" s="10" t="str">
        <f aca="false">VLOOKUP(J1064,RECATALOGANDO!A:C,2,0)</f>
        <v>SERVICIO DE LABORATORIO</v>
      </c>
      <c r="N1064" s="12" t="str">
        <f aca="false">VLOOKUP(M1064,RECATALOGANDO!B:C,2,0)</f>
        <v>VENTA DE SERVICIO</v>
      </c>
      <c r="O1064" s="2" t="s">
        <v>39</v>
      </c>
    </row>
    <row r="1065" customFormat="false" ht="13.8" hidden="false" customHeight="false" outlineLevel="0" collapsed="false">
      <c r="A1065" s="8" t="n">
        <v>45576</v>
      </c>
      <c r="B1065" s="9" t="n">
        <f aca="false">DAY(A1065)</f>
        <v>11</v>
      </c>
      <c r="C1065" s="9" t="n">
        <f aca="false">MONTH(A1065)</f>
        <v>10</v>
      </c>
      <c r="D1065" s="9" t="n">
        <f aca="false">YEAR(A1065)</f>
        <v>2024</v>
      </c>
      <c r="E1065" s="9" t="n">
        <f aca="false">WEEKDAY(A1065,2)</f>
        <v>5</v>
      </c>
      <c r="F1065" s="10" t="n">
        <f aca="false">WEEKNUM(A1065,2) - WEEKNUM(DATE(YEAR(A1065),MONTH(A1065),1),2) + 1</f>
        <v>2</v>
      </c>
      <c r="G1065" s="10"/>
      <c r="H1065" s="11" t="n">
        <v>290</v>
      </c>
      <c r="I1065" s="12" t="s">
        <v>15</v>
      </c>
      <c r="J1065" s="12" t="s">
        <v>49</v>
      </c>
      <c r="K1065" s="12"/>
      <c r="L1065" s="9" t="n">
        <f aca="false">L1064+H1065</f>
        <v>38729.63</v>
      </c>
      <c r="M1065" s="10" t="str">
        <f aca="false">VLOOKUP(J1065,RECATALOGANDO!A:C,2,0)</f>
        <v>SERVICIO DE GROOMING</v>
      </c>
      <c r="N1065" s="12" t="str">
        <f aca="false">VLOOKUP(M1065,RECATALOGANDO!B:C,2,0)</f>
        <v>VENTA DE SERVICIO</v>
      </c>
      <c r="O1065" s="2" t="s">
        <v>39</v>
      </c>
    </row>
    <row r="1066" customFormat="false" ht="13.8" hidden="false" customHeight="false" outlineLevel="0" collapsed="false">
      <c r="A1066" s="8" t="n">
        <v>45577</v>
      </c>
      <c r="B1066" s="9" t="n">
        <f aca="false">DAY(A1066)</f>
        <v>12</v>
      </c>
      <c r="C1066" s="9" t="n">
        <f aca="false">MONTH(A1066)</f>
        <v>10</v>
      </c>
      <c r="D1066" s="9" t="n">
        <f aca="false">YEAR(A1066)</f>
        <v>2024</v>
      </c>
      <c r="E1066" s="9" t="n">
        <f aca="false">WEEKDAY(A1066,2)</f>
        <v>6</v>
      </c>
      <c r="F1066" s="10" t="n">
        <f aca="false">WEEKNUM(A1066,2) - WEEKNUM(DATE(YEAR(A1066),MONTH(A1066),1),2) + 1</f>
        <v>2</v>
      </c>
      <c r="G1066" s="10"/>
      <c r="H1066" s="11" t="n">
        <v>99</v>
      </c>
      <c r="I1066" s="12" t="s">
        <v>15</v>
      </c>
      <c r="J1066" s="12" t="s">
        <v>45</v>
      </c>
      <c r="K1066" s="12"/>
      <c r="L1066" s="9" t="n">
        <f aca="false">L1065+H1066</f>
        <v>38828.63</v>
      </c>
      <c r="M1066" s="10" t="str">
        <f aca="false">VLOOKUP(J1066,RECATALOGANDO!A:C,2,0)</f>
        <v>VENTA DE MEDICAMENTO</v>
      </c>
      <c r="N1066" s="12" t="str">
        <f aca="false">VLOOKUP(M1066,RECATALOGANDO!B:C,2,0)</f>
        <v>VENTA DE PRODUCTO</v>
      </c>
      <c r="O1066" s="2" t="s">
        <v>39</v>
      </c>
    </row>
    <row r="1067" customFormat="false" ht="13.8" hidden="false" customHeight="false" outlineLevel="0" collapsed="false">
      <c r="A1067" s="8" t="n">
        <v>45577</v>
      </c>
      <c r="B1067" s="9" t="n">
        <f aca="false">DAY(A1067)</f>
        <v>12</v>
      </c>
      <c r="C1067" s="9" t="n">
        <f aca="false">MONTH(A1067)</f>
        <v>10</v>
      </c>
      <c r="D1067" s="9" t="n">
        <f aca="false">YEAR(A1067)</f>
        <v>2024</v>
      </c>
      <c r="E1067" s="9" t="n">
        <f aca="false">WEEKDAY(A1067,2)</f>
        <v>6</v>
      </c>
      <c r="F1067" s="10" t="n">
        <f aca="false">WEEKNUM(A1067,2) - WEEKNUM(DATE(YEAR(A1067),MONTH(A1067),1),2) + 1</f>
        <v>2</v>
      </c>
      <c r="G1067" s="10"/>
      <c r="H1067" s="11" t="n">
        <v>2493</v>
      </c>
      <c r="I1067" s="12" t="s">
        <v>15</v>
      </c>
      <c r="J1067" s="12" t="s">
        <v>45</v>
      </c>
      <c r="K1067" s="12"/>
      <c r="L1067" s="9" t="n">
        <f aca="false">L1066+H1067</f>
        <v>41321.63</v>
      </c>
      <c r="M1067" s="10" t="str">
        <f aca="false">VLOOKUP(J1067,RECATALOGANDO!A:C,2,0)</f>
        <v>VENTA DE MEDICAMENTO</v>
      </c>
      <c r="N1067" s="12" t="str">
        <f aca="false">VLOOKUP(M1067,RECATALOGANDO!B:C,2,0)</f>
        <v>VENTA DE PRODUCTO</v>
      </c>
      <c r="O1067" s="2" t="s">
        <v>39</v>
      </c>
    </row>
    <row r="1068" customFormat="false" ht="13.8" hidden="false" customHeight="false" outlineLevel="0" collapsed="false">
      <c r="A1068" s="8" t="n">
        <v>45579</v>
      </c>
      <c r="B1068" s="9" t="n">
        <f aca="false">DAY(A1068)</f>
        <v>14</v>
      </c>
      <c r="C1068" s="9" t="n">
        <f aca="false">MONTH(A1068)</f>
        <v>10</v>
      </c>
      <c r="D1068" s="9" t="n">
        <f aca="false">YEAR(A1068)</f>
        <v>2024</v>
      </c>
      <c r="E1068" s="9" t="n">
        <f aca="false">WEEKDAY(A1068,2)</f>
        <v>1</v>
      </c>
      <c r="F1068" s="10" t="n">
        <f aca="false">WEEKNUM(A1068,2) - WEEKNUM(DATE(YEAR(A1068),MONTH(A1068),1),2) + 1</f>
        <v>3</v>
      </c>
      <c r="G1068" s="10"/>
      <c r="H1068" s="11" t="n">
        <v>200</v>
      </c>
      <c r="I1068" s="12" t="s">
        <v>20</v>
      </c>
      <c r="J1068" s="12" t="s">
        <v>49</v>
      </c>
      <c r="K1068" s="12"/>
      <c r="L1068" s="9" t="n">
        <f aca="false">L1067+H1068</f>
        <v>41521.63</v>
      </c>
      <c r="M1068" s="10" t="str">
        <f aca="false">VLOOKUP(J1068,RECATALOGANDO!A:C,2,0)</f>
        <v>SERVICIO DE GROOMING</v>
      </c>
      <c r="N1068" s="12" t="str">
        <f aca="false">VLOOKUP(M1068,RECATALOGANDO!B:C,2,0)</f>
        <v>VENTA DE SERVICIO</v>
      </c>
      <c r="O1068" s="2" t="s">
        <v>39</v>
      </c>
    </row>
    <row r="1069" customFormat="false" ht="13.8" hidden="false" customHeight="false" outlineLevel="0" collapsed="false">
      <c r="A1069" s="8" t="n">
        <v>45579</v>
      </c>
      <c r="B1069" s="9" t="n">
        <f aca="false">DAY(A1069)</f>
        <v>14</v>
      </c>
      <c r="C1069" s="9" t="n">
        <f aca="false">MONTH(A1069)</f>
        <v>10</v>
      </c>
      <c r="D1069" s="9" t="n">
        <f aca="false">YEAR(A1069)</f>
        <v>2024</v>
      </c>
      <c r="E1069" s="9" t="n">
        <f aca="false">WEEKDAY(A1069,2)</f>
        <v>1</v>
      </c>
      <c r="F1069" s="10" t="n">
        <f aca="false">WEEKNUM(A1069,2) - WEEKNUM(DATE(YEAR(A1069),MONTH(A1069),1),2) + 1</f>
        <v>3</v>
      </c>
      <c r="G1069" s="10"/>
      <c r="H1069" s="11" t="n">
        <v>2000</v>
      </c>
      <c r="I1069" s="12" t="s">
        <v>20</v>
      </c>
      <c r="J1069" s="12" t="s">
        <v>44</v>
      </c>
      <c r="K1069" s="12"/>
      <c r="L1069" s="9" t="e">
        <f aca="false">#REF!+H1069</f>
        <v>#REF!</v>
      </c>
      <c r="M1069" s="10" t="str">
        <f aca="false">VLOOKUP(J1069,RECATALOGANDO!A:C,2,0)</f>
        <v>HONORARIOS MEDICOS</v>
      </c>
      <c r="N1069" s="12" t="str">
        <f aca="false">VLOOKUP(M1069,RECATALOGANDO!B:C,2,0)</f>
        <v>VENTA DE SERVICIO</v>
      </c>
      <c r="O1069" s="2" t="s">
        <v>39</v>
      </c>
    </row>
    <row r="1070" customFormat="false" ht="13.8" hidden="false" customHeight="false" outlineLevel="0" collapsed="false">
      <c r="A1070" s="8" t="n">
        <v>45580</v>
      </c>
      <c r="B1070" s="9" t="n">
        <f aca="false">DAY(A1070)</f>
        <v>15</v>
      </c>
      <c r="C1070" s="9" t="n">
        <f aca="false">MONTH(A1070)</f>
        <v>10</v>
      </c>
      <c r="D1070" s="9" t="n">
        <f aca="false">YEAR(A1070)</f>
        <v>2024</v>
      </c>
      <c r="E1070" s="9" t="n">
        <f aca="false">WEEKDAY(A1070,2)</f>
        <v>2</v>
      </c>
      <c r="F1070" s="10" t="n">
        <f aca="false">WEEKNUM(A1070,2) - WEEKNUM(DATE(YEAR(A1070),MONTH(A1070),1),2) + 1</f>
        <v>3</v>
      </c>
      <c r="G1070" s="10" t="n">
        <v>1</v>
      </c>
      <c r="H1070" s="11" t="n">
        <v>670</v>
      </c>
      <c r="I1070" s="12" t="s">
        <v>20</v>
      </c>
      <c r="J1070" s="12" t="s">
        <v>44</v>
      </c>
      <c r="K1070" s="12"/>
      <c r="L1070" s="9" t="e">
        <f aca="false">L1069+H1070</f>
        <v>#REF!</v>
      </c>
      <c r="M1070" s="10" t="str">
        <f aca="false">VLOOKUP(J1070,RECATALOGANDO!A:C,2,0)</f>
        <v>HONORARIOS MEDICOS</v>
      </c>
      <c r="N1070" s="12" t="str">
        <f aca="false">VLOOKUP(M1070,RECATALOGANDO!B:C,2,0)</f>
        <v>VENTA DE SERVICIO</v>
      </c>
      <c r="O1070" s="2" t="s">
        <v>39</v>
      </c>
    </row>
    <row r="1071" customFormat="false" ht="13.8" hidden="false" customHeight="false" outlineLevel="0" collapsed="false">
      <c r="A1071" s="8" t="n">
        <v>45580</v>
      </c>
      <c r="B1071" s="9" t="n">
        <f aca="false">DAY(A1071)</f>
        <v>15</v>
      </c>
      <c r="C1071" s="9" t="n">
        <f aca="false">MONTH(A1071)</f>
        <v>10</v>
      </c>
      <c r="D1071" s="9" t="n">
        <f aca="false">YEAR(A1071)</f>
        <v>2024</v>
      </c>
      <c r="E1071" s="9" t="n">
        <f aca="false">WEEKDAY(A1071,2)</f>
        <v>2</v>
      </c>
      <c r="F1071" s="10" t="n">
        <f aca="false">WEEKNUM(A1071,2) - WEEKNUM(DATE(YEAR(A1071),MONTH(A1071),1),2) + 1</f>
        <v>3</v>
      </c>
      <c r="G1071" s="10" t="n">
        <v>1</v>
      </c>
      <c r="H1071" s="11" t="n">
        <v>830</v>
      </c>
      <c r="I1071" s="12" t="s">
        <v>20</v>
      </c>
      <c r="J1071" s="12" t="s">
        <v>49</v>
      </c>
      <c r="K1071" s="12"/>
      <c r="L1071" s="9" t="e">
        <f aca="false">L1070+H1071</f>
        <v>#REF!</v>
      </c>
      <c r="M1071" s="10" t="str">
        <f aca="false">VLOOKUP(J1071,RECATALOGANDO!A:C,2,0)</f>
        <v>SERVICIO DE GROOMING</v>
      </c>
      <c r="N1071" s="12" t="str">
        <f aca="false">VLOOKUP(M1071,RECATALOGANDO!B:C,2,0)</f>
        <v>VENTA DE SERVICIO</v>
      </c>
      <c r="O1071" s="2" t="s">
        <v>39</v>
      </c>
    </row>
    <row r="1072" customFormat="false" ht="13.8" hidden="false" customHeight="false" outlineLevel="0" collapsed="false">
      <c r="A1072" s="8" t="n">
        <v>45580</v>
      </c>
      <c r="B1072" s="9" t="n">
        <f aca="false">DAY(A1072)</f>
        <v>15</v>
      </c>
      <c r="C1072" s="9" t="n">
        <f aca="false">MONTH(A1072)</f>
        <v>10</v>
      </c>
      <c r="D1072" s="9" t="n">
        <f aca="false">YEAR(A1072)</f>
        <v>2024</v>
      </c>
      <c r="E1072" s="9" t="n">
        <f aca="false">WEEKDAY(A1072,2)</f>
        <v>2</v>
      </c>
      <c r="F1072" s="10" t="n">
        <f aca="false">WEEKNUM(A1072,2) - WEEKNUM(DATE(YEAR(A1072),MONTH(A1072),1),2) + 1</f>
        <v>3</v>
      </c>
      <c r="G1072" s="10" t="n">
        <v>1</v>
      </c>
      <c r="H1072" s="11" t="n">
        <v>3604.62</v>
      </c>
      <c r="I1072" s="12" t="s">
        <v>20</v>
      </c>
      <c r="J1072" s="12" t="s">
        <v>54</v>
      </c>
      <c r="K1072" s="12"/>
      <c r="L1072" s="9" t="e">
        <f aca="false">L1071+H1072</f>
        <v>#REF!</v>
      </c>
      <c r="M1072" s="10" t="str">
        <f aca="false">VLOOKUP(J1072,RECATALOGANDO!A:C,2,0)</f>
        <v>SERVICIO DE LABORATORIO</v>
      </c>
      <c r="N1072" s="12" t="str">
        <f aca="false">VLOOKUP(M1072,RECATALOGANDO!B:C,2,0)</f>
        <v>VENTA DE SERVICIO</v>
      </c>
      <c r="O1072" s="2" t="s">
        <v>39</v>
      </c>
    </row>
    <row r="1073" customFormat="false" ht="13.8" hidden="false" customHeight="false" outlineLevel="0" collapsed="false">
      <c r="A1073" s="8" t="n">
        <v>45581</v>
      </c>
      <c r="B1073" s="9" t="n">
        <f aca="false">DAY(A1073)</f>
        <v>16</v>
      </c>
      <c r="C1073" s="9" t="n">
        <f aca="false">MONTH(A1073)</f>
        <v>10</v>
      </c>
      <c r="D1073" s="9" t="n">
        <f aca="false">YEAR(A1073)</f>
        <v>2024</v>
      </c>
      <c r="E1073" s="9" t="n">
        <f aca="false">WEEKDAY(A1073,2)</f>
        <v>3</v>
      </c>
      <c r="F1073" s="10" t="n">
        <f aca="false">WEEKNUM(A1073,2) - WEEKNUM(DATE(YEAR(A1073),MONTH(A1073),1),2) + 1</f>
        <v>3</v>
      </c>
      <c r="G1073" s="10"/>
      <c r="H1073" s="11" t="n">
        <v>2355</v>
      </c>
      <c r="I1073" s="12" t="s">
        <v>20</v>
      </c>
      <c r="J1073" s="12" t="s">
        <v>51</v>
      </c>
      <c r="K1073" s="12"/>
      <c r="L1073" s="9" t="e">
        <f aca="false">L1072+H1073</f>
        <v>#REF!</v>
      </c>
      <c r="M1073" s="10" t="str">
        <f aca="false">VLOOKUP(J1073,RECATALOGANDO!A:C,2,0)</f>
        <v>VENTA DE ALIMENTO</v>
      </c>
      <c r="N1073" s="12" t="str">
        <f aca="false">VLOOKUP(M1073,RECATALOGANDO!B:C,2,0)</f>
        <v>VENTA DE PRODUCTO</v>
      </c>
      <c r="O1073" s="2" t="s">
        <v>39</v>
      </c>
    </row>
    <row r="1074" customFormat="false" ht="13.8" hidden="false" customHeight="false" outlineLevel="0" collapsed="false">
      <c r="A1074" s="8" t="n">
        <v>45581</v>
      </c>
      <c r="B1074" s="9" t="n">
        <f aca="false">DAY(A1074)</f>
        <v>16</v>
      </c>
      <c r="C1074" s="9" t="n">
        <f aca="false">MONTH(A1074)</f>
        <v>10</v>
      </c>
      <c r="D1074" s="9" t="n">
        <f aca="false">YEAR(A1074)</f>
        <v>2024</v>
      </c>
      <c r="E1074" s="9" t="n">
        <f aca="false">WEEKDAY(A1074,2)</f>
        <v>3</v>
      </c>
      <c r="F1074" s="10" t="n">
        <f aca="false">WEEKNUM(A1074,2) - WEEKNUM(DATE(YEAR(A1074),MONTH(A1074),1),2) + 1</f>
        <v>3</v>
      </c>
      <c r="G1074" s="10"/>
      <c r="H1074" s="11" t="n">
        <v>140</v>
      </c>
      <c r="I1074" s="12" t="s">
        <v>15</v>
      </c>
      <c r="J1074" s="12" t="s">
        <v>49</v>
      </c>
      <c r="K1074" s="12"/>
      <c r="L1074" s="9" t="e">
        <f aca="false">L1073+H1074</f>
        <v>#REF!</v>
      </c>
      <c r="M1074" s="10" t="str">
        <f aca="false">VLOOKUP(J1074,RECATALOGANDO!A:C,2,0)</f>
        <v>SERVICIO DE GROOMING</v>
      </c>
      <c r="N1074" s="12" t="str">
        <f aca="false">VLOOKUP(M1074,RECATALOGANDO!B:C,2,0)</f>
        <v>VENTA DE SERVICIO</v>
      </c>
      <c r="O1074" s="2" t="s">
        <v>39</v>
      </c>
    </row>
    <row r="1075" customFormat="false" ht="13.8" hidden="false" customHeight="false" outlineLevel="0" collapsed="false">
      <c r="A1075" s="8" t="n">
        <v>45581</v>
      </c>
      <c r="B1075" s="9" t="n">
        <f aca="false">DAY(A1075)</f>
        <v>16</v>
      </c>
      <c r="C1075" s="9" t="n">
        <f aca="false">MONTH(A1075)</f>
        <v>10</v>
      </c>
      <c r="D1075" s="9" t="n">
        <f aca="false">YEAR(A1075)</f>
        <v>2024</v>
      </c>
      <c r="E1075" s="9" t="n">
        <f aca="false">WEEKDAY(A1075,2)</f>
        <v>3</v>
      </c>
      <c r="F1075" s="10" t="n">
        <f aca="false">WEEKNUM(A1075,2) - WEEKNUM(DATE(YEAR(A1075),MONTH(A1075),1),2) + 1</f>
        <v>3</v>
      </c>
      <c r="G1075" s="10"/>
      <c r="H1075" s="11" t="n">
        <v>201</v>
      </c>
      <c r="I1075" s="12" t="s">
        <v>15</v>
      </c>
      <c r="J1075" s="12" t="s">
        <v>49</v>
      </c>
      <c r="K1075" s="12"/>
      <c r="L1075" s="9" t="e">
        <f aca="false">L1074+H1075</f>
        <v>#REF!</v>
      </c>
      <c r="M1075" s="10" t="str">
        <f aca="false">VLOOKUP(J1075,RECATALOGANDO!A:C,2,0)</f>
        <v>SERVICIO DE GROOMING</v>
      </c>
      <c r="N1075" s="12" t="str">
        <f aca="false">VLOOKUP(M1075,RECATALOGANDO!B:C,2,0)</f>
        <v>VENTA DE SERVICIO</v>
      </c>
      <c r="O1075" s="2" t="s">
        <v>39</v>
      </c>
    </row>
    <row r="1076" customFormat="false" ht="13.8" hidden="false" customHeight="false" outlineLevel="0" collapsed="false">
      <c r="A1076" s="8" t="n">
        <v>45582</v>
      </c>
      <c r="B1076" s="9" t="n">
        <f aca="false">DAY(A1076)</f>
        <v>17</v>
      </c>
      <c r="C1076" s="9" t="n">
        <f aca="false">MONTH(A1076)</f>
        <v>10</v>
      </c>
      <c r="D1076" s="9" t="n">
        <f aca="false">YEAR(A1076)</f>
        <v>2024</v>
      </c>
      <c r="E1076" s="9" t="n">
        <f aca="false">WEEKDAY(A1076,2)</f>
        <v>4</v>
      </c>
      <c r="F1076" s="10" t="n">
        <f aca="false">WEEKNUM(A1076,2) - WEEKNUM(DATE(YEAR(A1076),MONTH(A1076),1),2) + 1</f>
        <v>3</v>
      </c>
      <c r="G1076" s="10"/>
      <c r="H1076" s="11" t="n">
        <v>679</v>
      </c>
      <c r="I1076" s="12" t="s">
        <v>15</v>
      </c>
      <c r="J1076" s="12" t="s">
        <v>44</v>
      </c>
      <c r="K1076" s="12"/>
      <c r="L1076" s="9" t="e">
        <f aca="false">L1075+H1076</f>
        <v>#REF!</v>
      </c>
      <c r="M1076" s="10" t="str">
        <f aca="false">VLOOKUP(J1076,RECATALOGANDO!A:C,2,0)</f>
        <v>HONORARIOS MEDICOS</v>
      </c>
      <c r="N1076" s="12" t="str">
        <f aca="false">VLOOKUP(M1076,RECATALOGANDO!B:C,2,0)</f>
        <v>VENTA DE SERVICIO</v>
      </c>
      <c r="O1076" s="2" t="s">
        <v>39</v>
      </c>
    </row>
    <row r="1077" customFormat="false" ht="13.8" hidden="false" customHeight="false" outlineLevel="0" collapsed="false">
      <c r="A1077" s="8" t="n">
        <v>45584</v>
      </c>
      <c r="B1077" s="9" t="n">
        <f aca="false">DAY(A1077)</f>
        <v>19</v>
      </c>
      <c r="C1077" s="9" t="n">
        <f aca="false">MONTH(A1077)</f>
        <v>10</v>
      </c>
      <c r="D1077" s="9" t="n">
        <f aca="false">YEAR(A1077)</f>
        <v>2024</v>
      </c>
      <c r="E1077" s="9" t="n">
        <f aca="false">WEEKDAY(A1077,2)</f>
        <v>6</v>
      </c>
      <c r="F1077" s="10" t="n">
        <f aca="false">WEEKNUM(A1077,2) - WEEKNUM(DATE(YEAR(A1077),MONTH(A1077),1),2) + 1</f>
        <v>3</v>
      </c>
      <c r="G1077" s="10"/>
      <c r="H1077" s="11" t="n">
        <v>470</v>
      </c>
      <c r="I1077" s="12" t="s">
        <v>15</v>
      </c>
      <c r="J1077" s="12" t="s">
        <v>45</v>
      </c>
      <c r="K1077" s="12"/>
      <c r="L1077" s="9" t="e">
        <f aca="false">L1076+H1077</f>
        <v>#REF!</v>
      </c>
      <c r="M1077" s="10" t="str">
        <f aca="false">VLOOKUP(J1077,RECATALOGANDO!A:C,2,0)</f>
        <v>VENTA DE MEDICAMENTO</v>
      </c>
      <c r="N1077" s="12" t="str">
        <f aca="false">VLOOKUP(M1077,RECATALOGANDO!B:C,2,0)</f>
        <v>VENTA DE PRODUCTO</v>
      </c>
      <c r="O1077" s="2" t="s">
        <v>39</v>
      </c>
    </row>
    <row r="1078" customFormat="false" ht="13.8" hidden="false" customHeight="false" outlineLevel="0" collapsed="false">
      <c r="A1078" s="8" t="n">
        <v>45585</v>
      </c>
      <c r="B1078" s="9" t="n">
        <f aca="false">DAY(A1078)</f>
        <v>20</v>
      </c>
      <c r="C1078" s="9" t="n">
        <f aca="false">MONTH(A1078)</f>
        <v>10</v>
      </c>
      <c r="D1078" s="9" t="n">
        <f aca="false">YEAR(A1078)</f>
        <v>2024</v>
      </c>
      <c r="E1078" s="9" t="n">
        <f aca="false">WEEKDAY(A1078,2)</f>
        <v>7</v>
      </c>
      <c r="F1078" s="10" t="n">
        <f aca="false">WEEKNUM(A1078,2) - WEEKNUM(DATE(YEAR(A1078),MONTH(A1078),1),2) + 1</f>
        <v>3</v>
      </c>
      <c r="G1078" s="10"/>
      <c r="H1078" s="11" t="n">
        <v>1280.22</v>
      </c>
      <c r="I1078" s="12" t="s">
        <v>15</v>
      </c>
      <c r="J1078" s="12" t="s">
        <v>45</v>
      </c>
      <c r="K1078" s="12"/>
      <c r="L1078" s="9" t="e">
        <f aca="false">L1077+H1078</f>
        <v>#REF!</v>
      </c>
      <c r="M1078" s="10" t="str">
        <f aca="false">VLOOKUP(J1078,RECATALOGANDO!A:C,2,0)</f>
        <v>VENTA DE MEDICAMENTO</v>
      </c>
      <c r="N1078" s="12" t="str">
        <f aca="false">VLOOKUP(M1078,RECATALOGANDO!B:C,2,0)</f>
        <v>VENTA DE PRODUCTO</v>
      </c>
      <c r="O1078" s="2" t="s">
        <v>39</v>
      </c>
    </row>
    <row r="1079" customFormat="false" ht="13.8" hidden="false" customHeight="false" outlineLevel="0" collapsed="false">
      <c r="A1079" s="8" t="n">
        <v>45586</v>
      </c>
      <c r="B1079" s="9" t="n">
        <f aca="false">DAY(A1079)</f>
        <v>21</v>
      </c>
      <c r="C1079" s="9" t="n">
        <f aca="false">MONTH(A1079)</f>
        <v>10</v>
      </c>
      <c r="D1079" s="9" t="n">
        <f aca="false">YEAR(A1079)</f>
        <v>2024</v>
      </c>
      <c r="E1079" s="9" t="n">
        <f aca="false">WEEKDAY(A1079,2)</f>
        <v>1</v>
      </c>
      <c r="F1079" s="10" t="n">
        <f aca="false">WEEKNUM(A1079,2) - WEEKNUM(DATE(YEAR(A1079),MONTH(A1079),1),2) + 1</f>
        <v>4</v>
      </c>
      <c r="G1079" s="10"/>
      <c r="H1079" s="11" t="n">
        <v>250</v>
      </c>
      <c r="I1079" s="12" t="s">
        <v>20</v>
      </c>
      <c r="J1079" s="12" t="s">
        <v>49</v>
      </c>
      <c r="K1079" s="12"/>
      <c r="L1079" s="9" t="e">
        <f aca="false">L1078+H1079</f>
        <v>#REF!</v>
      </c>
      <c r="M1079" s="10" t="str">
        <f aca="false">VLOOKUP(J1079,RECATALOGANDO!A:C,2,0)</f>
        <v>SERVICIO DE GROOMING</v>
      </c>
      <c r="N1079" s="12" t="str">
        <f aca="false">VLOOKUP(M1079,RECATALOGANDO!B:C,2,0)</f>
        <v>VENTA DE SERVICIO</v>
      </c>
      <c r="O1079" s="2" t="s">
        <v>39</v>
      </c>
    </row>
    <row r="1080" customFormat="false" ht="13.8" hidden="false" customHeight="false" outlineLevel="0" collapsed="false">
      <c r="A1080" s="8" t="n">
        <v>45586</v>
      </c>
      <c r="B1080" s="9" t="n">
        <f aca="false">DAY(A1080)</f>
        <v>21</v>
      </c>
      <c r="C1080" s="9" t="n">
        <f aca="false">MONTH(A1080)</f>
        <v>10</v>
      </c>
      <c r="D1080" s="9" t="n">
        <f aca="false">YEAR(A1080)</f>
        <v>2024</v>
      </c>
      <c r="E1080" s="9" t="n">
        <f aca="false">WEEKDAY(A1080,2)</f>
        <v>1</v>
      </c>
      <c r="F1080" s="10" t="n">
        <f aca="false">WEEKNUM(A1080,2) - WEEKNUM(DATE(YEAR(A1080),MONTH(A1080),1),2) + 1</f>
        <v>4</v>
      </c>
      <c r="G1080" s="10"/>
      <c r="H1080" s="11" t="n">
        <v>280</v>
      </c>
      <c r="I1080" s="12" t="s">
        <v>20</v>
      </c>
      <c r="J1080" s="12" t="s">
        <v>49</v>
      </c>
      <c r="K1080" s="12"/>
      <c r="L1080" s="9" t="e">
        <f aca="false">L1079+H1080</f>
        <v>#REF!</v>
      </c>
      <c r="M1080" s="10" t="str">
        <f aca="false">VLOOKUP(J1080,RECATALOGANDO!A:C,2,0)</f>
        <v>SERVICIO DE GROOMING</v>
      </c>
      <c r="N1080" s="12" t="str">
        <f aca="false">VLOOKUP(M1080,RECATALOGANDO!B:C,2,0)</f>
        <v>VENTA DE SERVICIO</v>
      </c>
      <c r="O1080" s="2" t="s">
        <v>39</v>
      </c>
    </row>
    <row r="1081" customFormat="false" ht="13.8" hidden="false" customHeight="false" outlineLevel="0" collapsed="false">
      <c r="A1081" s="8" t="n">
        <v>45586</v>
      </c>
      <c r="B1081" s="9" t="n">
        <f aca="false">DAY(A1081)</f>
        <v>21</v>
      </c>
      <c r="C1081" s="9" t="n">
        <f aca="false">MONTH(A1081)</f>
        <v>10</v>
      </c>
      <c r="D1081" s="9" t="n">
        <f aca="false">YEAR(A1081)</f>
        <v>2024</v>
      </c>
      <c r="E1081" s="9" t="n">
        <f aca="false">WEEKDAY(A1081,2)</f>
        <v>1</v>
      </c>
      <c r="F1081" s="10" t="n">
        <f aca="false">WEEKNUM(A1081,2) - WEEKNUM(DATE(YEAR(A1081),MONTH(A1081),1),2) + 1</f>
        <v>4</v>
      </c>
      <c r="G1081" s="10"/>
      <c r="H1081" s="11" t="n">
        <v>322</v>
      </c>
      <c r="I1081" s="12" t="s">
        <v>15</v>
      </c>
      <c r="J1081" s="12" t="s">
        <v>44</v>
      </c>
      <c r="K1081" s="12"/>
      <c r="L1081" s="9" t="e">
        <f aca="false">L1080+H1081</f>
        <v>#REF!</v>
      </c>
      <c r="M1081" s="10" t="str">
        <f aca="false">VLOOKUP(J1081,RECATALOGANDO!A:C,2,0)</f>
        <v>HONORARIOS MEDICOS</v>
      </c>
      <c r="N1081" s="12" t="str">
        <f aca="false">VLOOKUP(M1081,RECATALOGANDO!B:C,2,0)</f>
        <v>VENTA DE SERVICIO</v>
      </c>
      <c r="O1081" s="2" t="s">
        <v>39</v>
      </c>
    </row>
    <row r="1082" customFormat="false" ht="13.8" hidden="false" customHeight="false" outlineLevel="0" collapsed="false">
      <c r="A1082" s="8" t="n">
        <v>45586</v>
      </c>
      <c r="B1082" s="9" t="n">
        <f aca="false">DAY(A1082)</f>
        <v>21</v>
      </c>
      <c r="C1082" s="9" t="n">
        <f aca="false">MONTH(A1082)</f>
        <v>10</v>
      </c>
      <c r="D1082" s="9" t="n">
        <f aca="false">YEAR(A1082)</f>
        <v>2024</v>
      </c>
      <c r="E1082" s="9" t="n">
        <f aca="false">WEEKDAY(A1082,2)</f>
        <v>1</v>
      </c>
      <c r="F1082" s="10" t="n">
        <f aca="false">WEEKNUM(A1082,2) - WEEKNUM(DATE(YEAR(A1082),MONTH(A1082),1),2) + 1</f>
        <v>4</v>
      </c>
      <c r="G1082" s="10"/>
      <c r="H1082" s="11" t="n">
        <v>355</v>
      </c>
      <c r="I1082" s="12" t="s">
        <v>20</v>
      </c>
      <c r="J1082" s="12" t="s">
        <v>44</v>
      </c>
      <c r="K1082" s="12"/>
      <c r="L1082" s="9" t="e">
        <f aca="false">L1081+H1082</f>
        <v>#REF!</v>
      </c>
      <c r="M1082" s="10" t="str">
        <f aca="false">VLOOKUP(J1082,RECATALOGANDO!A:C,2,0)</f>
        <v>HONORARIOS MEDICOS</v>
      </c>
      <c r="N1082" s="12" t="str">
        <f aca="false">VLOOKUP(M1082,RECATALOGANDO!B:C,2,0)</f>
        <v>VENTA DE SERVICIO</v>
      </c>
      <c r="O1082" s="2" t="s">
        <v>39</v>
      </c>
    </row>
    <row r="1083" customFormat="false" ht="13.8" hidden="false" customHeight="false" outlineLevel="0" collapsed="false">
      <c r="A1083" s="8" t="n">
        <v>45586</v>
      </c>
      <c r="B1083" s="9" t="n">
        <f aca="false">DAY(A1083)</f>
        <v>21</v>
      </c>
      <c r="C1083" s="9" t="n">
        <f aca="false">MONTH(A1083)</f>
        <v>10</v>
      </c>
      <c r="D1083" s="9" t="n">
        <f aca="false">YEAR(A1083)</f>
        <v>2024</v>
      </c>
      <c r="E1083" s="9" t="n">
        <f aca="false">WEEKDAY(A1083,2)</f>
        <v>1</v>
      </c>
      <c r="F1083" s="10" t="n">
        <f aca="false">WEEKNUM(A1083,2) - WEEKNUM(DATE(YEAR(A1083),MONTH(A1083),1),2) + 1</f>
        <v>4</v>
      </c>
      <c r="G1083" s="10"/>
      <c r="H1083" s="11" t="n">
        <v>1800</v>
      </c>
      <c r="I1083" s="12" t="s">
        <v>20</v>
      </c>
      <c r="J1083" s="12" t="s">
        <v>54</v>
      </c>
      <c r="K1083" s="12"/>
      <c r="L1083" s="9" t="e">
        <f aca="false">L1082+H1083</f>
        <v>#REF!</v>
      </c>
      <c r="M1083" s="10" t="str">
        <f aca="false">VLOOKUP(J1083,RECATALOGANDO!A:C,2,0)</f>
        <v>SERVICIO DE LABORATORIO</v>
      </c>
      <c r="N1083" s="12" t="str">
        <f aca="false">VLOOKUP(M1083,RECATALOGANDO!B:C,2,0)</f>
        <v>VENTA DE SERVICIO</v>
      </c>
      <c r="O1083" s="2" t="s">
        <v>39</v>
      </c>
    </row>
    <row r="1084" customFormat="false" ht="13.8" hidden="false" customHeight="false" outlineLevel="0" collapsed="false">
      <c r="A1084" s="8" t="n">
        <v>45587</v>
      </c>
      <c r="B1084" s="9" t="n">
        <f aca="false">DAY(A1084)</f>
        <v>22</v>
      </c>
      <c r="C1084" s="9" t="n">
        <f aca="false">MONTH(A1084)</f>
        <v>10</v>
      </c>
      <c r="D1084" s="9" t="n">
        <f aca="false">YEAR(A1084)</f>
        <v>2024</v>
      </c>
      <c r="E1084" s="9" t="n">
        <f aca="false">WEEKDAY(A1084,2)</f>
        <v>2</v>
      </c>
      <c r="F1084" s="10" t="n">
        <f aca="false">WEEKNUM(A1084,2) - WEEKNUM(DATE(YEAR(A1084),MONTH(A1084),1),2) + 1</f>
        <v>4</v>
      </c>
      <c r="G1084" s="10"/>
      <c r="H1084" s="11" t="n">
        <v>150</v>
      </c>
      <c r="I1084" s="12" t="s">
        <v>15</v>
      </c>
      <c r="J1084" s="12" t="s">
        <v>49</v>
      </c>
      <c r="K1084" s="12"/>
      <c r="L1084" s="9" t="e">
        <f aca="false">L1083+H1084</f>
        <v>#REF!</v>
      </c>
      <c r="M1084" s="10" t="str">
        <f aca="false">VLOOKUP(J1084,RECATALOGANDO!A:C,2,0)</f>
        <v>SERVICIO DE GROOMING</v>
      </c>
      <c r="N1084" s="12" t="str">
        <f aca="false">VLOOKUP(M1084,RECATALOGANDO!B:C,2,0)</f>
        <v>VENTA DE SERVICIO</v>
      </c>
      <c r="O1084" s="2" t="s">
        <v>39</v>
      </c>
    </row>
    <row r="1085" customFormat="false" ht="13.8" hidden="false" customHeight="false" outlineLevel="0" collapsed="false">
      <c r="A1085" s="8" t="n">
        <v>45588</v>
      </c>
      <c r="B1085" s="9" t="n">
        <f aca="false">DAY(A1085)</f>
        <v>23</v>
      </c>
      <c r="C1085" s="9" t="n">
        <f aca="false">MONTH(A1085)</f>
        <v>10</v>
      </c>
      <c r="D1085" s="9" t="n">
        <f aca="false">YEAR(A1085)</f>
        <v>2024</v>
      </c>
      <c r="E1085" s="9" t="n">
        <f aca="false">WEEKDAY(A1085,2)</f>
        <v>3</v>
      </c>
      <c r="F1085" s="10" t="n">
        <f aca="false">WEEKNUM(A1085,2) - WEEKNUM(DATE(YEAR(A1085),MONTH(A1085),1),2) + 1</f>
        <v>4</v>
      </c>
      <c r="G1085" s="10"/>
      <c r="H1085" s="11" t="n">
        <v>3420</v>
      </c>
      <c r="I1085" s="12" t="s">
        <v>15</v>
      </c>
      <c r="J1085" s="12" t="s">
        <v>54</v>
      </c>
      <c r="K1085" s="12"/>
      <c r="L1085" s="9" t="e">
        <f aca="false">L1084+H1085</f>
        <v>#REF!</v>
      </c>
      <c r="M1085" s="10" t="str">
        <f aca="false">VLOOKUP(J1085,RECATALOGANDO!A:C,2,0)</f>
        <v>SERVICIO DE LABORATORIO</v>
      </c>
      <c r="N1085" s="12" t="str">
        <f aca="false">VLOOKUP(M1085,RECATALOGANDO!B:C,2,0)</f>
        <v>VENTA DE SERVICIO</v>
      </c>
      <c r="O1085" s="2" t="s">
        <v>39</v>
      </c>
    </row>
    <row r="1086" customFormat="false" ht="13.8" hidden="false" customHeight="false" outlineLevel="0" collapsed="false">
      <c r="A1086" s="8" t="n">
        <v>45590</v>
      </c>
      <c r="B1086" s="9" t="n">
        <f aca="false">DAY(A1086)</f>
        <v>25</v>
      </c>
      <c r="C1086" s="9" t="n">
        <f aca="false">MONTH(A1086)</f>
        <v>10</v>
      </c>
      <c r="D1086" s="9" t="n">
        <f aca="false">YEAR(A1086)</f>
        <v>2024</v>
      </c>
      <c r="E1086" s="9" t="n">
        <f aca="false">WEEKDAY(A1086,2)</f>
        <v>5</v>
      </c>
      <c r="F1086" s="10" t="n">
        <f aca="false">WEEKNUM(A1086,2) - WEEKNUM(DATE(YEAR(A1086),MONTH(A1086),1),2) + 1</f>
        <v>4</v>
      </c>
      <c r="G1086" s="10"/>
      <c r="H1086" s="11" t="n">
        <v>2487.59</v>
      </c>
      <c r="I1086" s="12" t="s">
        <v>15</v>
      </c>
      <c r="J1086" s="12" t="s">
        <v>51</v>
      </c>
      <c r="K1086" s="12"/>
      <c r="L1086" s="9" t="e">
        <f aca="false">L1085+H1086</f>
        <v>#REF!</v>
      </c>
      <c r="M1086" s="10" t="str">
        <f aca="false">VLOOKUP(J1086,RECATALOGANDO!A:C,2,0)</f>
        <v>VENTA DE ALIMENTO</v>
      </c>
      <c r="N1086" s="12" t="str">
        <f aca="false">VLOOKUP(M1086,RECATALOGANDO!B:C,2,0)</f>
        <v>VENTA DE PRODUCTO</v>
      </c>
      <c r="O1086" s="2" t="s">
        <v>39</v>
      </c>
    </row>
    <row r="1087" customFormat="false" ht="13.8" hidden="false" customHeight="false" outlineLevel="0" collapsed="false">
      <c r="A1087" s="8" t="n">
        <v>45590</v>
      </c>
      <c r="B1087" s="9" t="n">
        <f aca="false">DAY(A1087)</f>
        <v>25</v>
      </c>
      <c r="C1087" s="9" t="n">
        <f aca="false">MONTH(A1087)</f>
        <v>10</v>
      </c>
      <c r="D1087" s="9" t="n">
        <f aca="false">YEAR(A1087)</f>
        <v>2024</v>
      </c>
      <c r="E1087" s="9" t="n">
        <f aca="false">WEEKDAY(A1087,2)</f>
        <v>5</v>
      </c>
      <c r="F1087" s="10" t="n">
        <f aca="false">WEEKNUM(A1087,2) - WEEKNUM(DATE(YEAR(A1087),MONTH(A1087),1),2) + 1</f>
        <v>4</v>
      </c>
      <c r="G1087" s="10"/>
      <c r="H1087" s="11" t="n">
        <v>500</v>
      </c>
      <c r="I1087" s="12" t="s">
        <v>20</v>
      </c>
      <c r="J1087" s="12" t="s">
        <v>44</v>
      </c>
      <c r="K1087" s="12"/>
      <c r="L1087" s="9" t="e">
        <f aca="false">L1086+H1087</f>
        <v>#REF!</v>
      </c>
      <c r="M1087" s="10" t="str">
        <f aca="false">VLOOKUP(J1087,RECATALOGANDO!A:C,2,0)</f>
        <v>HONORARIOS MEDICOS</v>
      </c>
      <c r="N1087" s="12" t="str">
        <f aca="false">VLOOKUP(M1087,RECATALOGANDO!B:C,2,0)</f>
        <v>VENTA DE SERVICIO</v>
      </c>
      <c r="O1087" s="2" t="s">
        <v>39</v>
      </c>
    </row>
    <row r="1088" customFormat="false" ht="13.8" hidden="false" customHeight="false" outlineLevel="0" collapsed="false">
      <c r="A1088" s="8" t="n">
        <v>45593</v>
      </c>
      <c r="B1088" s="9" t="n">
        <f aca="false">DAY(A1088)</f>
        <v>28</v>
      </c>
      <c r="C1088" s="9" t="n">
        <f aca="false">MONTH(A1088)</f>
        <v>10</v>
      </c>
      <c r="D1088" s="9" t="n">
        <f aca="false">YEAR(A1088)</f>
        <v>2024</v>
      </c>
      <c r="E1088" s="9" t="n">
        <f aca="false">WEEKDAY(A1088,2)</f>
        <v>1</v>
      </c>
      <c r="F1088" s="10" t="n">
        <f aca="false">WEEKNUM(A1088,2) - WEEKNUM(DATE(YEAR(A1088),MONTH(A1088),1),2) + 1</f>
        <v>5</v>
      </c>
      <c r="G1088" s="10"/>
      <c r="H1088" s="11" t="n">
        <v>1480</v>
      </c>
      <c r="I1088" s="12" t="s">
        <v>15</v>
      </c>
      <c r="J1088" s="12" t="s">
        <v>51</v>
      </c>
      <c r="K1088" s="12"/>
      <c r="L1088" s="9" t="e">
        <f aca="false">L1087+H1088</f>
        <v>#REF!</v>
      </c>
      <c r="M1088" s="10" t="str">
        <f aca="false">VLOOKUP(J1088,RECATALOGANDO!A:C,2,0)</f>
        <v>VENTA DE ALIMENTO</v>
      </c>
      <c r="N1088" s="12" t="str">
        <f aca="false">VLOOKUP(M1088,RECATALOGANDO!B:C,2,0)</f>
        <v>VENTA DE PRODUCTO</v>
      </c>
      <c r="O1088" s="2" t="s">
        <v>39</v>
      </c>
    </row>
    <row r="1089" customFormat="false" ht="13.8" hidden="false" customHeight="false" outlineLevel="0" collapsed="false">
      <c r="A1089" s="8" t="n">
        <v>45594</v>
      </c>
      <c r="B1089" s="9" t="n">
        <f aca="false">DAY(A1089)</f>
        <v>29</v>
      </c>
      <c r="C1089" s="9" t="n">
        <f aca="false">MONTH(A1089)</f>
        <v>10</v>
      </c>
      <c r="D1089" s="9" t="n">
        <f aca="false">YEAR(A1089)</f>
        <v>2024</v>
      </c>
      <c r="E1089" s="9" t="n">
        <f aca="false">WEEKDAY(A1089,2)</f>
        <v>2</v>
      </c>
      <c r="F1089" s="10" t="n">
        <f aca="false">WEEKNUM(A1089,2) - WEEKNUM(DATE(YEAR(A1089),MONTH(A1089),1),2) + 1</f>
        <v>5</v>
      </c>
      <c r="G1089" s="10"/>
      <c r="H1089" s="11" t="n">
        <v>356</v>
      </c>
      <c r="I1089" s="12" t="s">
        <v>15</v>
      </c>
      <c r="J1089" s="12" t="s">
        <v>51</v>
      </c>
      <c r="K1089" s="12"/>
      <c r="L1089" s="9" t="e">
        <f aca="false">L1088+H1089</f>
        <v>#REF!</v>
      </c>
      <c r="M1089" s="10" t="str">
        <f aca="false">VLOOKUP(J1089,RECATALOGANDO!A:C,2,0)</f>
        <v>VENTA DE ALIMENTO</v>
      </c>
      <c r="N1089" s="12" t="str">
        <f aca="false">VLOOKUP(M1089,RECATALOGANDO!B:C,2,0)</f>
        <v>VENTA DE PRODUCTO</v>
      </c>
      <c r="O1089" s="2" t="s">
        <v>39</v>
      </c>
    </row>
    <row r="1090" customFormat="false" ht="13.8" hidden="false" customHeight="false" outlineLevel="0" collapsed="false">
      <c r="A1090" s="8" t="n">
        <v>45595</v>
      </c>
      <c r="B1090" s="9" t="n">
        <f aca="false">DAY(A1090)</f>
        <v>30</v>
      </c>
      <c r="C1090" s="9" t="n">
        <f aca="false">MONTH(A1090)</f>
        <v>10</v>
      </c>
      <c r="D1090" s="9" t="n">
        <f aca="false">YEAR(A1090)</f>
        <v>2024</v>
      </c>
      <c r="E1090" s="9" t="n">
        <f aca="false">WEEKDAY(A1090,2)</f>
        <v>3</v>
      </c>
      <c r="F1090" s="10" t="n">
        <f aca="false">WEEKNUM(A1090,2) - WEEKNUM(DATE(YEAR(A1090),MONTH(A1090),1),2) + 1</f>
        <v>5</v>
      </c>
      <c r="G1090" s="10" t="n">
        <v>2</v>
      </c>
      <c r="H1090" s="11" t="n">
        <v>70</v>
      </c>
      <c r="I1090" s="12" t="s">
        <v>15</v>
      </c>
      <c r="J1090" s="12" t="s">
        <v>45</v>
      </c>
      <c r="K1090" s="12"/>
      <c r="L1090" s="9" t="e">
        <f aca="false">L1089+H1090</f>
        <v>#REF!</v>
      </c>
      <c r="M1090" s="10" t="str">
        <f aca="false">VLOOKUP(J1090,RECATALOGANDO!A:C,2,0)</f>
        <v>VENTA DE MEDICAMENTO</v>
      </c>
      <c r="N1090" s="12" t="str">
        <f aca="false">VLOOKUP(M1090,RECATALOGANDO!B:C,2,0)</f>
        <v>VENTA DE PRODUCTO</v>
      </c>
      <c r="O1090" s="2" t="s">
        <v>39</v>
      </c>
    </row>
    <row r="1091" customFormat="false" ht="13.8" hidden="false" customHeight="false" outlineLevel="0" collapsed="false">
      <c r="A1091" s="8" t="n">
        <v>45597</v>
      </c>
      <c r="B1091" s="9" t="n">
        <f aca="false">DAY(A1091)</f>
        <v>1</v>
      </c>
      <c r="C1091" s="9" t="n">
        <f aca="false">MONTH(A1091)</f>
        <v>11</v>
      </c>
      <c r="D1091" s="9" t="n">
        <f aca="false">YEAR(A1091)</f>
        <v>2024</v>
      </c>
      <c r="E1091" s="9" t="n">
        <f aca="false">WEEKDAY(A1091,2)</f>
        <v>5</v>
      </c>
      <c r="F1091" s="10" t="n">
        <f aca="false">WEEKNUM(A1091,2) - WEEKNUM(DATE(YEAR(A1091),MONTH(A1091),1),2) + 1</f>
        <v>1</v>
      </c>
      <c r="G1091" s="10"/>
      <c r="H1091" s="11" t="n">
        <v>2000</v>
      </c>
      <c r="I1091" s="12" t="s">
        <v>20</v>
      </c>
      <c r="J1091" s="12" t="s">
        <v>49</v>
      </c>
      <c r="K1091" s="12"/>
      <c r="L1091" s="9" t="n">
        <f aca="false">H1091</f>
        <v>2000</v>
      </c>
      <c r="M1091" s="10" t="str">
        <f aca="false">VLOOKUP(J1091,RECATALOGANDO!A:C,2,0)</f>
        <v>SERVICIO DE GROOMING</v>
      </c>
      <c r="N1091" s="12" t="str">
        <f aca="false">VLOOKUP(M1091,RECATALOGANDO!B:C,2,0)</f>
        <v>VENTA DE SERVICIO</v>
      </c>
      <c r="O1091" s="2" t="s">
        <v>39</v>
      </c>
    </row>
    <row r="1092" customFormat="false" ht="13.8" hidden="false" customHeight="false" outlineLevel="0" collapsed="false">
      <c r="A1092" s="8" t="n">
        <v>45597</v>
      </c>
      <c r="B1092" s="9" t="n">
        <f aca="false">DAY(A1092)</f>
        <v>1</v>
      </c>
      <c r="C1092" s="9" t="n">
        <f aca="false">MONTH(A1092)</f>
        <v>11</v>
      </c>
      <c r="D1092" s="9" t="n">
        <f aca="false">YEAR(A1092)</f>
        <v>2024</v>
      </c>
      <c r="E1092" s="9" t="n">
        <f aca="false">WEEKDAY(A1092,2)</f>
        <v>5</v>
      </c>
      <c r="F1092" s="10" t="n">
        <f aca="false">WEEKNUM(A1092,2) - WEEKNUM(DATE(YEAR(A1092),MONTH(A1092),1),2) + 1</f>
        <v>1</v>
      </c>
      <c r="G1092" s="10"/>
      <c r="H1092" s="11" t="n">
        <v>3000</v>
      </c>
      <c r="I1092" s="12" t="s">
        <v>20</v>
      </c>
      <c r="J1092" s="12" t="s">
        <v>54</v>
      </c>
      <c r="K1092" s="12"/>
      <c r="L1092" s="9" t="n">
        <f aca="false">L1091+H1092</f>
        <v>5000</v>
      </c>
      <c r="M1092" s="10" t="str">
        <f aca="false">VLOOKUP(J1092,RECATALOGANDO!A:C,2,0)</f>
        <v>SERVICIO DE LABORATORIO</v>
      </c>
      <c r="N1092" s="12" t="str">
        <f aca="false">VLOOKUP(M1092,RECATALOGANDO!B:C,2,0)</f>
        <v>VENTA DE SERVICIO</v>
      </c>
      <c r="O1092" s="2" t="s">
        <v>39</v>
      </c>
    </row>
    <row r="1093" customFormat="false" ht="13.8" hidden="false" customHeight="false" outlineLevel="0" collapsed="false">
      <c r="A1093" s="8" t="n">
        <v>45598</v>
      </c>
      <c r="B1093" s="9" t="n">
        <f aca="false">DAY(A1093)</f>
        <v>2</v>
      </c>
      <c r="C1093" s="9" t="n">
        <f aca="false">MONTH(A1093)</f>
        <v>11</v>
      </c>
      <c r="D1093" s="9" t="n">
        <f aca="false">YEAR(A1093)</f>
        <v>2024</v>
      </c>
      <c r="E1093" s="9" t="n">
        <f aca="false">WEEKDAY(A1093,2)</f>
        <v>6</v>
      </c>
      <c r="F1093" s="10" t="n">
        <f aca="false">WEEKNUM(A1093,2) - WEEKNUM(DATE(YEAR(A1093),MONTH(A1093),1),2) + 1</f>
        <v>1</v>
      </c>
      <c r="G1093" s="10"/>
      <c r="H1093" s="11" t="n">
        <v>148.53</v>
      </c>
      <c r="I1093" s="12" t="s">
        <v>15</v>
      </c>
      <c r="J1093" s="12" t="s">
        <v>49</v>
      </c>
      <c r="K1093" s="12"/>
      <c r="L1093" s="9" t="n">
        <f aca="false">L1092+H1093</f>
        <v>5148.53</v>
      </c>
      <c r="M1093" s="10" t="str">
        <f aca="false">VLOOKUP(J1093,RECATALOGANDO!A:C,2,0)</f>
        <v>SERVICIO DE GROOMING</v>
      </c>
      <c r="N1093" s="12" t="str">
        <f aca="false">VLOOKUP(M1093,RECATALOGANDO!B:C,2,0)</f>
        <v>VENTA DE SERVICIO</v>
      </c>
      <c r="O1093" s="2" t="s">
        <v>39</v>
      </c>
    </row>
    <row r="1094" customFormat="false" ht="13.8" hidden="false" customHeight="false" outlineLevel="0" collapsed="false">
      <c r="A1094" s="8" t="n">
        <v>45600</v>
      </c>
      <c r="B1094" s="9" t="n">
        <f aca="false">DAY(A1094)</f>
        <v>4</v>
      </c>
      <c r="C1094" s="9" t="n">
        <f aca="false">MONTH(A1094)</f>
        <v>11</v>
      </c>
      <c r="D1094" s="9" t="n">
        <f aca="false">YEAR(A1094)</f>
        <v>2024</v>
      </c>
      <c r="E1094" s="9" t="n">
        <f aca="false">WEEKDAY(A1094,2)</f>
        <v>1</v>
      </c>
      <c r="F1094" s="10" t="n">
        <f aca="false">WEEKNUM(A1094,2) - WEEKNUM(DATE(YEAR(A1094),MONTH(A1094),1),2) + 1</f>
        <v>2</v>
      </c>
      <c r="G1094" s="10"/>
      <c r="H1094" s="11" t="n">
        <v>690</v>
      </c>
      <c r="I1094" s="12" t="s">
        <v>20</v>
      </c>
      <c r="J1094" s="12" t="s">
        <v>45</v>
      </c>
      <c r="K1094" s="12"/>
      <c r="L1094" s="9" t="n">
        <f aca="false">L1093+H1094</f>
        <v>5838.53</v>
      </c>
      <c r="M1094" s="10" t="str">
        <f aca="false">VLOOKUP(J1094,RECATALOGANDO!A:C,2,0)</f>
        <v>VENTA DE MEDICAMENTO</v>
      </c>
      <c r="N1094" s="12" t="str">
        <f aca="false">VLOOKUP(M1094,RECATALOGANDO!B:C,2,0)</f>
        <v>VENTA DE PRODUCTO</v>
      </c>
      <c r="O1094" s="2" t="s">
        <v>39</v>
      </c>
    </row>
    <row r="1095" customFormat="false" ht="13.8" hidden="false" customHeight="false" outlineLevel="0" collapsed="false">
      <c r="A1095" s="8" t="n">
        <v>45600</v>
      </c>
      <c r="B1095" s="9" t="n">
        <f aca="false">DAY(A1095)</f>
        <v>4</v>
      </c>
      <c r="C1095" s="9" t="n">
        <f aca="false">MONTH(A1095)</f>
        <v>11</v>
      </c>
      <c r="D1095" s="9" t="n">
        <f aca="false">YEAR(A1095)</f>
        <v>2024</v>
      </c>
      <c r="E1095" s="9" t="n">
        <f aca="false">WEEKDAY(A1095,2)</f>
        <v>1</v>
      </c>
      <c r="F1095" s="10" t="n">
        <f aca="false">WEEKNUM(A1095,2) - WEEKNUM(DATE(YEAR(A1095),MONTH(A1095),1),2) + 1</f>
        <v>2</v>
      </c>
      <c r="G1095" s="10"/>
      <c r="H1095" s="11" t="n">
        <v>2180</v>
      </c>
      <c r="I1095" s="12" t="s">
        <v>20</v>
      </c>
      <c r="J1095" s="12" t="s">
        <v>51</v>
      </c>
      <c r="K1095" s="12"/>
      <c r="L1095" s="9" t="n">
        <f aca="false">L1094+H1095</f>
        <v>8018.53</v>
      </c>
      <c r="M1095" s="10" t="str">
        <f aca="false">VLOOKUP(J1095,RECATALOGANDO!A:C,2,0)</f>
        <v>VENTA DE ALIMENTO</v>
      </c>
      <c r="N1095" s="12" t="str">
        <f aca="false">VLOOKUP(M1095,RECATALOGANDO!B:C,2,0)</f>
        <v>VENTA DE PRODUCTO</v>
      </c>
      <c r="O1095" s="2" t="s">
        <v>39</v>
      </c>
    </row>
    <row r="1096" customFormat="false" ht="13.8" hidden="false" customHeight="false" outlineLevel="0" collapsed="false">
      <c r="A1096" s="8" t="n">
        <v>45600</v>
      </c>
      <c r="B1096" s="9" t="n">
        <f aca="false">DAY(A1096)</f>
        <v>4</v>
      </c>
      <c r="C1096" s="9" t="n">
        <f aca="false">MONTH(A1096)</f>
        <v>11</v>
      </c>
      <c r="D1096" s="9" t="n">
        <f aca="false">YEAR(A1096)</f>
        <v>2024</v>
      </c>
      <c r="E1096" s="9" t="n">
        <f aca="false">WEEKDAY(A1096,2)</f>
        <v>1</v>
      </c>
      <c r="F1096" s="10" t="n">
        <f aca="false">WEEKNUM(A1096,2) - WEEKNUM(DATE(YEAR(A1096),MONTH(A1096),1),2) + 1</f>
        <v>2</v>
      </c>
      <c r="G1096" s="10"/>
      <c r="H1096" s="11" t="n">
        <v>5675</v>
      </c>
      <c r="I1096" s="12" t="s">
        <v>20</v>
      </c>
      <c r="J1096" s="12" t="s">
        <v>45</v>
      </c>
      <c r="K1096" s="12"/>
      <c r="L1096" s="9" t="n">
        <f aca="false">L1095+H1096</f>
        <v>13693.53</v>
      </c>
      <c r="M1096" s="10" t="str">
        <f aca="false">VLOOKUP(J1096,RECATALOGANDO!A:C,2,0)</f>
        <v>VENTA DE MEDICAMENTO</v>
      </c>
      <c r="N1096" s="12" t="str">
        <f aca="false">VLOOKUP(M1096,RECATALOGANDO!B:C,2,0)</f>
        <v>VENTA DE PRODUCTO</v>
      </c>
      <c r="O1096" s="2" t="s">
        <v>39</v>
      </c>
    </row>
    <row r="1097" customFormat="false" ht="13.8" hidden="false" customHeight="false" outlineLevel="0" collapsed="false">
      <c r="A1097" s="8" t="n">
        <v>45600</v>
      </c>
      <c r="B1097" s="9" t="n">
        <f aca="false">DAY(A1097)</f>
        <v>4</v>
      </c>
      <c r="C1097" s="9" t="n">
        <f aca="false">MONTH(A1097)</f>
        <v>11</v>
      </c>
      <c r="D1097" s="9" t="n">
        <f aca="false">YEAR(A1097)</f>
        <v>2024</v>
      </c>
      <c r="E1097" s="9" t="n">
        <f aca="false">WEEKDAY(A1097,2)</f>
        <v>1</v>
      </c>
      <c r="F1097" s="10" t="n">
        <f aca="false">WEEKNUM(A1097,2) - WEEKNUM(DATE(YEAR(A1097),MONTH(A1097),1),2) + 1</f>
        <v>2</v>
      </c>
      <c r="G1097" s="10"/>
      <c r="H1097" s="11" t="n">
        <v>2990</v>
      </c>
      <c r="I1097" s="12" t="s">
        <v>20</v>
      </c>
      <c r="J1097" s="12" t="s">
        <v>54</v>
      </c>
      <c r="K1097" s="12"/>
      <c r="L1097" s="9" t="n">
        <f aca="false">L1096+H1097</f>
        <v>16683.53</v>
      </c>
      <c r="M1097" s="10" t="str">
        <f aca="false">VLOOKUP(J1097,RECATALOGANDO!A:C,2,0)</f>
        <v>SERVICIO DE LABORATORIO</v>
      </c>
      <c r="N1097" s="12" t="str">
        <f aca="false">VLOOKUP(M1097,RECATALOGANDO!B:C,2,0)</f>
        <v>VENTA DE SERVICIO</v>
      </c>
      <c r="O1097" s="2" t="s">
        <v>39</v>
      </c>
    </row>
    <row r="1098" customFormat="false" ht="13.8" hidden="false" customHeight="false" outlineLevel="0" collapsed="false">
      <c r="A1098" s="8" t="n">
        <v>45600</v>
      </c>
      <c r="B1098" s="9" t="n">
        <f aca="false">DAY(A1098)</f>
        <v>4</v>
      </c>
      <c r="C1098" s="9" t="n">
        <f aca="false">MONTH(A1098)</f>
        <v>11</v>
      </c>
      <c r="D1098" s="9" t="n">
        <f aca="false">YEAR(A1098)</f>
        <v>2024</v>
      </c>
      <c r="E1098" s="9" t="n">
        <f aca="false">WEEKDAY(A1098,2)</f>
        <v>1</v>
      </c>
      <c r="F1098" s="10" t="n">
        <f aca="false">WEEKNUM(A1098,2) - WEEKNUM(DATE(YEAR(A1098),MONTH(A1098),1),2) + 1</f>
        <v>2</v>
      </c>
      <c r="G1098" s="10"/>
      <c r="H1098" s="11" t="n">
        <v>4318.79</v>
      </c>
      <c r="I1098" s="12" t="s">
        <v>15</v>
      </c>
      <c r="J1098" s="12" t="s">
        <v>64</v>
      </c>
      <c r="K1098" s="12"/>
      <c r="L1098" s="9" t="n">
        <f aca="false">L1097+H1098</f>
        <v>21002.32</v>
      </c>
      <c r="M1098" s="10" t="str">
        <f aca="false">VLOOKUP(J1098,RECATALOGANDO!A:C,2,0)</f>
        <v>HONORARIOS QUIRURGICOS</v>
      </c>
      <c r="N1098" s="12" t="str">
        <f aca="false">VLOOKUP(M1098,RECATALOGANDO!B:C,2,0)</f>
        <v>VENTA DE SERVICIO</v>
      </c>
      <c r="O1098" s="2" t="s">
        <v>39</v>
      </c>
    </row>
    <row r="1099" customFormat="false" ht="13.8" hidden="false" customHeight="false" outlineLevel="0" collapsed="false">
      <c r="A1099" s="8" t="n">
        <v>45601</v>
      </c>
      <c r="B1099" s="9" t="n">
        <f aca="false">DAY(A1099)</f>
        <v>5</v>
      </c>
      <c r="C1099" s="9" t="n">
        <f aca="false">MONTH(A1099)</f>
        <v>11</v>
      </c>
      <c r="D1099" s="9" t="n">
        <f aca="false">YEAR(A1099)</f>
        <v>2024</v>
      </c>
      <c r="E1099" s="9" t="n">
        <f aca="false">WEEKDAY(A1099,2)</f>
        <v>2</v>
      </c>
      <c r="F1099" s="10" t="n">
        <f aca="false">WEEKNUM(A1099,2) - WEEKNUM(DATE(YEAR(A1099),MONTH(A1099),1),2) + 1</f>
        <v>2</v>
      </c>
      <c r="G1099" s="10"/>
      <c r="H1099" s="11" t="n">
        <v>2699</v>
      </c>
      <c r="I1099" s="12" t="s">
        <v>15</v>
      </c>
      <c r="J1099" s="12" t="s">
        <v>45</v>
      </c>
      <c r="K1099" s="12"/>
      <c r="L1099" s="9" t="n">
        <f aca="false">L1098+H1099</f>
        <v>23701.32</v>
      </c>
      <c r="M1099" s="10" t="str">
        <f aca="false">VLOOKUP(J1099,RECATALOGANDO!A:C,2,0)</f>
        <v>VENTA DE MEDICAMENTO</v>
      </c>
      <c r="N1099" s="12" t="str">
        <f aca="false">VLOOKUP(M1099,RECATALOGANDO!B:C,2,0)</f>
        <v>VENTA DE PRODUCTO</v>
      </c>
      <c r="O1099" s="2" t="s">
        <v>39</v>
      </c>
    </row>
    <row r="1100" customFormat="false" ht="13.8" hidden="false" customHeight="false" outlineLevel="0" collapsed="false">
      <c r="A1100" s="8" t="n">
        <v>45601</v>
      </c>
      <c r="B1100" s="9" t="n">
        <f aca="false">DAY(A1100)</f>
        <v>5</v>
      </c>
      <c r="C1100" s="9" t="n">
        <f aca="false">MONTH(A1100)</f>
        <v>11</v>
      </c>
      <c r="D1100" s="9" t="n">
        <f aca="false">YEAR(A1100)</f>
        <v>2024</v>
      </c>
      <c r="E1100" s="9" t="n">
        <f aca="false">WEEKDAY(A1100,2)</f>
        <v>2</v>
      </c>
      <c r="F1100" s="10" t="n">
        <f aca="false">WEEKNUM(A1100,2) - WEEKNUM(DATE(YEAR(A1100),MONTH(A1100),1),2) + 1</f>
        <v>2</v>
      </c>
      <c r="G1100" s="10"/>
      <c r="H1100" s="11" t="n">
        <v>570</v>
      </c>
      <c r="I1100" s="12" t="s">
        <v>15</v>
      </c>
      <c r="J1100" s="12" t="s">
        <v>44</v>
      </c>
      <c r="K1100" s="12"/>
      <c r="L1100" s="9" t="n">
        <f aca="false">L1099+H1100</f>
        <v>24271.32</v>
      </c>
      <c r="M1100" s="10" t="str">
        <f aca="false">VLOOKUP(J1100,RECATALOGANDO!A:C,2,0)</f>
        <v>HONORARIOS MEDICOS</v>
      </c>
      <c r="N1100" s="12" t="str">
        <f aca="false">VLOOKUP(M1100,RECATALOGANDO!B:C,2,0)</f>
        <v>VENTA DE SERVICIO</v>
      </c>
      <c r="O1100" s="2" t="s">
        <v>39</v>
      </c>
    </row>
    <row r="1101" customFormat="false" ht="13.8" hidden="false" customHeight="false" outlineLevel="0" collapsed="false">
      <c r="A1101" s="8" t="n">
        <v>45602</v>
      </c>
      <c r="B1101" s="9" t="n">
        <f aca="false">DAY(A1101)</f>
        <v>6</v>
      </c>
      <c r="C1101" s="9" t="n">
        <f aca="false">MONTH(A1101)</f>
        <v>11</v>
      </c>
      <c r="D1101" s="9" t="n">
        <f aca="false">YEAR(A1101)</f>
        <v>2024</v>
      </c>
      <c r="E1101" s="9" t="n">
        <f aca="false">WEEKDAY(A1101,2)</f>
        <v>3</v>
      </c>
      <c r="F1101" s="10" t="n">
        <f aca="false">WEEKNUM(A1101,2) - WEEKNUM(DATE(YEAR(A1101),MONTH(A1101),1),2) + 1</f>
        <v>2</v>
      </c>
      <c r="G1101" s="10"/>
      <c r="H1101" s="11" t="n">
        <v>2941.09</v>
      </c>
      <c r="I1101" s="12" t="s">
        <v>15</v>
      </c>
      <c r="J1101" s="12" t="s">
        <v>45</v>
      </c>
      <c r="K1101" s="12"/>
      <c r="L1101" s="9" t="n">
        <f aca="false">L1100+H1101</f>
        <v>27212.41</v>
      </c>
      <c r="M1101" s="10" t="str">
        <f aca="false">VLOOKUP(J1101,RECATALOGANDO!A:C,2,0)</f>
        <v>VENTA DE MEDICAMENTO</v>
      </c>
      <c r="N1101" s="12" t="str">
        <f aca="false">VLOOKUP(M1101,RECATALOGANDO!B:C,2,0)</f>
        <v>VENTA DE PRODUCTO</v>
      </c>
      <c r="O1101" s="2" t="s">
        <v>39</v>
      </c>
    </row>
    <row r="1102" customFormat="false" ht="13.8" hidden="false" customHeight="false" outlineLevel="0" collapsed="false">
      <c r="A1102" s="8" t="n">
        <v>45602</v>
      </c>
      <c r="B1102" s="9" t="n">
        <f aca="false">DAY(A1102)</f>
        <v>6</v>
      </c>
      <c r="C1102" s="9" t="n">
        <f aca="false">MONTH(A1102)</f>
        <v>11</v>
      </c>
      <c r="D1102" s="9" t="n">
        <f aca="false">YEAR(A1102)</f>
        <v>2024</v>
      </c>
      <c r="E1102" s="9" t="n">
        <f aca="false">WEEKDAY(A1102,2)</f>
        <v>3</v>
      </c>
      <c r="F1102" s="10" t="n">
        <f aca="false">WEEKNUM(A1102,2) - WEEKNUM(DATE(YEAR(A1102),MONTH(A1102),1),2) + 1</f>
        <v>2</v>
      </c>
      <c r="G1102" s="10"/>
      <c r="H1102" s="11" t="n">
        <v>2339</v>
      </c>
      <c r="I1102" s="12" t="s">
        <v>20</v>
      </c>
      <c r="J1102" s="12" t="s">
        <v>59</v>
      </c>
      <c r="K1102" s="12"/>
      <c r="L1102" s="9" t="n">
        <f aca="false">L1101+H1102</f>
        <v>29551.41</v>
      </c>
      <c r="M1102" s="10" t="str">
        <f aca="false">VLOOKUP(J1102,RECATALOGANDO!A:C,2,0)</f>
        <v>SERVICIO DE PENSION</v>
      </c>
      <c r="N1102" s="12" t="str">
        <f aca="false">VLOOKUP(M1102,RECATALOGANDO!B:C,2,0)</f>
        <v>VENTA DE SERVICIO</v>
      </c>
      <c r="O1102" s="2" t="s">
        <v>39</v>
      </c>
    </row>
    <row r="1103" customFormat="false" ht="13.8" hidden="false" customHeight="false" outlineLevel="0" collapsed="false">
      <c r="A1103" s="8" t="n">
        <v>45603</v>
      </c>
      <c r="B1103" s="9" t="n">
        <f aca="false">DAY(A1103)</f>
        <v>7</v>
      </c>
      <c r="C1103" s="9" t="n">
        <f aca="false">MONTH(A1103)</f>
        <v>11</v>
      </c>
      <c r="D1103" s="9" t="n">
        <f aca="false">YEAR(A1103)</f>
        <v>2024</v>
      </c>
      <c r="E1103" s="9" t="n">
        <f aca="false">WEEKDAY(A1103,2)</f>
        <v>4</v>
      </c>
      <c r="F1103" s="10" t="n">
        <f aca="false">WEEKNUM(A1103,2) - WEEKNUM(DATE(YEAR(A1103),MONTH(A1103),1),2) + 1</f>
        <v>2</v>
      </c>
      <c r="G1103" s="10"/>
      <c r="H1103" s="11" t="n">
        <v>1879</v>
      </c>
      <c r="I1103" s="12" t="s">
        <v>20</v>
      </c>
      <c r="J1103" s="12" t="s">
        <v>60</v>
      </c>
      <c r="K1103" s="12"/>
      <c r="L1103" s="9" t="n">
        <f aca="false">L1102+H1103</f>
        <v>31430.41</v>
      </c>
      <c r="M1103" s="10" t="str">
        <f aca="false">VLOOKUP(J1103,RECATALOGANDO!A:C,2,0)</f>
        <v>SERVICIO DE HOSPITALIZACION</v>
      </c>
      <c r="N1103" s="12" t="str">
        <f aca="false">VLOOKUP(M1103,RECATALOGANDO!B:C,2,0)</f>
        <v>VENTA DE SERVICIO</v>
      </c>
      <c r="O1103" s="2" t="s">
        <v>39</v>
      </c>
    </row>
    <row r="1104" customFormat="false" ht="13.8" hidden="false" customHeight="false" outlineLevel="0" collapsed="false">
      <c r="A1104" s="8" t="n">
        <v>45604</v>
      </c>
      <c r="B1104" s="9" t="n">
        <f aca="false">DAY(A1104)</f>
        <v>8</v>
      </c>
      <c r="C1104" s="9" t="n">
        <f aca="false">MONTH(A1104)</f>
        <v>11</v>
      </c>
      <c r="D1104" s="9" t="n">
        <f aca="false">YEAR(A1104)</f>
        <v>2024</v>
      </c>
      <c r="E1104" s="9" t="n">
        <f aca="false">WEEKDAY(A1104,2)</f>
        <v>5</v>
      </c>
      <c r="F1104" s="10" t="n">
        <f aca="false">WEEKNUM(A1104,2) - WEEKNUM(DATE(YEAR(A1104),MONTH(A1104),1),2) + 1</f>
        <v>2</v>
      </c>
      <c r="G1104" s="10"/>
      <c r="H1104" s="11" t="n">
        <v>1160</v>
      </c>
      <c r="I1104" s="12" t="s">
        <v>20</v>
      </c>
      <c r="J1104" s="12" t="s">
        <v>44</v>
      </c>
      <c r="K1104" s="12"/>
      <c r="L1104" s="9" t="n">
        <f aca="false">L1103+H1104</f>
        <v>32590.41</v>
      </c>
      <c r="M1104" s="10" t="str">
        <f aca="false">VLOOKUP(J1104,RECATALOGANDO!A:C,2,0)</f>
        <v>HONORARIOS MEDICOS</v>
      </c>
      <c r="N1104" s="12" t="str">
        <f aca="false">VLOOKUP(M1104,RECATALOGANDO!B:C,2,0)</f>
        <v>VENTA DE SERVICIO</v>
      </c>
      <c r="O1104" s="2" t="s">
        <v>39</v>
      </c>
    </row>
    <row r="1105" customFormat="false" ht="13.8" hidden="false" customHeight="false" outlineLevel="0" collapsed="false">
      <c r="A1105" s="8" t="n">
        <v>45605</v>
      </c>
      <c r="B1105" s="9" t="n">
        <f aca="false">DAY(A1105)</f>
        <v>9</v>
      </c>
      <c r="C1105" s="9" t="n">
        <f aca="false">MONTH(A1105)</f>
        <v>11</v>
      </c>
      <c r="D1105" s="9" t="n">
        <f aca="false">YEAR(A1105)</f>
        <v>2024</v>
      </c>
      <c r="E1105" s="9" t="n">
        <f aca="false">WEEKDAY(A1105,2)</f>
        <v>6</v>
      </c>
      <c r="F1105" s="10" t="n">
        <f aca="false">WEEKNUM(A1105,2) - WEEKNUM(DATE(YEAR(A1105),MONTH(A1105),1),2) + 1</f>
        <v>2</v>
      </c>
      <c r="G1105" s="10"/>
      <c r="H1105" s="11" t="n">
        <v>420</v>
      </c>
      <c r="I1105" s="12" t="s">
        <v>15</v>
      </c>
      <c r="J1105" s="12" t="s">
        <v>44</v>
      </c>
      <c r="K1105" s="12"/>
      <c r="L1105" s="9" t="n">
        <f aca="false">L1104+H1105</f>
        <v>33010.41</v>
      </c>
      <c r="M1105" s="10" t="str">
        <f aca="false">VLOOKUP(J1105,RECATALOGANDO!A:C,2,0)</f>
        <v>HONORARIOS MEDICOS</v>
      </c>
      <c r="N1105" s="12" t="str">
        <f aca="false">VLOOKUP(M1105,RECATALOGANDO!B:C,2,0)</f>
        <v>VENTA DE SERVICIO</v>
      </c>
      <c r="O1105" s="2" t="s">
        <v>39</v>
      </c>
    </row>
    <row r="1106" customFormat="false" ht="13.8" hidden="false" customHeight="false" outlineLevel="0" collapsed="false">
      <c r="A1106" s="8" t="n">
        <v>45607</v>
      </c>
      <c r="B1106" s="9" t="n">
        <f aca="false">DAY(A1106)</f>
        <v>11</v>
      </c>
      <c r="C1106" s="9" t="n">
        <f aca="false">MONTH(A1106)</f>
        <v>11</v>
      </c>
      <c r="D1106" s="9" t="n">
        <f aca="false">YEAR(A1106)</f>
        <v>2024</v>
      </c>
      <c r="E1106" s="9" t="n">
        <f aca="false">WEEKDAY(A1106,2)</f>
        <v>1</v>
      </c>
      <c r="F1106" s="10" t="n">
        <f aca="false">WEEKNUM(A1106,2) - WEEKNUM(DATE(YEAR(A1106),MONTH(A1106),1),2) + 1</f>
        <v>3</v>
      </c>
      <c r="G1106" s="10"/>
      <c r="H1106" s="11" t="n">
        <v>89</v>
      </c>
      <c r="I1106" s="12" t="s">
        <v>20</v>
      </c>
      <c r="J1106" s="12" t="s">
        <v>51</v>
      </c>
      <c r="K1106" s="12"/>
      <c r="L1106" s="9" t="n">
        <f aca="false">L1105+H1106</f>
        <v>33099.41</v>
      </c>
      <c r="M1106" s="10" t="str">
        <f aca="false">VLOOKUP(J1106,RECATALOGANDO!A:C,2,0)</f>
        <v>VENTA DE ALIMENTO</v>
      </c>
      <c r="N1106" s="12" t="str">
        <f aca="false">VLOOKUP(M1106,RECATALOGANDO!B:C,2,0)</f>
        <v>VENTA DE PRODUCTO</v>
      </c>
      <c r="O1106" s="2" t="s">
        <v>39</v>
      </c>
    </row>
    <row r="1107" customFormat="false" ht="13.8" hidden="false" customHeight="false" outlineLevel="0" collapsed="false">
      <c r="A1107" s="8" t="n">
        <v>45607</v>
      </c>
      <c r="B1107" s="9" t="n">
        <f aca="false">DAY(A1107)</f>
        <v>11</v>
      </c>
      <c r="C1107" s="9" t="n">
        <f aca="false">MONTH(A1107)</f>
        <v>11</v>
      </c>
      <c r="D1107" s="9" t="n">
        <f aca="false">YEAR(A1107)</f>
        <v>2024</v>
      </c>
      <c r="E1107" s="9" t="n">
        <f aca="false">WEEKDAY(A1107,2)</f>
        <v>1</v>
      </c>
      <c r="F1107" s="10" t="n">
        <f aca="false">WEEKNUM(A1107,2) - WEEKNUM(DATE(YEAR(A1107),MONTH(A1107),1),2) + 1</f>
        <v>3</v>
      </c>
      <c r="G1107" s="10"/>
      <c r="H1107" s="11" t="n">
        <v>2000</v>
      </c>
      <c r="I1107" s="12" t="s">
        <v>20</v>
      </c>
      <c r="J1107" s="12" t="s">
        <v>45</v>
      </c>
      <c r="K1107" s="12"/>
      <c r="L1107" s="9" t="n">
        <f aca="false">L1106+H1107</f>
        <v>35099.41</v>
      </c>
      <c r="M1107" s="10" t="str">
        <f aca="false">VLOOKUP(J1107,RECATALOGANDO!A:C,2,0)</f>
        <v>VENTA DE MEDICAMENTO</v>
      </c>
      <c r="N1107" s="12" t="str">
        <f aca="false">VLOOKUP(M1107,RECATALOGANDO!B:C,2,0)</f>
        <v>VENTA DE PRODUCTO</v>
      </c>
      <c r="O1107" s="2" t="s">
        <v>39</v>
      </c>
    </row>
    <row r="1108" customFormat="false" ht="13.8" hidden="false" customHeight="false" outlineLevel="0" collapsed="false">
      <c r="A1108" s="8" t="n">
        <v>45608</v>
      </c>
      <c r="B1108" s="9" t="n">
        <f aca="false">DAY(A1108)</f>
        <v>12</v>
      </c>
      <c r="C1108" s="9" t="n">
        <f aca="false">MONTH(A1108)</f>
        <v>11</v>
      </c>
      <c r="D1108" s="9" t="n">
        <f aca="false">YEAR(A1108)</f>
        <v>2024</v>
      </c>
      <c r="E1108" s="9" t="n">
        <f aca="false">WEEKDAY(A1108,2)</f>
        <v>2</v>
      </c>
      <c r="F1108" s="10" t="n">
        <f aca="false">WEEKNUM(A1108,2) - WEEKNUM(DATE(YEAR(A1108),MONTH(A1108),1),2) + 1</f>
        <v>3</v>
      </c>
      <c r="G1108" s="10"/>
      <c r="H1108" s="11" t="n">
        <v>300</v>
      </c>
      <c r="I1108" s="12" t="s">
        <v>15</v>
      </c>
      <c r="J1108" s="12" t="s">
        <v>49</v>
      </c>
      <c r="K1108" s="12"/>
      <c r="L1108" s="9" t="n">
        <f aca="false">L1107+H1108</f>
        <v>35399.41</v>
      </c>
      <c r="M1108" s="10" t="str">
        <f aca="false">VLOOKUP(J1108,RECATALOGANDO!A:C,2,0)</f>
        <v>SERVICIO DE GROOMING</v>
      </c>
      <c r="N1108" s="12" t="str">
        <f aca="false">VLOOKUP(M1108,RECATALOGANDO!B:C,2,0)</f>
        <v>VENTA DE SERVICIO</v>
      </c>
      <c r="O1108" s="2" t="s">
        <v>39</v>
      </c>
    </row>
    <row r="1109" customFormat="false" ht="13.8" hidden="false" customHeight="false" outlineLevel="0" collapsed="false">
      <c r="A1109" s="8" t="n">
        <v>45609</v>
      </c>
      <c r="B1109" s="9" t="n">
        <f aca="false">DAY(A1109)</f>
        <v>13</v>
      </c>
      <c r="C1109" s="9" t="n">
        <f aca="false">MONTH(A1109)</f>
        <v>11</v>
      </c>
      <c r="D1109" s="9" t="n">
        <f aca="false">YEAR(A1109)</f>
        <v>2024</v>
      </c>
      <c r="E1109" s="9" t="n">
        <f aca="false">WEEKDAY(A1109,2)</f>
        <v>3</v>
      </c>
      <c r="F1109" s="10" t="n">
        <f aca="false">WEEKNUM(A1109,2) - WEEKNUM(DATE(YEAR(A1109),MONTH(A1109),1),2) + 1</f>
        <v>3</v>
      </c>
      <c r="G1109" s="10"/>
      <c r="H1109" s="11" t="n">
        <v>1320</v>
      </c>
      <c r="I1109" s="12" t="s">
        <v>20</v>
      </c>
      <c r="J1109" s="12" t="s">
        <v>45</v>
      </c>
      <c r="K1109" s="12"/>
      <c r="L1109" s="9" t="n">
        <f aca="false">L1108+H1109</f>
        <v>36719.41</v>
      </c>
      <c r="M1109" s="10" t="str">
        <f aca="false">VLOOKUP(J1109,RECATALOGANDO!A:C,2,0)</f>
        <v>VENTA DE MEDICAMENTO</v>
      </c>
      <c r="N1109" s="12" t="str">
        <f aca="false">VLOOKUP(M1109,RECATALOGANDO!B:C,2,0)</f>
        <v>VENTA DE PRODUCTO</v>
      </c>
      <c r="O1109" s="2" t="s">
        <v>39</v>
      </c>
    </row>
    <row r="1110" customFormat="false" ht="13.8" hidden="false" customHeight="false" outlineLevel="0" collapsed="false">
      <c r="A1110" s="8" t="n">
        <v>45611</v>
      </c>
      <c r="B1110" s="9" t="n">
        <f aca="false">DAY(A1110)</f>
        <v>15</v>
      </c>
      <c r="C1110" s="9" t="n">
        <f aca="false">MONTH(A1110)</f>
        <v>11</v>
      </c>
      <c r="D1110" s="9" t="n">
        <f aca="false">YEAR(A1110)</f>
        <v>2024</v>
      </c>
      <c r="E1110" s="9" t="n">
        <f aca="false">WEEKDAY(A1110,2)</f>
        <v>5</v>
      </c>
      <c r="F1110" s="10" t="n">
        <f aca="false">WEEKNUM(A1110,2) - WEEKNUM(DATE(YEAR(A1110),MONTH(A1110),1),2) + 1</f>
        <v>3</v>
      </c>
      <c r="G1110" s="10" t="n">
        <v>1</v>
      </c>
      <c r="H1110" s="11" t="n">
        <v>287</v>
      </c>
      <c r="I1110" s="12" t="s">
        <v>20</v>
      </c>
      <c r="J1110" s="12" t="s">
        <v>45</v>
      </c>
      <c r="K1110" s="12"/>
      <c r="L1110" s="9" t="n">
        <f aca="false">L1109+H1110</f>
        <v>37006.41</v>
      </c>
      <c r="M1110" s="10" t="str">
        <f aca="false">VLOOKUP(J1110,RECATALOGANDO!A:C,2,0)</f>
        <v>VENTA DE MEDICAMENTO</v>
      </c>
      <c r="N1110" s="12" t="str">
        <f aca="false">VLOOKUP(M1110,RECATALOGANDO!B:C,2,0)</f>
        <v>VENTA DE PRODUCTO</v>
      </c>
      <c r="O1110" s="2" t="s">
        <v>39</v>
      </c>
    </row>
    <row r="1111" customFormat="false" ht="13.8" hidden="false" customHeight="false" outlineLevel="0" collapsed="false">
      <c r="A1111" s="8" t="n">
        <v>45612</v>
      </c>
      <c r="B1111" s="9" t="n">
        <f aca="false">DAY(A1111)</f>
        <v>16</v>
      </c>
      <c r="C1111" s="9" t="n">
        <f aca="false">MONTH(A1111)</f>
        <v>11</v>
      </c>
      <c r="D1111" s="9" t="n">
        <f aca="false">YEAR(A1111)</f>
        <v>2024</v>
      </c>
      <c r="E1111" s="9" t="n">
        <f aca="false">WEEKDAY(A1111,2)</f>
        <v>6</v>
      </c>
      <c r="F1111" s="10" t="n">
        <f aca="false">WEEKNUM(A1111,2) - WEEKNUM(DATE(YEAR(A1111),MONTH(A1111),1),2) + 1</f>
        <v>3</v>
      </c>
      <c r="G1111" s="10"/>
      <c r="H1111" s="11" t="n">
        <v>200</v>
      </c>
      <c r="I1111" s="12" t="s">
        <v>20</v>
      </c>
      <c r="J1111" s="12" t="s">
        <v>45</v>
      </c>
      <c r="K1111" s="12"/>
      <c r="L1111" s="9" t="n">
        <f aca="false">L1110+H1111</f>
        <v>37206.41</v>
      </c>
      <c r="M1111" s="10" t="str">
        <f aca="false">VLOOKUP(J1111,RECATALOGANDO!A:C,2,0)</f>
        <v>VENTA DE MEDICAMENTO</v>
      </c>
      <c r="N1111" s="12" t="str">
        <f aca="false">VLOOKUP(M1111,RECATALOGANDO!B:C,2,0)</f>
        <v>VENTA DE PRODUCTO</v>
      </c>
      <c r="O1111" s="2" t="s">
        <v>39</v>
      </c>
    </row>
    <row r="1112" customFormat="false" ht="13.8" hidden="false" customHeight="false" outlineLevel="0" collapsed="false">
      <c r="A1112" s="8" t="n">
        <v>45615</v>
      </c>
      <c r="B1112" s="9" t="n">
        <f aca="false">DAY(A1112)</f>
        <v>19</v>
      </c>
      <c r="C1112" s="9" t="n">
        <f aca="false">MONTH(A1112)</f>
        <v>11</v>
      </c>
      <c r="D1112" s="9" t="n">
        <f aca="false">YEAR(A1112)</f>
        <v>2024</v>
      </c>
      <c r="E1112" s="9" t="n">
        <f aca="false">WEEKDAY(A1112,2)</f>
        <v>2</v>
      </c>
      <c r="F1112" s="10" t="n">
        <f aca="false">WEEKNUM(A1112,2) - WEEKNUM(DATE(YEAR(A1112),MONTH(A1112),1),2) + 1</f>
        <v>4</v>
      </c>
      <c r="G1112" s="10"/>
      <c r="H1112" s="11" t="n">
        <v>414</v>
      </c>
      <c r="I1112" s="12" t="s">
        <v>20</v>
      </c>
      <c r="J1112" s="12" t="s">
        <v>45</v>
      </c>
      <c r="K1112" s="12"/>
      <c r="L1112" s="9" t="n">
        <f aca="false">L1111+H1112</f>
        <v>37620.41</v>
      </c>
      <c r="M1112" s="10" t="str">
        <f aca="false">VLOOKUP(J1112,RECATALOGANDO!A:C,2,0)</f>
        <v>VENTA DE MEDICAMENTO</v>
      </c>
      <c r="N1112" s="12" t="str">
        <f aca="false">VLOOKUP(M1112,RECATALOGANDO!B:C,2,0)</f>
        <v>VENTA DE PRODUCTO</v>
      </c>
      <c r="O1112" s="2" t="s">
        <v>39</v>
      </c>
    </row>
    <row r="1113" customFormat="false" ht="13.8" hidden="false" customHeight="false" outlineLevel="0" collapsed="false">
      <c r="A1113" s="8" t="n">
        <v>45615</v>
      </c>
      <c r="B1113" s="9" t="n">
        <f aca="false">DAY(A1113)</f>
        <v>19</v>
      </c>
      <c r="C1113" s="9" t="n">
        <f aca="false">MONTH(A1113)</f>
        <v>11</v>
      </c>
      <c r="D1113" s="9" t="n">
        <f aca="false">YEAR(A1113)</f>
        <v>2024</v>
      </c>
      <c r="E1113" s="9" t="n">
        <f aca="false">WEEKDAY(A1113,2)</f>
        <v>2</v>
      </c>
      <c r="F1113" s="10" t="n">
        <f aca="false">WEEKNUM(A1113,2) - WEEKNUM(DATE(YEAR(A1113),MONTH(A1113),1),2) + 1</f>
        <v>4</v>
      </c>
      <c r="G1113" s="10"/>
      <c r="H1113" s="11" t="n">
        <v>1110</v>
      </c>
      <c r="I1113" s="12" t="s">
        <v>20</v>
      </c>
      <c r="J1113" s="12" t="s">
        <v>45</v>
      </c>
      <c r="K1113" s="12"/>
      <c r="L1113" s="9" t="n">
        <f aca="false">L1112+H1113</f>
        <v>38730.41</v>
      </c>
      <c r="M1113" s="10" t="str">
        <f aca="false">VLOOKUP(J1113,RECATALOGANDO!A:C,2,0)</f>
        <v>VENTA DE MEDICAMENTO</v>
      </c>
      <c r="N1113" s="12" t="str">
        <f aca="false">VLOOKUP(M1113,RECATALOGANDO!B:C,2,0)</f>
        <v>VENTA DE PRODUCTO</v>
      </c>
      <c r="O1113" s="2" t="s">
        <v>39</v>
      </c>
    </row>
    <row r="1114" customFormat="false" ht="13.8" hidden="false" customHeight="false" outlineLevel="0" collapsed="false">
      <c r="A1114" s="8" t="n">
        <v>45615</v>
      </c>
      <c r="B1114" s="9" t="n">
        <f aca="false">DAY(A1114)</f>
        <v>19</v>
      </c>
      <c r="C1114" s="9" t="n">
        <f aca="false">MONTH(A1114)</f>
        <v>11</v>
      </c>
      <c r="D1114" s="9" t="n">
        <f aca="false">YEAR(A1114)</f>
        <v>2024</v>
      </c>
      <c r="E1114" s="9" t="n">
        <f aca="false">WEEKDAY(A1114,2)</f>
        <v>2</v>
      </c>
      <c r="F1114" s="10" t="n">
        <f aca="false">WEEKNUM(A1114,2) - WEEKNUM(DATE(YEAR(A1114),MONTH(A1114),1),2) + 1</f>
        <v>4</v>
      </c>
      <c r="G1114" s="10"/>
      <c r="H1114" s="11" t="n">
        <v>1505</v>
      </c>
      <c r="I1114" s="12" t="s">
        <v>20</v>
      </c>
      <c r="J1114" s="12" t="s">
        <v>45</v>
      </c>
      <c r="K1114" s="12"/>
      <c r="L1114" s="9" t="n">
        <f aca="false">L1113+H1114</f>
        <v>40235.41</v>
      </c>
      <c r="M1114" s="10" t="str">
        <f aca="false">VLOOKUP(J1114,RECATALOGANDO!A:C,2,0)</f>
        <v>VENTA DE MEDICAMENTO</v>
      </c>
      <c r="N1114" s="12" t="str">
        <f aca="false">VLOOKUP(M1114,RECATALOGANDO!B:C,2,0)</f>
        <v>VENTA DE PRODUCTO</v>
      </c>
      <c r="O1114" s="2" t="s">
        <v>39</v>
      </c>
    </row>
    <row r="1115" customFormat="false" ht="13.8" hidden="false" customHeight="false" outlineLevel="0" collapsed="false">
      <c r="A1115" s="8" t="n">
        <v>45615</v>
      </c>
      <c r="B1115" s="9" t="n">
        <f aca="false">DAY(A1115)</f>
        <v>19</v>
      </c>
      <c r="C1115" s="9" t="n">
        <f aca="false">MONTH(A1115)</f>
        <v>11</v>
      </c>
      <c r="D1115" s="9" t="n">
        <f aca="false">YEAR(A1115)</f>
        <v>2024</v>
      </c>
      <c r="E1115" s="9" t="n">
        <f aca="false">WEEKDAY(A1115,2)</f>
        <v>2</v>
      </c>
      <c r="F1115" s="10" t="n">
        <f aca="false">WEEKNUM(A1115,2) - WEEKNUM(DATE(YEAR(A1115),MONTH(A1115),1),2) + 1</f>
        <v>4</v>
      </c>
      <c r="G1115" s="10"/>
      <c r="H1115" s="11" t="n">
        <v>1650</v>
      </c>
      <c r="I1115" s="12" t="s">
        <v>20</v>
      </c>
      <c r="J1115" s="12" t="s">
        <v>45</v>
      </c>
      <c r="K1115" s="12"/>
      <c r="L1115" s="9" t="n">
        <f aca="false">L1114+H1115</f>
        <v>41885.41</v>
      </c>
      <c r="M1115" s="10" t="str">
        <f aca="false">VLOOKUP(J1115,RECATALOGANDO!A:C,2,0)</f>
        <v>VENTA DE MEDICAMENTO</v>
      </c>
      <c r="N1115" s="12" t="str">
        <f aca="false">VLOOKUP(M1115,RECATALOGANDO!B:C,2,0)</f>
        <v>VENTA DE PRODUCTO</v>
      </c>
      <c r="O1115" s="2" t="s">
        <v>39</v>
      </c>
    </row>
    <row r="1116" customFormat="false" ht="13.8" hidden="false" customHeight="false" outlineLevel="0" collapsed="false">
      <c r="A1116" s="8" t="n">
        <v>45615</v>
      </c>
      <c r="B1116" s="9" t="n">
        <f aca="false">DAY(A1116)</f>
        <v>19</v>
      </c>
      <c r="C1116" s="9" t="n">
        <f aca="false">MONTH(A1116)</f>
        <v>11</v>
      </c>
      <c r="D1116" s="9" t="n">
        <f aca="false">YEAR(A1116)</f>
        <v>2024</v>
      </c>
      <c r="E1116" s="9" t="n">
        <f aca="false">WEEKDAY(A1116,2)</f>
        <v>2</v>
      </c>
      <c r="F1116" s="10" t="n">
        <f aca="false">WEEKNUM(A1116,2) - WEEKNUM(DATE(YEAR(A1116),MONTH(A1116),1),2) + 1</f>
        <v>4</v>
      </c>
      <c r="G1116" s="10"/>
      <c r="H1116" s="11" t="n">
        <v>1369</v>
      </c>
      <c r="I1116" s="12" t="s">
        <v>20</v>
      </c>
      <c r="J1116" s="12" t="s">
        <v>44</v>
      </c>
      <c r="K1116" s="12"/>
      <c r="L1116" s="9" t="n">
        <f aca="false">L1115+H1116</f>
        <v>43254.41</v>
      </c>
      <c r="M1116" s="10" t="str">
        <f aca="false">VLOOKUP(J1116,RECATALOGANDO!A:C,2,0)</f>
        <v>HONORARIOS MEDICOS</v>
      </c>
      <c r="N1116" s="12" t="str">
        <f aca="false">VLOOKUP(M1116,RECATALOGANDO!B:C,2,0)</f>
        <v>VENTA DE SERVICIO</v>
      </c>
      <c r="O1116" s="2" t="s">
        <v>39</v>
      </c>
    </row>
    <row r="1117" customFormat="false" ht="13.8" hidden="false" customHeight="false" outlineLevel="0" collapsed="false">
      <c r="A1117" s="8" t="n">
        <v>45615</v>
      </c>
      <c r="B1117" s="9" t="n">
        <f aca="false">DAY(A1117)</f>
        <v>19</v>
      </c>
      <c r="C1117" s="9" t="n">
        <f aca="false">MONTH(A1117)</f>
        <v>11</v>
      </c>
      <c r="D1117" s="9" t="n">
        <f aca="false">YEAR(A1117)</f>
        <v>2024</v>
      </c>
      <c r="E1117" s="9" t="n">
        <f aca="false">WEEKDAY(A1117,2)</f>
        <v>2</v>
      </c>
      <c r="F1117" s="10" t="n">
        <f aca="false">WEEKNUM(A1117,2) - WEEKNUM(DATE(YEAR(A1117),MONTH(A1117),1),2) + 1</f>
        <v>4</v>
      </c>
      <c r="G1117" s="10"/>
      <c r="H1117" s="11" t="n">
        <v>1680</v>
      </c>
      <c r="I1117" s="12" t="s">
        <v>20</v>
      </c>
      <c r="J1117" s="12" t="s">
        <v>44</v>
      </c>
      <c r="K1117" s="12"/>
      <c r="L1117" s="9" t="n">
        <f aca="false">L1116+H1117</f>
        <v>44934.41</v>
      </c>
      <c r="M1117" s="10" t="str">
        <f aca="false">VLOOKUP(J1117,RECATALOGANDO!A:C,2,0)</f>
        <v>HONORARIOS MEDICOS</v>
      </c>
      <c r="N1117" s="12" t="str">
        <f aca="false">VLOOKUP(M1117,RECATALOGANDO!B:C,2,0)</f>
        <v>VENTA DE SERVICIO</v>
      </c>
      <c r="O1117" s="2" t="s">
        <v>39</v>
      </c>
    </row>
    <row r="1118" customFormat="false" ht="13.8" hidden="false" customHeight="false" outlineLevel="0" collapsed="false">
      <c r="A1118" s="8" t="n">
        <v>45616</v>
      </c>
      <c r="B1118" s="9" t="n">
        <f aca="false">DAY(A1118)</f>
        <v>20</v>
      </c>
      <c r="C1118" s="9" t="n">
        <f aca="false">MONTH(A1118)</f>
        <v>11</v>
      </c>
      <c r="D1118" s="9" t="n">
        <f aca="false">YEAR(A1118)</f>
        <v>2024</v>
      </c>
      <c r="E1118" s="9" t="n">
        <f aca="false">WEEKDAY(A1118,2)</f>
        <v>3</v>
      </c>
      <c r="F1118" s="10" t="n">
        <f aca="false">WEEKNUM(A1118,2) - WEEKNUM(DATE(YEAR(A1118),MONTH(A1118),1),2) + 1</f>
        <v>4</v>
      </c>
      <c r="G1118" s="10"/>
      <c r="H1118" s="11" t="n">
        <v>1485.27</v>
      </c>
      <c r="I1118" s="12" t="s">
        <v>15</v>
      </c>
      <c r="J1118" s="12" t="s">
        <v>64</v>
      </c>
      <c r="K1118" s="12"/>
      <c r="L1118" s="9" t="n">
        <f aca="false">L1117+H1118</f>
        <v>46419.68</v>
      </c>
      <c r="M1118" s="10" t="str">
        <f aca="false">VLOOKUP(J1118,RECATALOGANDO!A:C,2,0)</f>
        <v>HONORARIOS QUIRURGICOS</v>
      </c>
      <c r="N1118" s="12" t="str">
        <f aca="false">VLOOKUP(M1118,RECATALOGANDO!B:C,2,0)</f>
        <v>VENTA DE SERVICIO</v>
      </c>
      <c r="O1118" s="2" t="s">
        <v>39</v>
      </c>
    </row>
    <row r="1119" customFormat="false" ht="13.8" hidden="false" customHeight="false" outlineLevel="0" collapsed="false">
      <c r="A1119" s="8" t="n">
        <v>45617</v>
      </c>
      <c r="B1119" s="9" t="n">
        <f aca="false">DAY(A1119)</f>
        <v>21</v>
      </c>
      <c r="C1119" s="9" t="n">
        <f aca="false">MONTH(A1119)</f>
        <v>11</v>
      </c>
      <c r="D1119" s="9" t="n">
        <f aca="false">YEAR(A1119)</f>
        <v>2024</v>
      </c>
      <c r="E1119" s="9" t="n">
        <f aca="false">WEEKDAY(A1119,2)</f>
        <v>4</v>
      </c>
      <c r="F1119" s="10" t="n">
        <f aca="false">WEEKNUM(A1119,2) - WEEKNUM(DATE(YEAR(A1119),MONTH(A1119),1),2) + 1</f>
        <v>4</v>
      </c>
      <c r="G1119" s="10"/>
      <c r="H1119" s="11" t="n">
        <v>2351</v>
      </c>
      <c r="I1119" s="12" t="s">
        <v>20</v>
      </c>
      <c r="J1119" s="12" t="s">
        <v>45</v>
      </c>
      <c r="K1119" s="12"/>
      <c r="L1119" s="9" t="n">
        <f aca="false">L1118+H1119</f>
        <v>48770.68</v>
      </c>
      <c r="M1119" s="10" t="str">
        <f aca="false">VLOOKUP(J1119,RECATALOGANDO!A:C,2,0)</f>
        <v>VENTA DE MEDICAMENTO</v>
      </c>
      <c r="N1119" s="12" t="str">
        <f aca="false">VLOOKUP(M1119,RECATALOGANDO!B:C,2,0)</f>
        <v>VENTA DE PRODUCTO</v>
      </c>
      <c r="O1119" s="2" t="s">
        <v>39</v>
      </c>
    </row>
    <row r="1120" customFormat="false" ht="13.8" hidden="false" customHeight="false" outlineLevel="0" collapsed="false">
      <c r="A1120" s="8" t="n">
        <v>45618</v>
      </c>
      <c r="B1120" s="9" t="n">
        <f aca="false">DAY(A1120)</f>
        <v>22</v>
      </c>
      <c r="C1120" s="9" t="n">
        <f aca="false">MONTH(A1120)</f>
        <v>11</v>
      </c>
      <c r="D1120" s="9" t="n">
        <f aca="false">YEAR(A1120)</f>
        <v>2024</v>
      </c>
      <c r="E1120" s="9" t="n">
        <f aca="false">WEEKDAY(A1120,2)</f>
        <v>5</v>
      </c>
      <c r="F1120" s="10" t="n">
        <f aca="false">WEEKNUM(A1120,2) - WEEKNUM(DATE(YEAR(A1120),MONTH(A1120),1),2) + 1</f>
        <v>4</v>
      </c>
      <c r="G1120" s="10"/>
      <c r="H1120" s="11" t="n">
        <v>308</v>
      </c>
      <c r="I1120" s="12" t="s">
        <v>20</v>
      </c>
      <c r="J1120" s="12" t="s">
        <v>45</v>
      </c>
      <c r="K1120" s="12"/>
      <c r="L1120" s="9" t="n">
        <f aca="false">L1119+H1120</f>
        <v>49078.68</v>
      </c>
      <c r="M1120" s="10" t="str">
        <f aca="false">VLOOKUP(J1120,RECATALOGANDO!A:C,2,0)</f>
        <v>VENTA DE MEDICAMENTO</v>
      </c>
      <c r="N1120" s="12" t="str">
        <f aca="false">VLOOKUP(M1120,RECATALOGANDO!B:C,2,0)</f>
        <v>VENTA DE PRODUCTO</v>
      </c>
      <c r="O1120" s="2" t="s">
        <v>39</v>
      </c>
    </row>
    <row r="1121" customFormat="false" ht="13.8" hidden="false" customHeight="false" outlineLevel="0" collapsed="false">
      <c r="A1121" s="8" t="n">
        <v>45618</v>
      </c>
      <c r="B1121" s="9" t="n">
        <f aca="false">DAY(A1121)</f>
        <v>22</v>
      </c>
      <c r="C1121" s="9" t="n">
        <f aca="false">MONTH(A1121)</f>
        <v>11</v>
      </c>
      <c r="D1121" s="9" t="n">
        <f aca="false">YEAR(A1121)</f>
        <v>2024</v>
      </c>
      <c r="E1121" s="9" t="n">
        <f aca="false">WEEKDAY(A1121,2)</f>
        <v>5</v>
      </c>
      <c r="F1121" s="10" t="n">
        <f aca="false">WEEKNUM(A1121,2) - WEEKNUM(DATE(YEAR(A1121),MONTH(A1121),1),2) + 1</f>
        <v>4</v>
      </c>
      <c r="G1121" s="10"/>
      <c r="H1121" s="11" t="n">
        <v>940</v>
      </c>
      <c r="I1121" s="12"/>
      <c r="J1121" s="12" t="s">
        <v>44</v>
      </c>
      <c r="K1121" s="12"/>
      <c r="L1121" s="9" t="n">
        <f aca="false">L1120+H1121</f>
        <v>50018.68</v>
      </c>
      <c r="M1121" s="10" t="str">
        <f aca="false">VLOOKUP(J1121,RECATALOGANDO!A:C,2,0)</f>
        <v>HONORARIOS MEDICOS</v>
      </c>
      <c r="N1121" s="12" t="str">
        <f aca="false">VLOOKUP(M1121,RECATALOGANDO!B:C,2,0)</f>
        <v>VENTA DE SERVICIO</v>
      </c>
      <c r="O1121" s="2" t="s">
        <v>39</v>
      </c>
    </row>
    <row r="1122" customFormat="false" ht="13.8" hidden="false" customHeight="false" outlineLevel="0" collapsed="false">
      <c r="A1122" s="8" t="n">
        <v>45621</v>
      </c>
      <c r="B1122" s="9" t="n">
        <f aca="false">DAY(A1122)</f>
        <v>25</v>
      </c>
      <c r="C1122" s="9" t="n">
        <f aca="false">MONTH(A1122)</f>
        <v>11</v>
      </c>
      <c r="D1122" s="9" t="n">
        <f aca="false">YEAR(A1122)</f>
        <v>2024</v>
      </c>
      <c r="E1122" s="9" t="n">
        <f aca="false">WEEKDAY(A1122,2)</f>
        <v>1</v>
      </c>
      <c r="F1122" s="10" t="n">
        <f aca="false">WEEKNUM(A1122,2) - WEEKNUM(DATE(YEAR(A1122),MONTH(A1122),1),2) + 1</f>
        <v>5</v>
      </c>
      <c r="G1122" s="10"/>
      <c r="H1122" s="11" t="n">
        <v>390</v>
      </c>
      <c r="I1122" s="12" t="s">
        <v>20</v>
      </c>
      <c r="J1122" s="12" t="s">
        <v>45</v>
      </c>
      <c r="K1122" s="12"/>
      <c r="L1122" s="9" t="n">
        <f aca="false">L1121+H1122</f>
        <v>50408.68</v>
      </c>
      <c r="M1122" s="10" t="str">
        <f aca="false">VLOOKUP(J1122,RECATALOGANDO!A:C,2,0)</f>
        <v>VENTA DE MEDICAMENTO</v>
      </c>
      <c r="N1122" s="12" t="str">
        <f aca="false">VLOOKUP(M1122,RECATALOGANDO!B:C,2,0)</f>
        <v>VENTA DE PRODUCTO</v>
      </c>
      <c r="O1122" s="2" t="s">
        <v>39</v>
      </c>
    </row>
    <row r="1123" customFormat="false" ht="13.8" hidden="false" customHeight="false" outlineLevel="0" collapsed="false">
      <c r="A1123" s="8" t="n">
        <v>45621</v>
      </c>
      <c r="B1123" s="9" t="n">
        <f aca="false">DAY(A1123)</f>
        <v>25</v>
      </c>
      <c r="C1123" s="9" t="n">
        <f aca="false">MONTH(A1123)</f>
        <v>11</v>
      </c>
      <c r="D1123" s="9" t="n">
        <f aca="false">YEAR(A1123)</f>
        <v>2024</v>
      </c>
      <c r="E1123" s="9" t="n">
        <f aca="false">WEEKDAY(A1123,2)</f>
        <v>1</v>
      </c>
      <c r="F1123" s="10" t="n">
        <f aca="false">WEEKNUM(A1123,2) - WEEKNUM(DATE(YEAR(A1123),MONTH(A1123),1),2) + 1</f>
        <v>5</v>
      </c>
      <c r="G1123" s="10"/>
      <c r="H1123" s="11" t="n">
        <v>6000</v>
      </c>
      <c r="I1123" s="12" t="s">
        <v>20</v>
      </c>
      <c r="J1123" s="12" t="s">
        <v>45</v>
      </c>
      <c r="K1123" s="12"/>
      <c r="L1123" s="9" t="n">
        <f aca="false">L1122+H1123</f>
        <v>56408.68</v>
      </c>
      <c r="M1123" s="10" t="str">
        <f aca="false">VLOOKUP(J1123,RECATALOGANDO!A:C,2,0)</f>
        <v>VENTA DE MEDICAMENTO</v>
      </c>
      <c r="N1123" s="12" t="str">
        <f aca="false">VLOOKUP(M1123,RECATALOGANDO!B:C,2,0)</f>
        <v>VENTA DE PRODUCTO</v>
      </c>
      <c r="O1123" s="2" t="s">
        <v>39</v>
      </c>
    </row>
    <row r="1124" customFormat="false" ht="13.8" hidden="false" customHeight="false" outlineLevel="0" collapsed="false">
      <c r="A1124" s="8" t="n">
        <v>45621</v>
      </c>
      <c r="B1124" s="9" t="n">
        <f aca="false">DAY(A1124)</f>
        <v>25</v>
      </c>
      <c r="C1124" s="9" t="n">
        <f aca="false">MONTH(A1124)</f>
        <v>11</v>
      </c>
      <c r="D1124" s="9" t="n">
        <f aca="false">YEAR(A1124)</f>
        <v>2024</v>
      </c>
      <c r="E1124" s="9" t="n">
        <f aca="false">WEEKDAY(A1124,2)</f>
        <v>1</v>
      </c>
      <c r="F1124" s="10" t="n">
        <f aca="false">WEEKNUM(A1124,2) - WEEKNUM(DATE(YEAR(A1124),MONTH(A1124),1),2) + 1</f>
        <v>5</v>
      </c>
      <c r="G1124" s="10"/>
      <c r="H1124" s="11" t="n">
        <v>330</v>
      </c>
      <c r="I1124" s="12" t="s">
        <v>20</v>
      </c>
      <c r="J1124" s="12" t="s">
        <v>44</v>
      </c>
      <c r="K1124" s="12"/>
      <c r="L1124" s="9" t="n">
        <f aca="false">L1123+H1124</f>
        <v>56738.68</v>
      </c>
      <c r="M1124" s="10" t="str">
        <f aca="false">VLOOKUP(J1124,RECATALOGANDO!A:C,2,0)</f>
        <v>HONORARIOS MEDICOS</v>
      </c>
      <c r="N1124" s="12" t="str">
        <f aca="false">VLOOKUP(M1124,RECATALOGANDO!B:C,2,0)</f>
        <v>VENTA DE SERVICIO</v>
      </c>
      <c r="O1124" s="2" t="s">
        <v>39</v>
      </c>
    </row>
    <row r="1125" customFormat="false" ht="13.8" hidden="false" customHeight="false" outlineLevel="0" collapsed="false">
      <c r="A1125" s="8" t="n">
        <v>45621</v>
      </c>
      <c r="B1125" s="9" t="n">
        <f aca="false">DAY(A1125)</f>
        <v>25</v>
      </c>
      <c r="C1125" s="9" t="n">
        <f aca="false">MONTH(A1125)</f>
        <v>11</v>
      </c>
      <c r="D1125" s="9" t="n">
        <f aca="false">YEAR(A1125)</f>
        <v>2024</v>
      </c>
      <c r="E1125" s="9" t="n">
        <f aca="false">WEEKDAY(A1125,2)</f>
        <v>1</v>
      </c>
      <c r="F1125" s="10" t="n">
        <f aca="false">WEEKNUM(A1125,2) - WEEKNUM(DATE(YEAR(A1125),MONTH(A1125),1),2) + 1</f>
        <v>5</v>
      </c>
      <c r="G1125" s="10"/>
      <c r="H1125" s="11" t="n">
        <v>370</v>
      </c>
      <c r="I1125" s="12" t="s">
        <v>20</v>
      </c>
      <c r="J1125" s="12" t="s">
        <v>49</v>
      </c>
      <c r="K1125" s="12"/>
      <c r="L1125" s="9" t="n">
        <f aca="false">L1124+H1125</f>
        <v>57108.68</v>
      </c>
      <c r="M1125" s="10" t="str">
        <f aca="false">VLOOKUP(J1125,RECATALOGANDO!A:C,2,0)</f>
        <v>SERVICIO DE GROOMING</v>
      </c>
      <c r="N1125" s="12" t="str">
        <f aca="false">VLOOKUP(M1125,RECATALOGANDO!B:C,2,0)</f>
        <v>VENTA DE SERVICIO</v>
      </c>
      <c r="O1125" s="2" t="s">
        <v>39</v>
      </c>
    </row>
    <row r="1126" customFormat="false" ht="13.8" hidden="false" customHeight="false" outlineLevel="0" collapsed="false">
      <c r="A1126" s="8" t="n">
        <v>45623</v>
      </c>
      <c r="B1126" s="9" t="n">
        <f aca="false">DAY(A1126)</f>
        <v>27</v>
      </c>
      <c r="C1126" s="9" t="n">
        <f aca="false">MONTH(A1126)</f>
        <v>11</v>
      </c>
      <c r="D1126" s="9" t="n">
        <f aca="false">YEAR(A1126)</f>
        <v>2024</v>
      </c>
      <c r="E1126" s="9" t="n">
        <f aca="false">WEEKDAY(A1126,2)</f>
        <v>3</v>
      </c>
      <c r="F1126" s="10" t="n">
        <f aca="false">WEEKNUM(A1126,2) - WEEKNUM(DATE(YEAR(A1126),MONTH(A1126),1),2) + 1</f>
        <v>5</v>
      </c>
      <c r="G1126" s="10"/>
      <c r="H1126" s="11" t="n">
        <v>140</v>
      </c>
      <c r="I1126" s="12" t="s">
        <v>20</v>
      </c>
      <c r="J1126" s="12" t="s">
        <v>49</v>
      </c>
      <c r="K1126" s="12"/>
      <c r="L1126" s="9" t="n">
        <f aca="false">L1125+H1126</f>
        <v>57248.68</v>
      </c>
      <c r="M1126" s="10" t="str">
        <f aca="false">VLOOKUP(J1126,RECATALOGANDO!A:C,2,0)</f>
        <v>SERVICIO DE GROOMING</v>
      </c>
      <c r="N1126" s="12" t="str">
        <f aca="false">VLOOKUP(M1126,RECATALOGANDO!B:C,2,0)</f>
        <v>VENTA DE SERVICIO</v>
      </c>
      <c r="O1126" s="2" t="s">
        <v>39</v>
      </c>
    </row>
    <row r="1127" customFormat="false" ht="13.8" hidden="false" customHeight="false" outlineLevel="0" collapsed="false">
      <c r="A1127" s="8" t="n">
        <v>45623</v>
      </c>
      <c r="B1127" s="9" t="n">
        <f aca="false">DAY(A1127)</f>
        <v>27</v>
      </c>
      <c r="C1127" s="9" t="n">
        <f aca="false">MONTH(A1127)</f>
        <v>11</v>
      </c>
      <c r="D1127" s="9" t="n">
        <f aca="false">YEAR(A1127)</f>
        <v>2024</v>
      </c>
      <c r="E1127" s="9" t="n">
        <f aca="false">WEEKDAY(A1127,2)</f>
        <v>3</v>
      </c>
      <c r="F1127" s="10" t="n">
        <f aca="false">WEEKNUM(A1127,2) - WEEKNUM(DATE(YEAR(A1127),MONTH(A1127),1),2) + 1</f>
        <v>5</v>
      </c>
      <c r="G1127" s="10"/>
      <c r="H1127" s="11" t="n">
        <v>2250</v>
      </c>
      <c r="I1127" s="12" t="s">
        <v>20</v>
      </c>
      <c r="J1127" s="12" t="s">
        <v>54</v>
      </c>
      <c r="K1127" s="12"/>
      <c r="L1127" s="9" t="n">
        <f aca="false">L1126+H1127</f>
        <v>59498.68</v>
      </c>
      <c r="M1127" s="10" t="str">
        <f aca="false">VLOOKUP(J1127,RECATALOGANDO!A:C,2,0)</f>
        <v>SERVICIO DE LABORATORIO</v>
      </c>
      <c r="N1127" s="12" t="str">
        <f aca="false">VLOOKUP(M1127,RECATALOGANDO!B:C,2,0)</f>
        <v>VENTA DE SERVICIO</v>
      </c>
      <c r="O1127" s="2" t="s">
        <v>39</v>
      </c>
    </row>
    <row r="1128" customFormat="false" ht="13.8" hidden="false" customHeight="false" outlineLevel="0" collapsed="false">
      <c r="A1128" s="8" t="n">
        <v>45624</v>
      </c>
      <c r="B1128" s="9" t="n">
        <f aca="false">DAY(A1128)</f>
        <v>28</v>
      </c>
      <c r="C1128" s="9" t="n">
        <f aca="false">MONTH(A1128)</f>
        <v>11</v>
      </c>
      <c r="D1128" s="9" t="n">
        <f aca="false">YEAR(A1128)</f>
        <v>2024</v>
      </c>
      <c r="E1128" s="9" t="n">
        <f aca="false">WEEKDAY(A1128,2)</f>
        <v>4</v>
      </c>
      <c r="F1128" s="10" t="n">
        <f aca="false">WEEKNUM(A1128,2) - WEEKNUM(DATE(YEAR(A1128),MONTH(A1128),1),2) + 1</f>
        <v>5</v>
      </c>
      <c r="G1128" s="10"/>
      <c r="H1128" s="11" t="n">
        <v>1055</v>
      </c>
      <c r="I1128" s="12" t="s">
        <v>20</v>
      </c>
      <c r="J1128" s="12" t="s">
        <v>64</v>
      </c>
      <c r="K1128" s="12"/>
      <c r="L1128" s="9" t="n">
        <f aca="false">L1127+H1128</f>
        <v>60553.68</v>
      </c>
      <c r="M1128" s="10" t="str">
        <f aca="false">VLOOKUP(J1128,RECATALOGANDO!A:C,2,0)</f>
        <v>HONORARIOS QUIRURGICOS</v>
      </c>
      <c r="N1128" s="12" t="str">
        <f aca="false">VLOOKUP(M1128,RECATALOGANDO!B:C,2,0)</f>
        <v>VENTA DE SERVICIO</v>
      </c>
      <c r="O1128" s="2" t="s">
        <v>39</v>
      </c>
    </row>
    <row r="1129" customFormat="false" ht="13.8" hidden="false" customHeight="false" outlineLevel="0" collapsed="false">
      <c r="A1129" s="8" t="n">
        <v>45624</v>
      </c>
      <c r="B1129" s="9" t="n">
        <f aca="false">DAY(A1129)</f>
        <v>28</v>
      </c>
      <c r="C1129" s="9" t="n">
        <f aca="false">MONTH(A1129)</f>
        <v>11</v>
      </c>
      <c r="D1129" s="9" t="n">
        <f aca="false">YEAR(A1129)</f>
        <v>2024</v>
      </c>
      <c r="E1129" s="9" t="n">
        <f aca="false">WEEKDAY(A1129,2)</f>
        <v>4</v>
      </c>
      <c r="F1129" s="10" t="n">
        <f aca="false">WEEKNUM(A1129,2) - WEEKNUM(DATE(YEAR(A1129),MONTH(A1129),1),2) + 1</f>
        <v>5</v>
      </c>
      <c r="G1129" s="10"/>
      <c r="H1129" s="11" t="n">
        <v>1060</v>
      </c>
      <c r="I1129" s="12" t="s">
        <v>20</v>
      </c>
      <c r="J1129" s="12" t="s">
        <v>44</v>
      </c>
      <c r="K1129" s="12"/>
      <c r="L1129" s="9" t="n">
        <f aca="false">L1128+H1129</f>
        <v>61613.68</v>
      </c>
      <c r="M1129" s="10" t="str">
        <f aca="false">VLOOKUP(J1129,RECATALOGANDO!A:C,2,0)</f>
        <v>HONORARIOS MEDICOS</v>
      </c>
      <c r="N1129" s="12" t="str">
        <f aca="false">VLOOKUP(M1129,RECATALOGANDO!B:C,2,0)</f>
        <v>VENTA DE SERVICIO</v>
      </c>
      <c r="O1129" s="2" t="s">
        <v>39</v>
      </c>
    </row>
    <row r="1130" customFormat="false" ht="13.8" hidden="false" customHeight="false" outlineLevel="0" collapsed="false">
      <c r="A1130" s="8" t="n">
        <v>45628</v>
      </c>
      <c r="B1130" s="9" t="n">
        <f aca="false">DAY(A1130)</f>
        <v>2</v>
      </c>
      <c r="C1130" s="9" t="n">
        <f aca="false">MONTH(A1130)</f>
        <v>12</v>
      </c>
      <c r="D1130" s="9" t="n">
        <f aca="false">YEAR(A1130)</f>
        <v>2024</v>
      </c>
      <c r="E1130" s="9" t="n">
        <f aca="false">WEEKDAY(A1130,2)</f>
        <v>1</v>
      </c>
      <c r="F1130" s="10" t="n">
        <f aca="false">WEEKNUM(A1130,2) - WEEKNUM(DATE(YEAR(A1130),MONTH(A1130),1),2) + 1</f>
        <v>2</v>
      </c>
      <c r="G1130" s="10"/>
      <c r="H1130" s="11" t="n">
        <v>240</v>
      </c>
      <c r="I1130" s="12" t="s">
        <v>20</v>
      </c>
      <c r="J1130" s="12" t="s">
        <v>45</v>
      </c>
      <c r="K1130" s="12"/>
      <c r="L1130" s="9" t="n">
        <f aca="false">H1130</f>
        <v>240</v>
      </c>
      <c r="M1130" s="10" t="str">
        <f aca="false">VLOOKUP(J1130,RECATALOGANDO!A:C,2,0)</f>
        <v>VENTA DE MEDICAMENTO</v>
      </c>
      <c r="N1130" s="12" t="str">
        <f aca="false">VLOOKUP(M1130,RECATALOGANDO!B:C,2,0)</f>
        <v>VENTA DE PRODUCTO</v>
      </c>
      <c r="O1130" s="2" t="s">
        <v>39</v>
      </c>
    </row>
    <row r="1131" customFormat="false" ht="13.8" hidden="false" customHeight="false" outlineLevel="0" collapsed="false">
      <c r="A1131" s="8" t="n">
        <v>45628</v>
      </c>
      <c r="B1131" s="9" t="n">
        <f aca="false">DAY(A1131)</f>
        <v>2</v>
      </c>
      <c r="C1131" s="9" t="n">
        <f aca="false">MONTH(A1131)</f>
        <v>12</v>
      </c>
      <c r="D1131" s="9" t="n">
        <f aca="false">YEAR(A1131)</f>
        <v>2024</v>
      </c>
      <c r="E1131" s="9" t="n">
        <f aca="false">WEEKDAY(A1131,2)</f>
        <v>1</v>
      </c>
      <c r="F1131" s="10" t="n">
        <f aca="false">WEEKNUM(A1131,2) - WEEKNUM(DATE(YEAR(A1131),MONTH(A1131),1),2) + 1</f>
        <v>2</v>
      </c>
      <c r="G1131" s="10"/>
      <c r="H1131" s="11" t="n">
        <v>899</v>
      </c>
      <c r="I1131" s="12" t="s">
        <v>20</v>
      </c>
      <c r="J1131" s="12" t="s">
        <v>51</v>
      </c>
      <c r="K1131" s="12"/>
      <c r="L1131" s="9" t="n">
        <f aca="false">L1130+H1131</f>
        <v>1139</v>
      </c>
      <c r="M1131" s="10" t="str">
        <f aca="false">VLOOKUP(J1131,RECATALOGANDO!A:C,2,0)</f>
        <v>VENTA DE ALIMENTO</v>
      </c>
      <c r="N1131" s="12" t="str">
        <f aca="false">VLOOKUP(M1131,RECATALOGANDO!B:C,2,0)</f>
        <v>VENTA DE PRODUCTO</v>
      </c>
      <c r="O1131" s="2" t="s">
        <v>39</v>
      </c>
    </row>
    <row r="1132" customFormat="false" ht="13.8" hidden="false" customHeight="false" outlineLevel="0" collapsed="false">
      <c r="A1132" s="8" t="n">
        <v>45631</v>
      </c>
      <c r="B1132" s="9" t="n">
        <f aca="false">DAY(A1132)</f>
        <v>5</v>
      </c>
      <c r="C1132" s="9" t="n">
        <f aca="false">MONTH(A1132)</f>
        <v>12</v>
      </c>
      <c r="D1132" s="9" t="n">
        <f aca="false">YEAR(A1132)</f>
        <v>2024</v>
      </c>
      <c r="E1132" s="9" t="n">
        <f aca="false">WEEKDAY(A1132,2)</f>
        <v>4</v>
      </c>
      <c r="F1132" s="10" t="n">
        <f aca="false">WEEKNUM(A1132,2) - WEEKNUM(DATE(YEAR(A1132),MONTH(A1132),1),2) + 1</f>
        <v>2</v>
      </c>
      <c r="G1132" s="10"/>
      <c r="H1132" s="11" t="n">
        <v>70</v>
      </c>
      <c r="I1132" s="12" t="s">
        <v>20</v>
      </c>
      <c r="J1132" s="12" t="s">
        <v>45</v>
      </c>
      <c r="K1132" s="12"/>
      <c r="L1132" s="9" t="n">
        <f aca="false">L1131+H1132</f>
        <v>1209</v>
      </c>
      <c r="M1132" s="10" t="str">
        <f aca="false">VLOOKUP(J1132,RECATALOGANDO!A:C,2,0)</f>
        <v>VENTA DE MEDICAMENTO</v>
      </c>
      <c r="N1132" s="12" t="str">
        <f aca="false">VLOOKUP(M1132,RECATALOGANDO!B:C,2,0)</f>
        <v>VENTA DE PRODUCTO</v>
      </c>
      <c r="O1132" s="2" t="s">
        <v>39</v>
      </c>
    </row>
    <row r="1133" customFormat="false" ht="13.8" hidden="false" customHeight="false" outlineLevel="0" collapsed="false">
      <c r="A1133" s="8" t="n">
        <v>45632</v>
      </c>
      <c r="B1133" s="9" t="n">
        <f aca="false">DAY(A1133)</f>
        <v>6</v>
      </c>
      <c r="C1133" s="9" t="n">
        <f aca="false">MONTH(A1133)</f>
        <v>12</v>
      </c>
      <c r="D1133" s="9" t="n">
        <f aca="false">YEAR(A1133)</f>
        <v>2024</v>
      </c>
      <c r="E1133" s="9" t="n">
        <f aca="false">WEEKDAY(A1133,2)</f>
        <v>5</v>
      </c>
      <c r="F1133" s="10" t="n">
        <f aca="false">WEEKNUM(A1133,2) - WEEKNUM(DATE(YEAR(A1133),MONTH(A1133),1),2) + 1</f>
        <v>2</v>
      </c>
      <c r="G1133" s="10"/>
      <c r="H1133" s="11" t="n">
        <v>5310</v>
      </c>
      <c r="I1133" s="12" t="s">
        <v>20</v>
      </c>
      <c r="J1133" s="12" t="s">
        <v>45</v>
      </c>
      <c r="K1133" s="12"/>
      <c r="L1133" s="9" t="n">
        <f aca="false">L1132+H1133</f>
        <v>6519</v>
      </c>
      <c r="M1133" s="10" t="str">
        <f aca="false">VLOOKUP(J1133,RECATALOGANDO!A:C,2,0)</f>
        <v>VENTA DE MEDICAMENTO</v>
      </c>
      <c r="N1133" s="12" t="str">
        <f aca="false">VLOOKUP(M1133,RECATALOGANDO!B:C,2,0)</f>
        <v>VENTA DE PRODUCTO</v>
      </c>
      <c r="O1133" s="2" t="s">
        <v>39</v>
      </c>
    </row>
    <row r="1134" customFormat="false" ht="13.8" hidden="false" customHeight="false" outlineLevel="0" collapsed="false">
      <c r="A1134" s="8" t="n">
        <v>45632</v>
      </c>
      <c r="B1134" s="9" t="n">
        <f aca="false">DAY(A1134)</f>
        <v>6</v>
      </c>
      <c r="C1134" s="9" t="n">
        <f aca="false">MONTH(A1134)</f>
        <v>12</v>
      </c>
      <c r="D1134" s="9" t="n">
        <f aca="false">YEAR(A1134)</f>
        <v>2024</v>
      </c>
      <c r="E1134" s="9" t="n">
        <f aca="false">WEEKDAY(A1134,2)</f>
        <v>5</v>
      </c>
      <c r="F1134" s="10" t="n">
        <f aca="false">WEEKNUM(A1134,2) - WEEKNUM(DATE(YEAR(A1134),MONTH(A1134),1),2) + 1</f>
        <v>2</v>
      </c>
      <c r="G1134" s="10"/>
      <c r="H1134" s="11" t="n">
        <v>1988</v>
      </c>
      <c r="I1134" s="12" t="s">
        <v>20</v>
      </c>
      <c r="J1134" s="12" t="s">
        <v>59</v>
      </c>
      <c r="K1134" s="12"/>
      <c r="L1134" s="9" t="n">
        <f aca="false">L1133+H1134</f>
        <v>8507</v>
      </c>
      <c r="M1134" s="10" t="str">
        <f aca="false">VLOOKUP(J1134,RECATALOGANDO!A:C,2,0)</f>
        <v>SERVICIO DE PENSION</v>
      </c>
      <c r="N1134" s="12" t="str">
        <f aca="false">VLOOKUP(M1134,RECATALOGANDO!B:C,2,0)</f>
        <v>VENTA DE SERVICIO</v>
      </c>
      <c r="O1134" s="2" t="s">
        <v>39</v>
      </c>
    </row>
    <row r="1135" customFormat="false" ht="13.8" hidden="false" customHeight="false" outlineLevel="0" collapsed="false">
      <c r="A1135" s="8" t="n">
        <v>45632</v>
      </c>
      <c r="B1135" s="9" t="n">
        <f aca="false">DAY(A1135)</f>
        <v>6</v>
      </c>
      <c r="C1135" s="9" t="n">
        <f aca="false">MONTH(A1135)</f>
        <v>12</v>
      </c>
      <c r="D1135" s="9" t="n">
        <f aca="false">YEAR(A1135)</f>
        <v>2024</v>
      </c>
      <c r="E1135" s="9" t="n">
        <f aca="false">WEEKDAY(A1135,2)</f>
        <v>5</v>
      </c>
      <c r="F1135" s="10" t="n">
        <f aca="false">WEEKNUM(A1135,2) - WEEKNUM(DATE(YEAR(A1135),MONTH(A1135),1),2) + 1</f>
        <v>2</v>
      </c>
      <c r="G1135" s="10"/>
      <c r="H1135" s="11" t="n">
        <v>2650</v>
      </c>
      <c r="I1135" s="12" t="s">
        <v>20</v>
      </c>
      <c r="J1135" s="12" t="s">
        <v>44</v>
      </c>
      <c r="K1135" s="12"/>
      <c r="L1135" s="9" t="n">
        <f aca="false">L1134+H1135</f>
        <v>11157</v>
      </c>
      <c r="M1135" s="10" t="str">
        <f aca="false">VLOOKUP(J1135,RECATALOGANDO!A:C,2,0)</f>
        <v>HONORARIOS MEDICOS</v>
      </c>
      <c r="N1135" s="12" t="str">
        <f aca="false">VLOOKUP(M1135,RECATALOGANDO!B:C,2,0)</f>
        <v>VENTA DE SERVICIO</v>
      </c>
      <c r="O1135" s="2" t="s">
        <v>39</v>
      </c>
    </row>
    <row r="1136" customFormat="false" ht="13.8" hidden="false" customHeight="false" outlineLevel="0" collapsed="false">
      <c r="A1136" s="8" t="n">
        <v>45635</v>
      </c>
      <c r="B1136" s="9" t="n">
        <f aca="false">DAY(A1136)</f>
        <v>9</v>
      </c>
      <c r="C1136" s="9" t="n">
        <f aca="false">MONTH(A1136)</f>
        <v>12</v>
      </c>
      <c r="D1136" s="9" t="n">
        <f aca="false">YEAR(A1136)</f>
        <v>2024</v>
      </c>
      <c r="E1136" s="9" t="n">
        <f aca="false">WEEKDAY(A1136,2)</f>
        <v>1</v>
      </c>
      <c r="F1136" s="10" t="n">
        <f aca="false">WEEKNUM(A1136,2) - WEEKNUM(DATE(YEAR(A1136),MONTH(A1136),1),2) + 1</f>
        <v>3</v>
      </c>
      <c r="G1136" s="10"/>
      <c r="H1136" s="11" t="n">
        <v>650</v>
      </c>
      <c r="I1136" s="12" t="s">
        <v>20</v>
      </c>
      <c r="J1136" s="12" t="s">
        <v>45</v>
      </c>
      <c r="K1136" s="12"/>
      <c r="L1136" s="9" t="n">
        <f aca="false">L1135+H1136</f>
        <v>11807</v>
      </c>
      <c r="M1136" s="10" t="str">
        <f aca="false">VLOOKUP(J1136,RECATALOGANDO!A:C,2,0)</f>
        <v>VENTA DE MEDICAMENTO</v>
      </c>
      <c r="N1136" s="12" t="str">
        <f aca="false">VLOOKUP(M1136,RECATALOGANDO!B:C,2,0)</f>
        <v>VENTA DE PRODUCTO</v>
      </c>
      <c r="O1136" s="2" t="s">
        <v>39</v>
      </c>
    </row>
    <row r="1137" customFormat="false" ht="13.8" hidden="false" customHeight="false" outlineLevel="0" collapsed="false">
      <c r="A1137" s="8" t="n">
        <v>45635</v>
      </c>
      <c r="B1137" s="9" t="n">
        <f aca="false">DAY(A1137)</f>
        <v>9</v>
      </c>
      <c r="C1137" s="9" t="n">
        <f aca="false">MONTH(A1137)</f>
        <v>12</v>
      </c>
      <c r="D1137" s="9" t="n">
        <f aca="false">YEAR(A1137)</f>
        <v>2024</v>
      </c>
      <c r="E1137" s="9" t="n">
        <f aca="false">WEEKDAY(A1137,2)</f>
        <v>1</v>
      </c>
      <c r="F1137" s="10" t="n">
        <f aca="false">WEEKNUM(A1137,2) - WEEKNUM(DATE(YEAR(A1137),MONTH(A1137),1),2) + 1</f>
        <v>3</v>
      </c>
      <c r="G1137" s="10"/>
      <c r="H1137" s="11" t="n">
        <v>1100</v>
      </c>
      <c r="I1137" s="12" t="s">
        <v>20</v>
      </c>
      <c r="J1137" s="12" t="s">
        <v>44</v>
      </c>
      <c r="K1137" s="12"/>
      <c r="L1137" s="9" t="n">
        <f aca="false">L1136+H1137</f>
        <v>12907</v>
      </c>
      <c r="M1137" s="10" t="str">
        <f aca="false">VLOOKUP(J1137,RECATALOGANDO!A:C,2,0)</f>
        <v>HONORARIOS MEDICOS</v>
      </c>
      <c r="N1137" s="12" t="str">
        <f aca="false">VLOOKUP(M1137,RECATALOGANDO!B:C,2,0)</f>
        <v>VENTA DE SERVICIO</v>
      </c>
      <c r="O1137" s="2" t="s">
        <v>39</v>
      </c>
    </row>
    <row r="1138" customFormat="false" ht="13.8" hidden="false" customHeight="false" outlineLevel="0" collapsed="false">
      <c r="A1138" s="8" t="n">
        <v>45637</v>
      </c>
      <c r="B1138" s="9" t="n">
        <f aca="false">DAY(A1138)</f>
        <v>11</v>
      </c>
      <c r="C1138" s="9" t="n">
        <f aca="false">MONTH(A1138)</f>
        <v>12</v>
      </c>
      <c r="D1138" s="9" t="n">
        <f aca="false">YEAR(A1138)</f>
        <v>2024</v>
      </c>
      <c r="E1138" s="9" t="n">
        <f aca="false">WEEKDAY(A1138,2)</f>
        <v>3</v>
      </c>
      <c r="F1138" s="10" t="n">
        <f aca="false">WEEKNUM(A1138,2) - WEEKNUM(DATE(YEAR(A1138),MONTH(A1138),1),2) + 1</f>
        <v>3</v>
      </c>
      <c r="G1138" s="10"/>
      <c r="H1138" s="11" t="n">
        <v>1300</v>
      </c>
      <c r="I1138" s="12" t="s">
        <v>20</v>
      </c>
      <c r="J1138" s="12" t="s">
        <v>51</v>
      </c>
      <c r="K1138" s="12"/>
      <c r="L1138" s="9" t="n">
        <f aca="false">L1137+H1138</f>
        <v>14207</v>
      </c>
      <c r="M1138" s="10" t="str">
        <f aca="false">VLOOKUP(J1138,RECATALOGANDO!A:C,2,0)</f>
        <v>VENTA DE ALIMENTO</v>
      </c>
      <c r="N1138" s="12" t="str">
        <f aca="false">VLOOKUP(M1138,RECATALOGANDO!B:C,2,0)</f>
        <v>VENTA DE PRODUCTO</v>
      </c>
      <c r="O1138" s="2" t="s">
        <v>39</v>
      </c>
    </row>
    <row r="1139" customFormat="false" ht="13.8" hidden="false" customHeight="false" outlineLevel="0" collapsed="false">
      <c r="A1139" s="8" t="n">
        <v>45639</v>
      </c>
      <c r="B1139" s="9" t="n">
        <f aca="false">DAY(A1139)</f>
        <v>13</v>
      </c>
      <c r="C1139" s="9" t="n">
        <f aca="false">MONTH(A1139)</f>
        <v>12</v>
      </c>
      <c r="D1139" s="9" t="n">
        <f aca="false">YEAR(A1139)</f>
        <v>2024</v>
      </c>
      <c r="E1139" s="9" t="n">
        <f aca="false">WEEKDAY(A1139,2)</f>
        <v>5</v>
      </c>
      <c r="F1139" s="10" t="n">
        <f aca="false">WEEKNUM(A1139,2) - WEEKNUM(DATE(YEAR(A1139),MONTH(A1139),1),2) + 1</f>
        <v>3</v>
      </c>
      <c r="G1139" s="10" t="n">
        <v>1</v>
      </c>
      <c r="H1139" s="11" t="n">
        <v>150</v>
      </c>
      <c r="I1139" s="12" t="s">
        <v>20</v>
      </c>
      <c r="J1139" s="12" t="s">
        <v>45</v>
      </c>
      <c r="K1139" s="12"/>
      <c r="L1139" s="9" t="n">
        <f aca="false">L1138+H1139</f>
        <v>14357</v>
      </c>
      <c r="M1139" s="10" t="str">
        <f aca="false">VLOOKUP(J1139,RECATALOGANDO!A:C,2,0)</f>
        <v>VENTA DE MEDICAMENTO</v>
      </c>
      <c r="N1139" s="12" t="str">
        <f aca="false">VLOOKUP(M1139,RECATALOGANDO!B:C,2,0)</f>
        <v>VENTA DE PRODUCTO</v>
      </c>
      <c r="O1139" s="2" t="s">
        <v>39</v>
      </c>
    </row>
    <row r="1140" customFormat="false" ht="13.8" hidden="false" customHeight="false" outlineLevel="0" collapsed="false">
      <c r="A1140" s="8" t="n">
        <v>45646</v>
      </c>
      <c r="B1140" s="9" t="n">
        <f aca="false">DAY(A1140)</f>
        <v>20</v>
      </c>
      <c r="C1140" s="9" t="n">
        <f aca="false">MONTH(A1140)</f>
        <v>12</v>
      </c>
      <c r="D1140" s="9" t="n">
        <f aca="false">YEAR(A1140)</f>
        <v>2024</v>
      </c>
      <c r="E1140" s="9" t="n">
        <f aca="false">WEEKDAY(A1140,2)</f>
        <v>5</v>
      </c>
      <c r="F1140" s="10" t="n">
        <f aca="false">WEEKNUM(A1140,2) - WEEKNUM(DATE(YEAR(A1140),MONTH(A1140),1),2) + 1</f>
        <v>4</v>
      </c>
      <c r="G1140" s="10"/>
      <c r="H1140" s="11" t="n">
        <v>1790</v>
      </c>
      <c r="I1140" s="12" t="s">
        <v>20</v>
      </c>
      <c r="J1140" s="12" t="s">
        <v>64</v>
      </c>
      <c r="K1140" s="12"/>
      <c r="L1140" s="9" t="n">
        <f aca="false">L1139+H1140</f>
        <v>16147</v>
      </c>
      <c r="M1140" s="10" t="str">
        <f aca="false">VLOOKUP(J1140,RECATALOGANDO!A:C,2,0)</f>
        <v>HONORARIOS QUIRURGICOS</v>
      </c>
      <c r="N1140" s="12" t="str">
        <f aca="false">VLOOKUP(M1140,RECATALOGANDO!B:C,2,0)</f>
        <v>VENTA DE SERVICIO</v>
      </c>
      <c r="O1140" s="2" t="s">
        <v>39</v>
      </c>
    </row>
    <row r="1141" customFormat="false" ht="13.8" hidden="false" customHeight="false" outlineLevel="0" collapsed="false">
      <c r="A1141" s="8" t="n">
        <v>45649</v>
      </c>
      <c r="B1141" s="9" t="n">
        <f aca="false">DAY(A1141)</f>
        <v>23</v>
      </c>
      <c r="C1141" s="9" t="n">
        <f aca="false">MONTH(A1141)</f>
        <v>12</v>
      </c>
      <c r="D1141" s="9" t="n">
        <f aca="false">YEAR(A1141)</f>
        <v>2024</v>
      </c>
      <c r="E1141" s="9" t="n">
        <f aca="false">WEEKDAY(A1141,2)</f>
        <v>1</v>
      </c>
      <c r="F1141" s="10" t="n">
        <f aca="false">WEEKNUM(A1141,2) - WEEKNUM(DATE(YEAR(A1141),MONTH(A1141),1),2) + 1</f>
        <v>5</v>
      </c>
      <c r="G1141" s="10"/>
      <c r="H1141" s="11" t="n">
        <v>70</v>
      </c>
      <c r="I1141" s="12" t="s">
        <v>20</v>
      </c>
      <c r="J1141" s="12" t="s">
        <v>45</v>
      </c>
      <c r="K1141" s="12"/>
      <c r="L1141" s="9" t="n">
        <f aca="false">L1140+H1141</f>
        <v>16217</v>
      </c>
      <c r="M1141" s="10" t="str">
        <f aca="false">VLOOKUP(J1141,RECATALOGANDO!A:C,2,0)</f>
        <v>VENTA DE MEDICAMENTO</v>
      </c>
      <c r="N1141" s="12" t="str">
        <f aca="false">VLOOKUP(M1141,RECATALOGANDO!B:C,2,0)</f>
        <v>VENTA DE PRODUCTO</v>
      </c>
      <c r="O1141" s="2" t="s">
        <v>39</v>
      </c>
    </row>
    <row r="1142" customFormat="false" ht="13.8" hidden="false" customHeight="false" outlineLevel="0" collapsed="false">
      <c r="A1142" s="8" t="n">
        <v>45649</v>
      </c>
      <c r="B1142" s="9" t="n">
        <f aca="false">DAY(A1142)</f>
        <v>23</v>
      </c>
      <c r="C1142" s="9" t="n">
        <f aca="false">MONTH(A1142)</f>
        <v>12</v>
      </c>
      <c r="D1142" s="9" t="n">
        <f aca="false">YEAR(A1142)</f>
        <v>2024</v>
      </c>
      <c r="E1142" s="9" t="n">
        <f aca="false">WEEKDAY(A1142,2)</f>
        <v>1</v>
      </c>
      <c r="F1142" s="10" t="n">
        <f aca="false">WEEKNUM(A1142,2) - WEEKNUM(DATE(YEAR(A1142),MONTH(A1142),1),2) + 1</f>
        <v>5</v>
      </c>
      <c r="G1142" s="10"/>
      <c r="H1142" s="11" t="n">
        <v>300</v>
      </c>
      <c r="I1142" s="12" t="s">
        <v>20</v>
      </c>
      <c r="J1142" s="12" t="s">
        <v>45</v>
      </c>
      <c r="K1142" s="12"/>
      <c r="L1142" s="9" t="n">
        <f aca="false">L1141+H1142</f>
        <v>16517</v>
      </c>
      <c r="M1142" s="10" t="str">
        <f aca="false">VLOOKUP(J1142,RECATALOGANDO!A:C,2,0)</f>
        <v>VENTA DE MEDICAMENTO</v>
      </c>
      <c r="N1142" s="12" t="str">
        <f aca="false">VLOOKUP(M1142,RECATALOGANDO!B:C,2,0)</f>
        <v>VENTA DE PRODUCTO</v>
      </c>
      <c r="O1142" s="2" t="s">
        <v>39</v>
      </c>
    </row>
    <row r="1143" customFormat="false" ht="13.8" hidden="false" customHeight="false" outlineLevel="0" collapsed="false">
      <c r="A1143" s="8" t="n">
        <v>45649</v>
      </c>
      <c r="B1143" s="9" t="n">
        <f aca="false">DAY(A1143)</f>
        <v>23</v>
      </c>
      <c r="C1143" s="9" t="n">
        <f aca="false">MONTH(A1143)</f>
        <v>12</v>
      </c>
      <c r="D1143" s="9" t="n">
        <f aca="false">YEAR(A1143)</f>
        <v>2024</v>
      </c>
      <c r="E1143" s="9" t="n">
        <f aca="false">WEEKDAY(A1143,2)</f>
        <v>1</v>
      </c>
      <c r="F1143" s="10" t="n">
        <f aca="false">WEEKNUM(A1143,2) - WEEKNUM(DATE(YEAR(A1143),MONTH(A1143),1),2) + 1</f>
        <v>5</v>
      </c>
      <c r="G1143" s="10"/>
      <c r="H1143" s="11" t="n">
        <v>900</v>
      </c>
      <c r="I1143" s="12" t="s">
        <v>20</v>
      </c>
      <c r="J1143" s="12" t="s">
        <v>45</v>
      </c>
      <c r="K1143" s="12"/>
      <c r="L1143" s="9" t="n">
        <f aca="false">L1142+H1143</f>
        <v>17417</v>
      </c>
      <c r="M1143" s="10" t="str">
        <f aca="false">VLOOKUP(J1143,RECATALOGANDO!A:C,2,0)</f>
        <v>VENTA DE MEDICAMENTO</v>
      </c>
      <c r="N1143" s="12" t="str">
        <f aca="false">VLOOKUP(M1143,RECATALOGANDO!B:C,2,0)</f>
        <v>VENTA DE PRODUCTO</v>
      </c>
      <c r="O1143" s="2" t="s">
        <v>39</v>
      </c>
    </row>
    <row r="1144" customFormat="false" ht="13.8" hidden="false" customHeight="false" outlineLevel="0" collapsed="false">
      <c r="A1144" s="8" t="n">
        <v>45649</v>
      </c>
      <c r="B1144" s="9" t="n">
        <f aca="false">DAY(A1144)</f>
        <v>23</v>
      </c>
      <c r="C1144" s="9" t="n">
        <f aca="false">MONTH(A1144)</f>
        <v>12</v>
      </c>
      <c r="D1144" s="9" t="n">
        <f aca="false">YEAR(A1144)</f>
        <v>2024</v>
      </c>
      <c r="E1144" s="9" t="n">
        <f aca="false">WEEKDAY(A1144,2)</f>
        <v>1</v>
      </c>
      <c r="F1144" s="10" t="n">
        <f aca="false">WEEKNUM(A1144,2) - WEEKNUM(DATE(YEAR(A1144),MONTH(A1144),1),2) + 1</f>
        <v>5</v>
      </c>
      <c r="G1144" s="10"/>
      <c r="H1144" s="11" t="n">
        <v>2000</v>
      </c>
      <c r="I1144" s="12" t="s">
        <v>20</v>
      </c>
      <c r="J1144" s="12" t="s">
        <v>45</v>
      </c>
      <c r="K1144" s="12"/>
      <c r="L1144" s="9" t="n">
        <f aca="false">L1143+H1144</f>
        <v>19417</v>
      </c>
      <c r="M1144" s="10" t="str">
        <f aca="false">VLOOKUP(J1144,RECATALOGANDO!A:C,2,0)</f>
        <v>VENTA DE MEDICAMENTO</v>
      </c>
      <c r="N1144" s="12" t="str">
        <f aca="false">VLOOKUP(M1144,RECATALOGANDO!B:C,2,0)</f>
        <v>VENTA DE PRODUCTO</v>
      </c>
      <c r="O1144" s="2" t="s">
        <v>39</v>
      </c>
    </row>
    <row r="1145" customFormat="false" ht="13.8" hidden="false" customHeight="false" outlineLevel="0" collapsed="false">
      <c r="A1145" s="8" t="n">
        <v>45649</v>
      </c>
      <c r="B1145" s="9" t="n">
        <f aca="false">DAY(A1145)</f>
        <v>23</v>
      </c>
      <c r="C1145" s="9" t="n">
        <f aca="false">MONTH(A1145)</f>
        <v>12</v>
      </c>
      <c r="D1145" s="9" t="n">
        <f aca="false">YEAR(A1145)</f>
        <v>2024</v>
      </c>
      <c r="E1145" s="9" t="n">
        <f aca="false">WEEKDAY(A1145,2)</f>
        <v>1</v>
      </c>
      <c r="F1145" s="10" t="n">
        <f aca="false">WEEKNUM(A1145,2) - WEEKNUM(DATE(YEAR(A1145),MONTH(A1145),1),2) + 1</f>
        <v>5</v>
      </c>
      <c r="G1145" s="10"/>
      <c r="H1145" s="11" t="n">
        <v>200</v>
      </c>
      <c r="I1145" s="12" t="s">
        <v>20</v>
      </c>
      <c r="J1145" s="12" t="s">
        <v>44</v>
      </c>
      <c r="K1145" s="12"/>
      <c r="L1145" s="9" t="n">
        <f aca="false">L1144+H1145</f>
        <v>19617</v>
      </c>
      <c r="M1145" s="10" t="str">
        <f aca="false">VLOOKUP(J1145,RECATALOGANDO!A:C,2,0)</f>
        <v>HONORARIOS MEDICOS</v>
      </c>
      <c r="N1145" s="12" t="str">
        <f aca="false">VLOOKUP(M1145,RECATALOGANDO!B:C,2,0)</f>
        <v>VENTA DE SERVICIO</v>
      </c>
      <c r="O1145" s="2" t="s">
        <v>39</v>
      </c>
    </row>
    <row r="1146" customFormat="false" ht="13.8" hidden="false" customHeight="false" outlineLevel="0" collapsed="false">
      <c r="A1146" s="8" t="n">
        <v>45649</v>
      </c>
      <c r="B1146" s="9" t="n">
        <f aca="false">DAY(A1146)</f>
        <v>23</v>
      </c>
      <c r="C1146" s="9" t="n">
        <f aca="false">MONTH(A1146)</f>
        <v>12</v>
      </c>
      <c r="D1146" s="9" t="n">
        <f aca="false">YEAR(A1146)</f>
        <v>2024</v>
      </c>
      <c r="E1146" s="9" t="n">
        <f aca="false">WEEKDAY(A1146,2)</f>
        <v>1</v>
      </c>
      <c r="F1146" s="10" t="n">
        <f aca="false">WEEKNUM(A1146,2) - WEEKNUM(DATE(YEAR(A1146),MONTH(A1146),1),2) + 1</f>
        <v>5</v>
      </c>
      <c r="G1146" s="10"/>
      <c r="H1146" s="11" t="n">
        <v>530</v>
      </c>
      <c r="I1146" s="12" t="s">
        <v>20</v>
      </c>
      <c r="J1146" s="12" t="s">
        <v>44</v>
      </c>
      <c r="K1146" s="12"/>
      <c r="L1146" s="9" t="n">
        <f aca="false">L1145+H1146</f>
        <v>20147</v>
      </c>
      <c r="M1146" s="10" t="str">
        <f aca="false">VLOOKUP(J1146,RECATALOGANDO!A:C,2,0)</f>
        <v>HONORARIOS MEDICOS</v>
      </c>
      <c r="N1146" s="12" t="str">
        <f aca="false">VLOOKUP(M1146,RECATALOGANDO!B:C,2,0)</f>
        <v>VENTA DE SERVICIO</v>
      </c>
      <c r="O1146" s="2" t="s">
        <v>39</v>
      </c>
    </row>
    <row r="1147" customFormat="false" ht="13.8" hidden="false" customHeight="false" outlineLevel="0" collapsed="false">
      <c r="A1147" s="8" t="n">
        <v>45649</v>
      </c>
      <c r="B1147" s="9" t="n">
        <f aca="false">DAY(A1147)</f>
        <v>23</v>
      </c>
      <c r="C1147" s="9" t="n">
        <f aca="false">MONTH(A1147)</f>
        <v>12</v>
      </c>
      <c r="D1147" s="9" t="n">
        <f aca="false">YEAR(A1147)</f>
        <v>2024</v>
      </c>
      <c r="E1147" s="9" t="n">
        <f aca="false">WEEKDAY(A1147,2)</f>
        <v>1</v>
      </c>
      <c r="F1147" s="10" t="n">
        <f aca="false">WEEKNUM(A1147,2) - WEEKNUM(DATE(YEAR(A1147),MONTH(A1147),1),2) + 1</f>
        <v>5</v>
      </c>
      <c r="G1147" s="10"/>
      <c r="H1147" s="11" t="n">
        <v>1200</v>
      </c>
      <c r="I1147" s="12" t="s">
        <v>20</v>
      </c>
      <c r="J1147" s="12" t="s">
        <v>49</v>
      </c>
      <c r="K1147" s="12"/>
      <c r="L1147" s="9" t="n">
        <f aca="false">L1146+H1147</f>
        <v>21347</v>
      </c>
      <c r="M1147" s="10" t="str">
        <f aca="false">VLOOKUP(J1147,RECATALOGANDO!A:C,2,0)</f>
        <v>SERVICIO DE GROOMING</v>
      </c>
      <c r="N1147" s="12" t="str">
        <f aca="false">VLOOKUP(M1147,RECATALOGANDO!B:C,2,0)</f>
        <v>VENTA DE SERVICIO</v>
      </c>
      <c r="O1147" s="2" t="s">
        <v>39</v>
      </c>
    </row>
    <row r="1148" customFormat="false" ht="13.8" hidden="false" customHeight="false" outlineLevel="0" collapsed="false">
      <c r="A1148" s="8" t="n">
        <v>45650</v>
      </c>
      <c r="B1148" s="9" t="n">
        <f aca="false">DAY(A1148)</f>
        <v>24</v>
      </c>
      <c r="C1148" s="9" t="n">
        <f aca="false">MONTH(A1148)</f>
        <v>12</v>
      </c>
      <c r="D1148" s="9" t="n">
        <f aca="false">YEAR(A1148)</f>
        <v>2024</v>
      </c>
      <c r="E1148" s="9" t="n">
        <f aca="false">WEEKDAY(A1148,2)</f>
        <v>2</v>
      </c>
      <c r="F1148" s="10" t="n">
        <f aca="false">WEEKNUM(A1148,2) - WEEKNUM(DATE(YEAR(A1148),MONTH(A1148),1),2) + 1</f>
        <v>5</v>
      </c>
      <c r="G1148" s="10"/>
      <c r="H1148" s="11" t="n">
        <v>390</v>
      </c>
      <c r="I1148" s="12" t="s">
        <v>20</v>
      </c>
      <c r="J1148" s="12" t="s">
        <v>54</v>
      </c>
      <c r="K1148" s="12"/>
      <c r="L1148" s="9" t="n">
        <f aca="false">L1147+H1148</f>
        <v>21737</v>
      </c>
      <c r="M1148" s="10" t="str">
        <f aca="false">VLOOKUP(J1148,RECATALOGANDO!A:C,2,0)</f>
        <v>SERVICIO DE LABORATORIO</v>
      </c>
      <c r="N1148" s="12" t="str">
        <f aca="false">VLOOKUP(M1148,RECATALOGANDO!B:C,2,0)</f>
        <v>VENTA DE SERVICIO</v>
      </c>
      <c r="O1148" s="2" t="s">
        <v>39</v>
      </c>
    </row>
    <row r="1149" customFormat="false" ht="13.8" hidden="false" customHeight="false" outlineLevel="0" collapsed="false">
      <c r="A1149" s="8" t="n">
        <v>45659</v>
      </c>
      <c r="B1149" s="9" t="n">
        <f aca="false">DAY(A1149)</f>
        <v>2</v>
      </c>
      <c r="C1149" s="9" t="n">
        <f aca="false">MONTH(A1149)</f>
        <v>1</v>
      </c>
      <c r="D1149" s="9" t="n">
        <f aca="false">YEAR(A1149)</f>
        <v>2025</v>
      </c>
      <c r="E1149" s="9" t="n">
        <f aca="false">WEEKDAY(A1149,2)</f>
        <v>4</v>
      </c>
      <c r="F1149" s="10" t="n">
        <f aca="false">WEEKNUM(A1149,2) - WEEKNUM(DATE(YEAR(A1149),MONTH(A1149),1),2) + 1</f>
        <v>1</v>
      </c>
      <c r="G1149" s="10"/>
      <c r="H1149" s="11" t="n">
        <v>1100</v>
      </c>
      <c r="I1149" s="12" t="s">
        <v>20</v>
      </c>
      <c r="J1149" s="12" t="s">
        <v>45</v>
      </c>
      <c r="K1149" s="12"/>
      <c r="L1149" s="9" t="n">
        <f aca="false">H1149</f>
        <v>1100</v>
      </c>
      <c r="M1149" s="10" t="str">
        <f aca="false">VLOOKUP(J1149,RECATALOGANDO!A:C,2,0)</f>
        <v>VENTA DE MEDICAMENTO</v>
      </c>
      <c r="N1149" s="12" t="str">
        <f aca="false">VLOOKUP(M1149,RECATALOGANDO!B:C,2,0)</f>
        <v>VENTA DE PRODUCTO</v>
      </c>
      <c r="O1149" s="2" t="s">
        <v>39</v>
      </c>
    </row>
    <row r="1150" customFormat="false" ht="13.8" hidden="false" customHeight="false" outlineLevel="0" collapsed="false">
      <c r="A1150" s="8" t="n">
        <v>45659</v>
      </c>
      <c r="B1150" s="9" t="n">
        <f aca="false">DAY(A1150)</f>
        <v>2</v>
      </c>
      <c r="C1150" s="9" t="n">
        <f aca="false">MONTH(A1150)</f>
        <v>1</v>
      </c>
      <c r="D1150" s="9" t="n">
        <f aca="false">YEAR(A1150)</f>
        <v>2025</v>
      </c>
      <c r="E1150" s="9" t="n">
        <f aca="false">WEEKDAY(A1150,2)</f>
        <v>4</v>
      </c>
      <c r="F1150" s="10" t="n">
        <f aca="false">WEEKNUM(A1150,2) - WEEKNUM(DATE(YEAR(A1150),MONTH(A1150),1),2) + 1</f>
        <v>1</v>
      </c>
      <c r="G1150" s="10"/>
      <c r="H1150" s="11" t="n">
        <v>330</v>
      </c>
      <c r="I1150" s="12" t="s">
        <v>20</v>
      </c>
      <c r="J1150" s="12" t="s">
        <v>44</v>
      </c>
      <c r="K1150" s="12"/>
      <c r="L1150" s="9" t="n">
        <f aca="false">L1149+H1150</f>
        <v>1430</v>
      </c>
      <c r="M1150" s="10" t="str">
        <f aca="false">VLOOKUP(J1150,RECATALOGANDO!A:C,2,0)</f>
        <v>HONORARIOS MEDICOS</v>
      </c>
      <c r="N1150" s="12" t="str">
        <f aca="false">VLOOKUP(M1150,RECATALOGANDO!B:C,2,0)</f>
        <v>VENTA DE SERVICIO</v>
      </c>
      <c r="O1150" s="2" t="s">
        <v>39</v>
      </c>
    </row>
    <row r="1151" customFormat="false" ht="13.8" hidden="false" customHeight="false" outlineLevel="0" collapsed="false">
      <c r="A1151" s="8" t="n">
        <v>45659</v>
      </c>
      <c r="B1151" s="9" t="n">
        <f aca="false">DAY(A1151)</f>
        <v>2</v>
      </c>
      <c r="C1151" s="9" t="n">
        <f aca="false">MONTH(A1151)</f>
        <v>1</v>
      </c>
      <c r="D1151" s="9" t="n">
        <f aca="false">YEAR(A1151)</f>
        <v>2025</v>
      </c>
      <c r="E1151" s="9" t="n">
        <f aca="false">WEEKDAY(A1151,2)</f>
        <v>4</v>
      </c>
      <c r="F1151" s="10" t="n">
        <f aca="false">WEEKNUM(A1151,2) - WEEKNUM(DATE(YEAR(A1151),MONTH(A1151),1),2) + 1</f>
        <v>1</v>
      </c>
      <c r="G1151" s="10"/>
      <c r="H1151" s="11" t="n">
        <v>600</v>
      </c>
      <c r="I1151" s="12" t="s">
        <v>20</v>
      </c>
      <c r="J1151" s="12" t="s">
        <v>56</v>
      </c>
      <c r="K1151" s="12"/>
      <c r="L1151" s="9" t="n">
        <f aca="false">L1150+H1151</f>
        <v>2030</v>
      </c>
      <c r="M1151" s="10" t="str">
        <f aca="false">VLOOKUP(J1151,RECATALOGANDO!A:C,2,0)</f>
        <v>SERVICIO DE IMAGEN</v>
      </c>
      <c r="N1151" s="12" t="str">
        <f aca="false">VLOOKUP(M1151,RECATALOGANDO!B:C,2,0)</f>
        <v>VENTA DE SERVICIO</v>
      </c>
      <c r="O1151" s="2" t="s">
        <v>39</v>
      </c>
    </row>
    <row r="1152" customFormat="false" ht="13.8" hidden="false" customHeight="false" outlineLevel="0" collapsed="false">
      <c r="A1152" s="8" t="n">
        <v>45660</v>
      </c>
      <c r="B1152" s="9" t="n">
        <f aca="false">DAY(A1152)</f>
        <v>3</v>
      </c>
      <c r="C1152" s="9" t="n">
        <f aca="false">MONTH(A1152)</f>
        <v>1</v>
      </c>
      <c r="D1152" s="9" t="n">
        <f aca="false">YEAR(A1152)</f>
        <v>2025</v>
      </c>
      <c r="E1152" s="9" t="n">
        <f aca="false">WEEKDAY(A1152,2)</f>
        <v>5</v>
      </c>
      <c r="F1152" s="10" t="n">
        <f aca="false">WEEKNUM(A1152,2) - WEEKNUM(DATE(YEAR(A1152),MONTH(A1152),1),2) + 1</f>
        <v>1</v>
      </c>
      <c r="G1152" s="10"/>
      <c r="H1152" s="11" t="n">
        <v>1680</v>
      </c>
      <c r="I1152" s="12" t="s">
        <v>20</v>
      </c>
      <c r="J1152" s="12" t="s">
        <v>49</v>
      </c>
      <c r="K1152" s="12"/>
      <c r="L1152" s="9" t="n">
        <f aca="false">L1151+H1152</f>
        <v>3710</v>
      </c>
      <c r="M1152" s="10" t="str">
        <f aca="false">VLOOKUP(J1152,RECATALOGANDO!A:C,2,0)</f>
        <v>SERVICIO DE GROOMING</v>
      </c>
      <c r="N1152" s="12" t="str">
        <f aca="false">VLOOKUP(M1152,RECATALOGANDO!B:C,2,0)</f>
        <v>VENTA DE SERVICIO</v>
      </c>
      <c r="O1152" s="2" t="s">
        <v>39</v>
      </c>
    </row>
    <row r="1153" customFormat="false" ht="13.8" hidden="false" customHeight="false" outlineLevel="0" collapsed="false">
      <c r="A1153" s="8" t="n">
        <v>45664</v>
      </c>
      <c r="B1153" s="9" t="n">
        <f aca="false">DAY(A1153)</f>
        <v>7</v>
      </c>
      <c r="C1153" s="9" t="n">
        <f aca="false">MONTH(A1153)</f>
        <v>1</v>
      </c>
      <c r="D1153" s="9" t="n">
        <f aca="false">YEAR(A1153)</f>
        <v>2025</v>
      </c>
      <c r="E1153" s="9" t="n">
        <f aca="false">WEEKDAY(A1153,2)</f>
        <v>2</v>
      </c>
      <c r="F1153" s="10" t="n">
        <f aca="false">WEEKNUM(A1153,2) - WEEKNUM(DATE(YEAR(A1153),MONTH(A1153),1),2) + 1</f>
        <v>2</v>
      </c>
      <c r="G1153" s="10"/>
      <c r="H1153" s="11" t="n">
        <v>4000</v>
      </c>
      <c r="I1153" s="12" t="s">
        <v>20</v>
      </c>
      <c r="J1153" s="12" t="s">
        <v>51</v>
      </c>
      <c r="K1153" s="12"/>
      <c r="L1153" s="9" t="n">
        <f aca="false">L1152+H1153</f>
        <v>7710</v>
      </c>
      <c r="M1153" s="10" t="str">
        <f aca="false">VLOOKUP(J1153,RECATALOGANDO!A:C,2,0)</f>
        <v>VENTA DE ALIMENTO</v>
      </c>
      <c r="N1153" s="12" t="str">
        <f aca="false">VLOOKUP(M1153,RECATALOGANDO!B:C,2,0)</f>
        <v>VENTA DE PRODUCTO</v>
      </c>
      <c r="O1153" s="2" t="s">
        <v>39</v>
      </c>
    </row>
    <row r="1154" customFormat="false" ht="13.8" hidden="false" customHeight="false" outlineLevel="0" collapsed="false">
      <c r="A1154" s="8" t="n">
        <v>45665</v>
      </c>
      <c r="B1154" s="9" t="n">
        <f aca="false">DAY(A1154)</f>
        <v>8</v>
      </c>
      <c r="C1154" s="9" t="n">
        <f aca="false">MONTH(A1154)</f>
        <v>1</v>
      </c>
      <c r="D1154" s="9" t="n">
        <f aca="false">YEAR(A1154)</f>
        <v>2025</v>
      </c>
      <c r="E1154" s="9" t="n">
        <f aca="false">WEEKDAY(A1154,2)</f>
        <v>3</v>
      </c>
      <c r="F1154" s="10" t="n">
        <f aca="false">WEEKNUM(A1154,2) - WEEKNUM(DATE(YEAR(A1154),MONTH(A1154),1),2) + 1</f>
        <v>2</v>
      </c>
      <c r="G1154" s="10"/>
      <c r="H1154" s="11" t="n">
        <v>788</v>
      </c>
      <c r="I1154" s="12" t="s">
        <v>20</v>
      </c>
      <c r="J1154" s="12" t="s">
        <v>45</v>
      </c>
      <c r="K1154" s="12"/>
      <c r="L1154" s="9" t="n">
        <f aca="false">L1153+H1154</f>
        <v>8498</v>
      </c>
      <c r="M1154" s="10" t="str">
        <f aca="false">VLOOKUP(J1154,RECATALOGANDO!A:C,2,0)</f>
        <v>VENTA DE MEDICAMENTO</v>
      </c>
      <c r="N1154" s="12" t="str">
        <f aca="false">VLOOKUP(M1154,RECATALOGANDO!B:C,2,0)</f>
        <v>VENTA DE PRODUCTO</v>
      </c>
      <c r="O1154" s="2" t="s">
        <v>39</v>
      </c>
    </row>
    <row r="1155" customFormat="false" ht="13.8" hidden="false" customHeight="false" outlineLevel="0" collapsed="false">
      <c r="A1155" s="8" t="n">
        <v>45667</v>
      </c>
      <c r="B1155" s="9" t="n">
        <f aca="false">DAY(A1155)</f>
        <v>10</v>
      </c>
      <c r="C1155" s="9" t="n">
        <f aca="false">MONTH(A1155)</f>
        <v>1</v>
      </c>
      <c r="D1155" s="9" t="n">
        <f aca="false">YEAR(A1155)</f>
        <v>2025</v>
      </c>
      <c r="E1155" s="9" t="n">
        <f aca="false">WEEKDAY(A1155,2)</f>
        <v>5</v>
      </c>
      <c r="F1155" s="10" t="n">
        <f aca="false">WEEKNUM(A1155,2) - WEEKNUM(DATE(YEAR(A1155),MONTH(A1155),1),2) + 1</f>
        <v>2</v>
      </c>
      <c r="G1155" s="10"/>
      <c r="H1155" s="11" t="n">
        <v>290</v>
      </c>
      <c r="I1155" s="12" t="s">
        <v>20</v>
      </c>
      <c r="J1155" s="12" t="s">
        <v>44</v>
      </c>
      <c r="K1155" s="12"/>
      <c r="L1155" s="9" t="n">
        <f aca="false">L1154+H1155</f>
        <v>8788</v>
      </c>
      <c r="M1155" s="10" t="str">
        <f aca="false">VLOOKUP(J1155,RECATALOGANDO!A:C,2,0)</f>
        <v>HONORARIOS MEDICOS</v>
      </c>
      <c r="N1155" s="12" t="str">
        <f aca="false">VLOOKUP(M1155,RECATALOGANDO!B:C,2,0)</f>
        <v>VENTA DE SERVICIO</v>
      </c>
      <c r="O1155" s="2" t="s">
        <v>39</v>
      </c>
    </row>
    <row r="1156" customFormat="false" ht="13.8" hidden="false" customHeight="false" outlineLevel="0" collapsed="false">
      <c r="A1156" s="8" t="n">
        <v>45669</v>
      </c>
      <c r="B1156" s="9" t="n">
        <f aca="false">DAY(A1156)</f>
        <v>12</v>
      </c>
      <c r="C1156" s="9" t="n">
        <f aca="false">MONTH(A1156)</f>
        <v>1</v>
      </c>
      <c r="D1156" s="9" t="n">
        <f aca="false">YEAR(A1156)</f>
        <v>2025</v>
      </c>
      <c r="E1156" s="9" t="n">
        <f aca="false">WEEKDAY(A1156,2)</f>
        <v>7</v>
      </c>
      <c r="F1156" s="10" t="n">
        <f aca="false">WEEKNUM(A1156,2) - WEEKNUM(DATE(YEAR(A1156),MONTH(A1156),1),2) + 1</f>
        <v>2</v>
      </c>
      <c r="G1156" s="10"/>
      <c r="H1156" s="11" t="n">
        <v>1300.33</v>
      </c>
      <c r="I1156" s="12" t="s">
        <v>15</v>
      </c>
      <c r="J1156" s="12" t="s">
        <v>44</v>
      </c>
      <c r="K1156" s="12"/>
      <c r="L1156" s="9" t="n">
        <f aca="false">L1155+H1156</f>
        <v>10088.33</v>
      </c>
      <c r="M1156" s="10" t="str">
        <f aca="false">VLOOKUP(J1156,RECATALOGANDO!A:C,2,0)</f>
        <v>HONORARIOS MEDICOS</v>
      </c>
      <c r="N1156" s="12" t="str">
        <f aca="false">VLOOKUP(M1156,RECATALOGANDO!B:C,2,0)</f>
        <v>VENTA DE SERVICIO</v>
      </c>
      <c r="O1156" s="2" t="s">
        <v>39</v>
      </c>
    </row>
    <row r="1157" customFormat="false" ht="13.8" hidden="false" customHeight="false" outlineLevel="0" collapsed="false">
      <c r="A1157" s="8" t="n">
        <v>45672</v>
      </c>
      <c r="B1157" s="9" t="n">
        <f aca="false">DAY(A1157)</f>
        <v>15</v>
      </c>
      <c r="C1157" s="9" t="n">
        <f aca="false">MONTH(A1157)</f>
        <v>1</v>
      </c>
      <c r="D1157" s="9" t="n">
        <f aca="false">YEAR(A1157)</f>
        <v>2025</v>
      </c>
      <c r="E1157" s="9" t="n">
        <f aca="false">WEEKDAY(A1157,2)</f>
        <v>3</v>
      </c>
      <c r="F1157" s="10" t="n">
        <f aca="false">WEEKNUM(A1157,2) - WEEKNUM(DATE(YEAR(A1157),MONTH(A1157),1),2) + 1</f>
        <v>3</v>
      </c>
      <c r="G1157" s="10" t="n">
        <v>1</v>
      </c>
      <c r="H1157" s="11" t="n">
        <v>1647.22</v>
      </c>
      <c r="I1157" s="12" t="s">
        <v>15</v>
      </c>
      <c r="J1157" s="12" t="s">
        <v>45</v>
      </c>
      <c r="K1157" s="12"/>
      <c r="L1157" s="9" t="n">
        <f aca="false">L1156+H1157</f>
        <v>11735.55</v>
      </c>
      <c r="M1157" s="10" t="str">
        <f aca="false">VLOOKUP(J1157,RECATALOGANDO!A:C,2,0)</f>
        <v>VENTA DE MEDICAMENTO</v>
      </c>
      <c r="N1157" s="12" t="str">
        <f aca="false">VLOOKUP(M1157,RECATALOGANDO!B:C,2,0)</f>
        <v>VENTA DE PRODUCTO</v>
      </c>
      <c r="O1157" s="2" t="s">
        <v>39</v>
      </c>
    </row>
    <row r="1158" customFormat="false" ht="13.8" hidden="false" customHeight="false" outlineLevel="0" collapsed="false">
      <c r="A1158" s="8" t="n">
        <v>45673</v>
      </c>
      <c r="B1158" s="9" t="n">
        <f aca="false">DAY(A1158)</f>
        <v>16</v>
      </c>
      <c r="C1158" s="9" t="n">
        <f aca="false">MONTH(A1158)</f>
        <v>1</v>
      </c>
      <c r="D1158" s="9" t="n">
        <f aca="false">YEAR(A1158)</f>
        <v>2025</v>
      </c>
      <c r="E1158" s="9" t="n">
        <f aca="false">WEEKDAY(A1158,2)</f>
        <v>4</v>
      </c>
      <c r="F1158" s="10" t="n">
        <f aca="false">WEEKNUM(A1158,2) - WEEKNUM(DATE(YEAR(A1158),MONTH(A1158),1),2) + 1</f>
        <v>3</v>
      </c>
      <c r="G1158" s="10"/>
      <c r="H1158" s="11" t="n">
        <v>330</v>
      </c>
      <c r="I1158" s="12" t="s">
        <v>20</v>
      </c>
      <c r="J1158" s="12" t="s">
        <v>49</v>
      </c>
      <c r="K1158" s="12"/>
      <c r="L1158" s="9" t="n">
        <f aca="false">L1157+H1158</f>
        <v>12065.55</v>
      </c>
      <c r="M1158" s="10" t="str">
        <f aca="false">VLOOKUP(J1158,RECATALOGANDO!A:C,2,0)</f>
        <v>SERVICIO DE GROOMING</v>
      </c>
      <c r="N1158" s="12" t="str">
        <f aca="false">VLOOKUP(M1158,RECATALOGANDO!B:C,2,0)</f>
        <v>VENTA DE SERVICIO</v>
      </c>
      <c r="O1158" s="2" t="s">
        <v>39</v>
      </c>
    </row>
    <row r="1159" customFormat="false" ht="13.8" hidden="false" customHeight="false" outlineLevel="0" collapsed="false">
      <c r="A1159" s="8" t="n">
        <v>45673</v>
      </c>
      <c r="B1159" s="9" t="n">
        <f aca="false">DAY(A1159)</f>
        <v>16</v>
      </c>
      <c r="C1159" s="9" t="n">
        <f aca="false">MONTH(A1159)</f>
        <v>1</v>
      </c>
      <c r="D1159" s="9" t="n">
        <f aca="false">YEAR(A1159)</f>
        <v>2025</v>
      </c>
      <c r="E1159" s="9" t="n">
        <f aca="false">WEEKDAY(A1159,2)</f>
        <v>4</v>
      </c>
      <c r="F1159" s="10" t="n">
        <f aca="false">WEEKNUM(A1159,2) - WEEKNUM(DATE(YEAR(A1159),MONTH(A1159),1),2) + 1</f>
        <v>3</v>
      </c>
      <c r="G1159" s="10"/>
      <c r="H1159" s="11" t="n">
        <v>4750</v>
      </c>
      <c r="I1159" s="12" t="s">
        <v>20</v>
      </c>
      <c r="J1159" s="12" t="s">
        <v>44</v>
      </c>
      <c r="K1159" s="12"/>
      <c r="L1159" s="9" t="n">
        <f aca="false">L1158+H1159</f>
        <v>16815.55</v>
      </c>
      <c r="M1159" s="10" t="str">
        <f aca="false">VLOOKUP(J1159,RECATALOGANDO!A:C,2,0)</f>
        <v>HONORARIOS MEDICOS</v>
      </c>
      <c r="N1159" s="12" t="str">
        <f aca="false">VLOOKUP(M1159,RECATALOGANDO!B:C,2,0)</f>
        <v>VENTA DE SERVICIO</v>
      </c>
      <c r="O1159" s="2" t="s">
        <v>39</v>
      </c>
    </row>
    <row r="1160" customFormat="false" ht="13.8" hidden="false" customHeight="false" outlineLevel="0" collapsed="false">
      <c r="A1160" s="8" t="n">
        <v>45674</v>
      </c>
      <c r="B1160" s="9" t="n">
        <f aca="false">DAY(A1160)</f>
        <v>17</v>
      </c>
      <c r="C1160" s="9" t="n">
        <f aca="false">MONTH(A1160)</f>
        <v>1</v>
      </c>
      <c r="D1160" s="9" t="n">
        <f aca="false">YEAR(A1160)</f>
        <v>2025</v>
      </c>
      <c r="E1160" s="9" t="n">
        <f aca="false">WEEKDAY(A1160,2)</f>
        <v>5</v>
      </c>
      <c r="F1160" s="10" t="n">
        <f aca="false">WEEKNUM(A1160,2) - WEEKNUM(DATE(YEAR(A1160),MONTH(A1160),1),2) + 1</f>
        <v>3</v>
      </c>
      <c r="G1160" s="10"/>
      <c r="H1160" s="11" t="n">
        <v>387.15</v>
      </c>
      <c r="I1160" s="12" t="s">
        <v>15</v>
      </c>
      <c r="J1160" s="12" t="s">
        <v>49</v>
      </c>
      <c r="K1160" s="12"/>
      <c r="L1160" s="9" t="n">
        <f aca="false">L1159+H1160</f>
        <v>17202.7</v>
      </c>
      <c r="M1160" s="10" t="str">
        <f aca="false">VLOOKUP(J1160,RECATALOGANDO!A:C,2,0)</f>
        <v>SERVICIO DE GROOMING</v>
      </c>
      <c r="N1160" s="12" t="str">
        <f aca="false">VLOOKUP(M1160,RECATALOGANDO!B:C,2,0)</f>
        <v>VENTA DE SERVICIO</v>
      </c>
      <c r="O1160" s="2" t="s">
        <v>39</v>
      </c>
    </row>
    <row r="1161" customFormat="false" ht="13.8" hidden="false" customHeight="false" outlineLevel="0" collapsed="false">
      <c r="A1161" s="8" t="n">
        <v>45677</v>
      </c>
      <c r="B1161" s="9" t="n">
        <f aca="false">DAY(A1161)</f>
        <v>20</v>
      </c>
      <c r="C1161" s="9" t="n">
        <f aca="false">MONTH(A1161)</f>
        <v>1</v>
      </c>
      <c r="D1161" s="9" t="n">
        <f aca="false">YEAR(A1161)</f>
        <v>2025</v>
      </c>
      <c r="E1161" s="9" t="n">
        <f aca="false">WEEKDAY(A1161,2)</f>
        <v>1</v>
      </c>
      <c r="F1161" s="10" t="n">
        <f aca="false">WEEKNUM(A1161,2) - WEEKNUM(DATE(YEAR(A1161),MONTH(A1161),1),2) + 1</f>
        <v>4</v>
      </c>
      <c r="G1161" s="10"/>
      <c r="H1161" s="11" t="n">
        <v>390</v>
      </c>
      <c r="I1161" s="12" t="s">
        <v>20</v>
      </c>
      <c r="J1161" s="12" t="s">
        <v>45</v>
      </c>
      <c r="K1161" s="12"/>
      <c r="L1161" s="9" t="n">
        <f aca="false">L1160+H1161</f>
        <v>17592.7</v>
      </c>
      <c r="M1161" s="10" t="str">
        <f aca="false">VLOOKUP(J1161,RECATALOGANDO!A:C,2,0)</f>
        <v>VENTA DE MEDICAMENTO</v>
      </c>
      <c r="N1161" s="12" t="str">
        <f aca="false">VLOOKUP(M1161,RECATALOGANDO!B:C,2,0)</f>
        <v>VENTA DE PRODUCTO</v>
      </c>
      <c r="O1161" s="2" t="s">
        <v>39</v>
      </c>
    </row>
    <row r="1162" customFormat="false" ht="13.8" hidden="false" customHeight="false" outlineLevel="0" collapsed="false">
      <c r="A1162" s="8" t="n">
        <v>45677</v>
      </c>
      <c r="B1162" s="9" t="n">
        <f aca="false">DAY(A1162)</f>
        <v>20</v>
      </c>
      <c r="C1162" s="9" t="n">
        <f aca="false">MONTH(A1162)</f>
        <v>1</v>
      </c>
      <c r="D1162" s="9" t="n">
        <f aca="false">YEAR(A1162)</f>
        <v>2025</v>
      </c>
      <c r="E1162" s="9" t="n">
        <f aca="false">WEEKDAY(A1162,2)</f>
        <v>1</v>
      </c>
      <c r="F1162" s="10" t="n">
        <f aca="false">WEEKNUM(A1162,2) - WEEKNUM(DATE(YEAR(A1162),MONTH(A1162),1),2) + 1</f>
        <v>4</v>
      </c>
      <c r="G1162" s="10"/>
      <c r="H1162" s="11" t="n">
        <v>1000</v>
      </c>
      <c r="I1162" s="12" t="s">
        <v>20</v>
      </c>
      <c r="J1162" s="12" t="s">
        <v>45</v>
      </c>
      <c r="K1162" s="12"/>
      <c r="L1162" s="9" t="n">
        <f aca="false">L1161+H1162</f>
        <v>18592.7</v>
      </c>
      <c r="M1162" s="10" t="str">
        <f aca="false">VLOOKUP(J1162,RECATALOGANDO!A:C,2,0)</f>
        <v>VENTA DE MEDICAMENTO</v>
      </c>
      <c r="N1162" s="12" t="str">
        <f aca="false">VLOOKUP(M1162,RECATALOGANDO!B:C,2,0)</f>
        <v>VENTA DE PRODUCTO</v>
      </c>
      <c r="O1162" s="2" t="s">
        <v>39</v>
      </c>
    </row>
    <row r="1163" customFormat="false" ht="13.8" hidden="false" customHeight="false" outlineLevel="0" collapsed="false">
      <c r="A1163" s="8" t="n">
        <v>45677</v>
      </c>
      <c r="B1163" s="9" t="n">
        <f aca="false">DAY(A1163)</f>
        <v>20</v>
      </c>
      <c r="C1163" s="9" t="n">
        <f aca="false">MONTH(A1163)</f>
        <v>1</v>
      </c>
      <c r="D1163" s="9" t="n">
        <f aca="false">YEAR(A1163)</f>
        <v>2025</v>
      </c>
      <c r="E1163" s="9" t="n">
        <f aca="false">WEEKDAY(A1163,2)</f>
        <v>1</v>
      </c>
      <c r="F1163" s="10" t="n">
        <f aca="false">WEEKNUM(A1163,2) - WEEKNUM(DATE(YEAR(A1163),MONTH(A1163),1),2) + 1</f>
        <v>4</v>
      </c>
      <c r="G1163" s="10"/>
      <c r="H1163" s="11" t="n">
        <v>1339</v>
      </c>
      <c r="I1163" s="12" t="s">
        <v>20</v>
      </c>
      <c r="J1163" s="12" t="s">
        <v>45</v>
      </c>
      <c r="K1163" s="12"/>
      <c r="L1163" s="9" t="n">
        <f aca="false">L1162+H1163</f>
        <v>19931.7</v>
      </c>
      <c r="M1163" s="10" t="str">
        <f aca="false">VLOOKUP(J1163,RECATALOGANDO!A:C,2,0)</f>
        <v>VENTA DE MEDICAMENTO</v>
      </c>
      <c r="N1163" s="12" t="str">
        <f aca="false">VLOOKUP(M1163,RECATALOGANDO!B:C,2,0)</f>
        <v>VENTA DE PRODUCTO</v>
      </c>
      <c r="O1163" s="2" t="s">
        <v>39</v>
      </c>
    </row>
    <row r="1164" customFormat="false" ht="13.8" hidden="false" customHeight="false" outlineLevel="0" collapsed="false">
      <c r="A1164" s="8" t="n">
        <v>45677</v>
      </c>
      <c r="B1164" s="9" t="n">
        <f aca="false">DAY(A1164)</f>
        <v>20</v>
      </c>
      <c r="C1164" s="9" t="n">
        <f aca="false">MONTH(A1164)</f>
        <v>1</v>
      </c>
      <c r="D1164" s="9" t="n">
        <f aca="false">YEAR(A1164)</f>
        <v>2025</v>
      </c>
      <c r="E1164" s="9" t="n">
        <f aca="false">WEEKDAY(A1164,2)</f>
        <v>1</v>
      </c>
      <c r="F1164" s="10" t="n">
        <f aca="false">WEEKNUM(A1164,2) - WEEKNUM(DATE(YEAR(A1164),MONTH(A1164),1),2) + 1</f>
        <v>4</v>
      </c>
      <c r="G1164" s="10"/>
      <c r="H1164" s="11" t="n">
        <v>150</v>
      </c>
      <c r="I1164" s="12" t="s">
        <v>20</v>
      </c>
      <c r="J1164" s="12" t="s">
        <v>49</v>
      </c>
      <c r="K1164" s="12"/>
      <c r="L1164" s="9" t="n">
        <f aca="false">L1163+H1164</f>
        <v>20081.7</v>
      </c>
      <c r="M1164" s="10" t="str">
        <f aca="false">VLOOKUP(J1164,RECATALOGANDO!A:C,2,0)</f>
        <v>SERVICIO DE GROOMING</v>
      </c>
      <c r="N1164" s="12" t="str">
        <f aca="false">VLOOKUP(M1164,RECATALOGANDO!B:C,2,0)</f>
        <v>VENTA DE SERVICIO</v>
      </c>
      <c r="O1164" s="2" t="s">
        <v>39</v>
      </c>
    </row>
    <row r="1165" customFormat="false" ht="13.8" hidden="false" customHeight="false" outlineLevel="0" collapsed="false">
      <c r="A1165" s="8" t="n">
        <v>45677</v>
      </c>
      <c r="B1165" s="9" t="n">
        <f aca="false">DAY(A1165)</f>
        <v>20</v>
      </c>
      <c r="C1165" s="9" t="n">
        <f aca="false">MONTH(A1165)</f>
        <v>1</v>
      </c>
      <c r="D1165" s="9" t="n">
        <f aca="false">YEAR(A1165)</f>
        <v>2025</v>
      </c>
      <c r="E1165" s="9" t="n">
        <f aca="false">WEEKDAY(A1165,2)</f>
        <v>1</v>
      </c>
      <c r="F1165" s="10" t="n">
        <f aca="false">WEEKNUM(A1165,2) - WEEKNUM(DATE(YEAR(A1165),MONTH(A1165),1),2) + 1</f>
        <v>4</v>
      </c>
      <c r="G1165" s="10"/>
      <c r="H1165" s="11" t="n">
        <v>240</v>
      </c>
      <c r="I1165" s="12" t="s">
        <v>20</v>
      </c>
      <c r="J1165" s="12" t="s">
        <v>44</v>
      </c>
      <c r="K1165" s="12"/>
      <c r="L1165" s="9" t="n">
        <f aca="false">L1164+H1165</f>
        <v>20321.7</v>
      </c>
      <c r="M1165" s="10" t="str">
        <f aca="false">VLOOKUP(J1165,RECATALOGANDO!A:C,2,0)</f>
        <v>HONORARIOS MEDICOS</v>
      </c>
      <c r="N1165" s="12" t="str">
        <f aca="false">VLOOKUP(M1165,RECATALOGANDO!B:C,2,0)</f>
        <v>VENTA DE SERVICIO</v>
      </c>
      <c r="O1165" s="2" t="s">
        <v>39</v>
      </c>
    </row>
    <row r="1166" customFormat="false" ht="13.8" hidden="false" customHeight="false" outlineLevel="0" collapsed="false">
      <c r="A1166" s="8" t="n">
        <v>45677</v>
      </c>
      <c r="B1166" s="9" t="n">
        <f aca="false">DAY(A1166)</f>
        <v>20</v>
      </c>
      <c r="C1166" s="9" t="n">
        <f aca="false">MONTH(A1166)</f>
        <v>1</v>
      </c>
      <c r="D1166" s="9" t="n">
        <f aca="false">YEAR(A1166)</f>
        <v>2025</v>
      </c>
      <c r="E1166" s="9" t="n">
        <f aca="false">WEEKDAY(A1166,2)</f>
        <v>1</v>
      </c>
      <c r="F1166" s="10" t="n">
        <f aca="false">WEEKNUM(A1166,2) - WEEKNUM(DATE(YEAR(A1166),MONTH(A1166),1),2) + 1</f>
        <v>4</v>
      </c>
      <c r="G1166" s="10"/>
      <c r="H1166" s="11" t="n">
        <v>3200</v>
      </c>
      <c r="I1166" s="12" t="s">
        <v>20</v>
      </c>
      <c r="J1166" s="12" t="s">
        <v>64</v>
      </c>
      <c r="K1166" s="12"/>
      <c r="L1166" s="9" t="n">
        <f aca="false">L1165+H1166</f>
        <v>23521.7</v>
      </c>
      <c r="M1166" s="10" t="str">
        <f aca="false">VLOOKUP(J1166,RECATALOGANDO!A:C,2,0)</f>
        <v>HONORARIOS QUIRURGICOS</v>
      </c>
      <c r="N1166" s="12" t="str">
        <f aca="false">VLOOKUP(M1166,RECATALOGANDO!B:C,2,0)</f>
        <v>VENTA DE SERVICIO</v>
      </c>
      <c r="O1166" s="2" t="s">
        <v>39</v>
      </c>
    </row>
    <row r="1167" customFormat="false" ht="13.8" hidden="false" customHeight="false" outlineLevel="0" collapsed="false">
      <c r="A1167" s="8" t="n">
        <v>45678</v>
      </c>
      <c r="B1167" s="9" t="n">
        <f aca="false">DAY(A1167)</f>
        <v>21</v>
      </c>
      <c r="C1167" s="9" t="n">
        <f aca="false">MONTH(A1167)</f>
        <v>1</v>
      </c>
      <c r="D1167" s="9" t="n">
        <f aca="false">YEAR(A1167)</f>
        <v>2025</v>
      </c>
      <c r="E1167" s="9" t="n">
        <f aca="false">WEEKDAY(A1167,2)</f>
        <v>2</v>
      </c>
      <c r="F1167" s="10" t="n">
        <f aca="false">WEEKNUM(A1167,2) - WEEKNUM(DATE(YEAR(A1167),MONTH(A1167),1),2) + 1</f>
        <v>4</v>
      </c>
      <c r="G1167" s="10"/>
      <c r="H1167" s="11" t="n">
        <v>770</v>
      </c>
      <c r="I1167" s="12" t="s">
        <v>20</v>
      </c>
      <c r="J1167" s="12" t="s">
        <v>51</v>
      </c>
      <c r="K1167" s="12"/>
      <c r="L1167" s="9" t="n">
        <f aca="false">L1166+H1167</f>
        <v>24291.7</v>
      </c>
      <c r="M1167" s="10" t="str">
        <f aca="false">VLOOKUP(J1167,RECATALOGANDO!A:C,2,0)</f>
        <v>VENTA DE ALIMENTO</v>
      </c>
      <c r="N1167" s="12" t="str">
        <f aca="false">VLOOKUP(M1167,RECATALOGANDO!B:C,2,0)</f>
        <v>VENTA DE PRODUCTO</v>
      </c>
      <c r="O1167" s="2" t="s">
        <v>39</v>
      </c>
    </row>
    <row r="1168" customFormat="false" ht="13.8" hidden="false" customHeight="false" outlineLevel="0" collapsed="false">
      <c r="A1168" s="8" t="n">
        <v>45678</v>
      </c>
      <c r="B1168" s="9" t="n">
        <f aca="false">DAY(A1168)</f>
        <v>21</v>
      </c>
      <c r="C1168" s="9" t="n">
        <f aca="false">MONTH(A1168)</f>
        <v>1</v>
      </c>
      <c r="D1168" s="9" t="n">
        <f aca="false">YEAR(A1168)</f>
        <v>2025</v>
      </c>
      <c r="E1168" s="9" t="n">
        <f aca="false">WEEKDAY(A1168,2)</f>
        <v>2</v>
      </c>
      <c r="F1168" s="10" t="n">
        <f aca="false">WEEKNUM(A1168,2) - WEEKNUM(DATE(YEAR(A1168),MONTH(A1168),1),2) + 1</f>
        <v>4</v>
      </c>
      <c r="G1168" s="10"/>
      <c r="H1168" s="11" t="n">
        <v>320</v>
      </c>
      <c r="I1168" s="12" t="s">
        <v>20</v>
      </c>
      <c r="J1168" s="12" t="s">
        <v>49</v>
      </c>
      <c r="K1168" s="12"/>
      <c r="L1168" s="9" t="n">
        <f aca="false">L1167+H1168</f>
        <v>24611.7</v>
      </c>
      <c r="M1168" s="10" t="str">
        <f aca="false">VLOOKUP(J1168,RECATALOGANDO!A:C,2,0)</f>
        <v>SERVICIO DE GROOMING</v>
      </c>
      <c r="N1168" s="12" t="str">
        <f aca="false">VLOOKUP(M1168,RECATALOGANDO!B:C,2,0)</f>
        <v>VENTA DE SERVICIO</v>
      </c>
      <c r="O1168" s="2" t="s">
        <v>39</v>
      </c>
    </row>
    <row r="1169" customFormat="false" ht="13.8" hidden="false" customHeight="false" outlineLevel="0" collapsed="false">
      <c r="A1169" s="8" t="n">
        <v>45679</v>
      </c>
      <c r="B1169" s="9" t="n">
        <f aca="false">DAY(A1169)</f>
        <v>22</v>
      </c>
      <c r="C1169" s="9" t="n">
        <f aca="false">MONTH(A1169)</f>
        <v>1</v>
      </c>
      <c r="D1169" s="9" t="n">
        <f aca="false">YEAR(A1169)</f>
        <v>2025</v>
      </c>
      <c r="E1169" s="9" t="n">
        <f aca="false">WEEKDAY(A1169,2)</f>
        <v>3</v>
      </c>
      <c r="F1169" s="10" t="n">
        <f aca="false">WEEKNUM(A1169,2) - WEEKNUM(DATE(YEAR(A1169),MONTH(A1169),1),2) + 1</f>
        <v>4</v>
      </c>
      <c r="G1169" s="10"/>
      <c r="H1169" s="11" t="n">
        <v>2940</v>
      </c>
      <c r="I1169" s="12" t="s">
        <v>20</v>
      </c>
      <c r="J1169" s="12" t="s">
        <v>45</v>
      </c>
      <c r="K1169" s="12"/>
      <c r="L1169" s="9" t="n">
        <f aca="false">L1168+H1169</f>
        <v>27551.7</v>
      </c>
      <c r="M1169" s="10" t="str">
        <f aca="false">VLOOKUP(J1169,RECATALOGANDO!A:C,2,0)</f>
        <v>VENTA DE MEDICAMENTO</v>
      </c>
      <c r="N1169" s="12" t="str">
        <f aca="false">VLOOKUP(M1169,RECATALOGANDO!B:C,2,0)</f>
        <v>VENTA DE PRODUCTO</v>
      </c>
      <c r="O1169" s="2" t="s">
        <v>39</v>
      </c>
    </row>
    <row r="1170" customFormat="false" ht="13.8" hidden="false" customHeight="false" outlineLevel="0" collapsed="false">
      <c r="A1170" s="8" t="n">
        <v>45680</v>
      </c>
      <c r="B1170" s="9" t="n">
        <f aca="false">DAY(A1170)</f>
        <v>23</v>
      </c>
      <c r="C1170" s="9" t="n">
        <f aca="false">MONTH(A1170)</f>
        <v>1</v>
      </c>
      <c r="D1170" s="9" t="n">
        <f aca="false">YEAR(A1170)</f>
        <v>2025</v>
      </c>
      <c r="E1170" s="9" t="n">
        <f aca="false">WEEKDAY(A1170,2)</f>
        <v>4</v>
      </c>
      <c r="F1170" s="10" t="n">
        <f aca="false">WEEKNUM(A1170,2) - WEEKNUM(DATE(YEAR(A1170),MONTH(A1170),1),2) + 1</f>
        <v>4</v>
      </c>
      <c r="G1170" s="10"/>
      <c r="H1170" s="11" t="n">
        <v>580</v>
      </c>
      <c r="I1170" s="12" t="s">
        <v>20</v>
      </c>
      <c r="J1170" s="12" t="s">
        <v>45</v>
      </c>
      <c r="K1170" s="12"/>
      <c r="L1170" s="9" t="n">
        <f aca="false">L1169+H1170</f>
        <v>28131.7</v>
      </c>
      <c r="M1170" s="10" t="str">
        <f aca="false">VLOOKUP(J1170,RECATALOGANDO!A:C,2,0)</f>
        <v>VENTA DE MEDICAMENTO</v>
      </c>
      <c r="N1170" s="12" t="str">
        <f aca="false">VLOOKUP(M1170,RECATALOGANDO!B:C,2,0)</f>
        <v>VENTA DE PRODUCTO</v>
      </c>
      <c r="O1170" s="2" t="s">
        <v>39</v>
      </c>
    </row>
    <row r="1171" customFormat="false" ht="13.8" hidden="false" customHeight="false" outlineLevel="0" collapsed="false">
      <c r="A1171" s="8" t="n">
        <v>45680</v>
      </c>
      <c r="B1171" s="9" t="n">
        <f aca="false">DAY(A1171)</f>
        <v>23</v>
      </c>
      <c r="C1171" s="9" t="n">
        <f aca="false">MONTH(A1171)</f>
        <v>1</v>
      </c>
      <c r="D1171" s="9" t="n">
        <f aca="false">YEAR(A1171)</f>
        <v>2025</v>
      </c>
      <c r="E1171" s="9" t="n">
        <f aca="false">WEEKDAY(A1171,2)</f>
        <v>4</v>
      </c>
      <c r="F1171" s="10" t="n">
        <f aca="false">WEEKNUM(A1171,2) - WEEKNUM(DATE(YEAR(A1171),MONTH(A1171),1),2) + 1</f>
        <v>4</v>
      </c>
      <c r="G1171" s="10"/>
      <c r="H1171" s="11" t="n">
        <v>590</v>
      </c>
      <c r="I1171" s="12" t="s">
        <v>20</v>
      </c>
      <c r="J1171" s="12" t="s">
        <v>44</v>
      </c>
      <c r="K1171" s="12"/>
      <c r="L1171" s="9" t="n">
        <f aca="false">L1170+H1171</f>
        <v>28721.7</v>
      </c>
      <c r="M1171" s="10" t="str">
        <f aca="false">VLOOKUP(J1171,RECATALOGANDO!A:C,2,0)</f>
        <v>HONORARIOS MEDICOS</v>
      </c>
      <c r="N1171" s="12" t="str">
        <f aca="false">VLOOKUP(M1171,RECATALOGANDO!B:C,2,0)</f>
        <v>VENTA DE SERVICIO</v>
      </c>
      <c r="O1171" s="2" t="s">
        <v>39</v>
      </c>
    </row>
    <row r="1172" customFormat="false" ht="13.8" hidden="false" customHeight="false" outlineLevel="0" collapsed="false">
      <c r="A1172" s="8" t="n">
        <v>45681</v>
      </c>
      <c r="B1172" s="9" t="n">
        <f aca="false">DAY(A1172)</f>
        <v>24</v>
      </c>
      <c r="C1172" s="9" t="n">
        <f aca="false">MONTH(A1172)</f>
        <v>1</v>
      </c>
      <c r="D1172" s="9" t="n">
        <f aca="false">YEAR(A1172)</f>
        <v>2025</v>
      </c>
      <c r="E1172" s="9" t="n">
        <f aca="false">WEEKDAY(A1172,2)</f>
        <v>5</v>
      </c>
      <c r="F1172" s="10" t="n">
        <f aca="false">WEEKNUM(A1172,2) - WEEKNUM(DATE(YEAR(A1172),MONTH(A1172),1),2) + 1</f>
        <v>4</v>
      </c>
      <c r="G1172" s="10"/>
      <c r="H1172" s="11" t="n">
        <v>1210</v>
      </c>
      <c r="I1172" s="12" t="s">
        <v>20</v>
      </c>
      <c r="J1172" s="12" t="s">
        <v>45</v>
      </c>
      <c r="K1172" s="12"/>
      <c r="L1172" s="9" t="n">
        <f aca="false">L1171+H1172</f>
        <v>29931.7</v>
      </c>
      <c r="M1172" s="10" t="str">
        <f aca="false">VLOOKUP(J1172,RECATALOGANDO!A:C,2,0)</f>
        <v>VENTA DE MEDICAMENTO</v>
      </c>
      <c r="N1172" s="12" t="str">
        <f aca="false">VLOOKUP(M1172,RECATALOGANDO!B:C,2,0)</f>
        <v>VENTA DE PRODUCTO</v>
      </c>
      <c r="O1172" s="2" t="s">
        <v>39</v>
      </c>
    </row>
    <row r="1173" customFormat="false" ht="13.8" hidden="false" customHeight="false" outlineLevel="0" collapsed="false">
      <c r="A1173" s="8" t="n">
        <v>45681</v>
      </c>
      <c r="B1173" s="9" t="n">
        <f aca="false">DAY(A1173)</f>
        <v>24</v>
      </c>
      <c r="C1173" s="9" t="n">
        <f aca="false">MONTH(A1173)</f>
        <v>1</v>
      </c>
      <c r="D1173" s="9" t="n">
        <f aca="false">YEAR(A1173)</f>
        <v>2025</v>
      </c>
      <c r="E1173" s="9" t="n">
        <f aca="false">WEEKDAY(A1173,2)</f>
        <v>5</v>
      </c>
      <c r="F1173" s="10" t="n">
        <f aca="false">WEEKNUM(A1173,2) - WEEKNUM(DATE(YEAR(A1173),MONTH(A1173),1),2) + 1</f>
        <v>4</v>
      </c>
      <c r="G1173" s="10"/>
      <c r="H1173" s="11" t="n">
        <v>282.68</v>
      </c>
      <c r="I1173" s="12" t="s">
        <v>15</v>
      </c>
      <c r="J1173" s="12" t="s">
        <v>49</v>
      </c>
      <c r="K1173" s="12"/>
      <c r="L1173" s="9" t="n">
        <f aca="false">L1172+H1173</f>
        <v>30214.38</v>
      </c>
      <c r="M1173" s="10" t="str">
        <f aca="false">VLOOKUP(J1173,RECATALOGANDO!A:C,2,0)</f>
        <v>SERVICIO DE GROOMING</v>
      </c>
      <c r="N1173" s="12" t="str">
        <f aca="false">VLOOKUP(M1173,RECATALOGANDO!B:C,2,0)</f>
        <v>VENTA DE SERVICIO</v>
      </c>
      <c r="O1173" s="2" t="s">
        <v>39</v>
      </c>
    </row>
    <row r="1174" customFormat="false" ht="13.8" hidden="false" customHeight="false" outlineLevel="0" collapsed="false">
      <c r="A1174" s="8" t="n">
        <v>45682</v>
      </c>
      <c r="B1174" s="9" t="n">
        <f aca="false">DAY(A1174)</f>
        <v>25</v>
      </c>
      <c r="C1174" s="9" t="n">
        <f aca="false">MONTH(A1174)</f>
        <v>1</v>
      </c>
      <c r="D1174" s="9" t="n">
        <f aca="false">YEAR(A1174)</f>
        <v>2025</v>
      </c>
      <c r="E1174" s="9" t="n">
        <f aca="false">WEEKDAY(A1174,2)</f>
        <v>6</v>
      </c>
      <c r="F1174" s="10" t="n">
        <f aca="false">WEEKNUM(A1174,2) - WEEKNUM(DATE(YEAR(A1174),MONTH(A1174),1),2) + 1</f>
        <v>4</v>
      </c>
      <c r="G1174" s="10"/>
      <c r="H1174" s="11" t="n">
        <v>1794</v>
      </c>
      <c r="I1174" s="12" t="s">
        <v>15</v>
      </c>
      <c r="J1174" s="12" t="s">
        <v>56</v>
      </c>
      <c r="K1174" s="12"/>
      <c r="L1174" s="9" t="n">
        <f aca="false">L1173+H1174</f>
        <v>32008.38</v>
      </c>
      <c r="M1174" s="10" t="str">
        <f aca="false">VLOOKUP(J1174,RECATALOGANDO!A:C,2,0)</f>
        <v>SERVICIO DE IMAGEN</v>
      </c>
      <c r="N1174" s="12" t="str">
        <f aca="false">VLOOKUP(M1174,RECATALOGANDO!B:C,2,0)</f>
        <v>VENTA DE SERVICIO</v>
      </c>
      <c r="O1174" s="2" t="s">
        <v>39</v>
      </c>
    </row>
    <row r="1175" customFormat="false" ht="13.8" hidden="false" customHeight="false" outlineLevel="0" collapsed="false">
      <c r="A1175" s="8" t="n">
        <v>45684</v>
      </c>
      <c r="B1175" s="9" t="n">
        <f aca="false">DAY(A1175)</f>
        <v>27</v>
      </c>
      <c r="C1175" s="9" t="n">
        <f aca="false">MONTH(A1175)</f>
        <v>1</v>
      </c>
      <c r="D1175" s="9" t="n">
        <f aca="false">YEAR(A1175)</f>
        <v>2025</v>
      </c>
      <c r="E1175" s="9" t="n">
        <f aca="false">WEEKDAY(A1175,2)</f>
        <v>1</v>
      </c>
      <c r="F1175" s="10" t="n">
        <f aca="false">WEEKNUM(A1175,2) - WEEKNUM(DATE(YEAR(A1175),MONTH(A1175),1),2) + 1</f>
        <v>5</v>
      </c>
      <c r="G1175" s="10"/>
      <c r="H1175" s="11" t="n">
        <v>6400</v>
      </c>
      <c r="I1175" s="12" t="s">
        <v>20</v>
      </c>
      <c r="J1175" s="12" t="s">
        <v>64</v>
      </c>
      <c r="K1175" s="12"/>
      <c r="L1175" s="9" t="n">
        <f aca="false">L1174+H1175</f>
        <v>38408.38</v>
      </c>
      <c r="M1175" s="10" t="str">
        <f aca="false">VLOOKUP(J1175,RECATALOGANDO!A:C,2,0)</f>
        <v>HONORARIOS QUIRURGICOS</v>
      </c>
      <c r="N1175" s="12" t="str">
        <f aca="false">VLOOKUP(M1175,RECATALOGANDO!B:C,2,0)</f>
        <v>VENTA DE SERVICIO</v>
      </c>
      <c r="O1175" s="2" t="s">
        <v>39</v>
      </c>
    </row>
    <row r="1176" customFormat="false" ht="13.8" hidden="false" customHeight="false" outlineLevel="0" collapsed="false">
      <c r="A1176" s="8" t="n">
        <v>45685</v>
      </c>
      <c r="B1176" s="9" t="n">
        <f aca="false">DAY(A1176)</f>
        <v>28</v>
      </c>
      <c r="C1176" s="9" t="n">
        <f aca="false">MONTH(A1176)</f>
        <v>1</v>
      </c>
      <c r="D1176" s="9" t="n">
        <f aca="false">YEAR(A1176)</f>
        <v>2025</v>
      </c>
      <c r="E1176" s="9" t="n">
        <f aca="false">WEEKDAY(A1176,2)</f>
        <v>2</v>
      </c>
      <c r="F1176" s="10" t="n">
        <f aca="false">WEEKNUM(A1176,2) - WEEKNUM(DATE(YEAR(A1176),MONTH(A1176),1),2) + 1</f>
        <v>5</v>
      </c>
      <c r="G1176" s="10"/>
      <c r="H1176" s="11" t="n">
        <v>1977</v>
      </c>
      <c r="I1176" s="12" t="s">
        <v>15</v>
      </c>
      <c r="J1176" s="12" t="s">
        <v>44</v>
      </c>
      <c r="K1176" s="12"/>
      <c r="L1176" s="9" t="n">
        <f aca="false">L1175+H1176</f>
        <v>40385.38</v>
      </c>
      <c r="M1176" s="10" t="str">
        <f aca="false">VLOOKUP(J1176,RECATALOGANDO!A:C,2,0)</f>
        <v>HONORARIOS MEDICOS</v>
      </c>
      <c r="N1176" s="12" t="str">
        <f aca="false">VLOOKUP(M1176,RECATALOGANDO!B:C,2,0)</f>
        <v>VENTA DE SERVICIO</v>
      </c>
      <c r="O1176" s="2" t="s">
        <v>39</v>
      </c>
    </row>
    <row r="1177" customFormat="false" ht="13.8" hidden="false" customHeight="false" outlineLevel="0" collapsed="false">
      <c r="A1177" s="8" t="n">
        <v>45687</v>
      </c>
      <c r="B1177" s="9" t="n">
        <f aca="false">DAY(A1177)</f>
        <v>30</v>
      </c>
      <c r="C1177" s="9" t="n">
        <f aca="false">MONTH(A1177)</f>
        <v>1</v>
      </c>
      <c r="D1177" s="9" t="n">
        <f aca="false">YEAR(A1177)</f>
        <v>2025</v>
      </c>
      <c r="E1177" s="9" t="n">
        <f aca="false">WEEKDAY(A1177,2)</f>
        <v>4</v>
      </c>
      <c r="F1177" s="10" t="n">
        <f aca="false">WEEKNUM(A1177,2) - WEEKNUM(DATE(YEAR(A1177),MONTH(A1177),1),2) + 1</f>
        <v>5</v>
      </c>
      <c r="G1177" s="10" t="n">
        <v>2</v>
      </c>
      <c r="H1177" s="11" t="n">
        <v>389</v>
      </c>
      <c r="I1177" s="12" t="s">
        <v>20</v>
      </c>
      <c r="J1177" s="12" t="s">
        <v>45</v>
      </c>
      <c r="K1177" s="12"/>
      <c r="L1177" s="9" t="n">
        <f aca="false">L1176+H1177</f>
        <v>40774.38</v>
      </c>
      <c r="M1177" s="10" t="str">
        <f aca="false">VLOOKUP(J1177,RECATALOGANDO!A:C,2,0)</f>
        <v>VENTA DE MEDICAMENTO</v>
      </c>
      <c r="N1177" s="12" t="str">
        <f aca="false">VLOOKUP(M1177,RECATALOGANDO!B:C,2,0)</f>
        <v>VENTA DE PRODUCTO</v>
      </c>
      <c r="O1177" s="2" t="s">
        <v>39</v>
      </c>
    </row>
    <row r="1178" customFormat="false" ht="13.8" hidden="false" customHeight="false" outlineLevel="0" collapsed="false">
      <c r="A1178" s="8" t="n">
        <v>45692</v>
      </c>
      <c r="B1178" s="9" t="n">
        <f aca="false">DAY(A1178)</f>
        <v>4</v>
      </c>
      <c r="C1178" s="9" t="n">
        <f aca="false">MONTH(A1178)</f>
        <v>2</v>
      </c>
      <c r="D1178" s="9" t="n">
        <f aca="false">YEAR(A1178)</f>
        <v>2025</v>
      </c>
      <c r="E1178" s="9" t="n">
        <f aca="false">WEEKDAY(A1178,2)</f>
        <v>2</v>
      </c>
      <c r="F1178" s="10" t="n">
        <f aca="false">WEEKNUM(A1178,2) - WEEKNUM(DATE(YEAR(A1178),MONTH(A1178),1),2) + 1</f>
        <v>2</v>
      </c>
      <c r="G1178" s="10"/>
      <c r="H1178" s="11" t="n">
        <v>427</v>
      </c>
      <c r="I1178" s="12" t="s">
        <v>15</v>
      </c>
      <c r="J1178" s="12" t="s">
        <v>45</v>
      </c>
      <c r="K1178" s="12"/>
      <c r="L1178" s="9" t="n">
        <f aca="false">H1178</f>
        <v>427</v>
      </c>
      <c r="M1178" s="10" t="str">
        <f aca="false">VLOOKUP(J1178,RECATALOGANDO!A:C,2,0)</f>
        <v>VENTA DE MEDICAMENTO</v>
      </c>
      <c r="N1178" s="12" t="str">
        <f aca="false">VLOOKUP(M1178,RECATALOGANDO!B:C,2,0)</f>
        <v>VENTA DE PRODUCTO</v>
      </c>
      <c r="O1178" s="2" t="s">
        <v>39</v>
      </c>
    </row>
    <row r="1179" customFormat="false" ht="13.8" hidden="false" customHeight="false" outlineLevel="0" collapsed="false">
      <c r="A1179" s="8" t="n">
        <v>45692</v>
      </c>
      <c r="B1179" s="9" t="n">
        <f aca="false">DAY(A1179)</f>
        <v>4</v>
      </c>
      <c r="C1179" s="9" t="n">
        <f aca="false">MONTH(A1179)</f>
        <v>2</v>
      </c>
      <c r="D1179" s="9" t="n">
        <f aca="false">YEAR(A1179)</f>
        <v>2025</v>
      </c>
      <c r="E1179" s="9" t="n">
        <f aca="false">WEEKDAY(A1179,2)</f>
        <v>2</v>
      </c>
      <c r="F1179" s="10" t="n">
        <f aca="false">WEEKNUM(A1179,2) - WEEKNUM(DATE(YEAR(A1179),MONTH(A1179),1),2) + 1</f>
        <v>2</v>
      </c>
      <c r="G1179" s="10"/>
      <c r="H1179" s="11" t="n">
        <v>1009</v>
      </c>
      <c r="I1179" s="12" t="s">
        <v>20</v>
      </c>
      <c r="J1179" s="12" t="s">
        <v>51</v>
      </c>
      <c r="K1179" s="12"/>
      <c r="L1179" s="9" t="n">
        <f aca="false">L1178+H1179</f>
        <v>1436</v>
      </c>
      <c r="M1179" s="10" t="str">
        <f aca="false">VLOOKUP(J1179,RECATALOGANDO!A:C,2,0)</f>
        <v>VENTA DE ALIMENTO</v>
      </c>
      <c r="N1179" s="12" t="str">
        <f aca="false">VLOOKUP(M1179,RECATALOGANDO!B:C,2,0)</f>
        <v>VENTA DE PRODUCTO</v>
      </c>
      <c r="O1179" s="2" t="s">
        <v>39</v>
      </c>
    </row>
    <row r="1180" customFormat="false" ht="13.8" hidden="false" customHeight="false" outlineLevel="0" collapsed="false">
      <c r="A1180" s="8" t="n">
        <v>45692</v>
      </c>
      <c r="B1180" s="9" t="n">
        <f aca="false">DAY(A1180)</f>
        <v>4</v>
      </c>
      <c r="C1180" s="9" t="n">
        <f aca="false">MONTH(A1180)</f>
        <v>2</v>
      </c>
      <c r="D1180" s="9" t="n">
        <f aca="false">YEAR(A1180)</f>
        <v>2025</v>
      </c>
      <c r="E1180" s="9" t="n">
        <f aca="false">WEEKDAY(A1180,2)</f>
        <v>2</v>
      </c>
      <c r="F1180" s="10" t="n">
        <f aca="false">WEEKNUM(A1180,2) - WEEKNUM(DATE(YEAR(A1180),MONTH(A1180),1),2) + 1</f>
        <v>2</v>
      </c>
      <c r="G1180" s="10"/>
      <c r="H1180" s="11" t="n">
        <v>150</v>
      </c>
      <c r="I1180" s="12" t="s">
        <v>20</v>
      </c>
      <c r="J1180" s="12" t="s">
        <v>49</v>
      </c>
      <c r="K1180" s="12"/>
      <c r="L1180" s="9" t="n">
        <f aca="false">L1179+H1180</f>
        <v>1586</v>
      </c>
      <c r="M1180" s="10" t="str">
        <f aca="false">VLOOKUP(J1180,RECATALOGANDO!A:C,2,0)</f>
        <v>SERVICIO DE GROOMING</v>
      </c>
      <c r="N1180" s="12" t="str">
        <f aca="false">VLOOKUP(M1180,RECATALOGANDO!B:C,2,0)</f>
        <v>VENTA DE SERVICIO</v>
      </c>
      <c r="O1180" s="2" t="s">
        <v>39</v>
      </c>
    </row>
    <row r="1181" customFormat="false" ht="13.8" hidden="false" customHeight="false" outlineLevel="0" collapsed="false">
      <c r="A1181" s="8" t="n">
        <v>45692</v>
      </c>
      <c r="B1181" s="9" t="n">
        <f aca="false">DAY(A1181)</f>
        <v>4</v>
      </c>
      <c r="C1181" s="9" t="n">
        <f aca="false">MONTH(A1181)</f>
        <v>2</v>
      </c>
      <c r="D1181" s="9" t="n">
        <f aca="false">YEAR(A1181)</f>
        <v>2025</v>
      </c>
      <c r="E1181" s="9" t="n">
        <f aca="false">WEEKDAY(A1181,2)</f>
        <v>2</v>
      </c>
      <c r="F1181" s="10" t="n">
        <f aca="false">WEEKNUM(A1181,2) - WEEKNUM(DATE(YEAR(A1181),MONTH(A1181),1),2) + 1</f>
        <v>2</v>
      </c>
      <c r="G1181" s="10"/>
      <c r="H1181" s="11" t="n">
        <v>170</v>
      </c>
      <c r="I1181" s="12" t="s">
        <v>20</v>
      </c>
      <c r="J1181" s="12" t="s">
        <v>49</v>
      </c>
      <c r="K1181" s="12"/>
      <c r="L1181" s="9" t="n">
        <f aca="false">L1180+H1181</f>
        <v>1756</v>
      </c>
      <c r="M1181" s="10" t="str">
        <f aca="false">VLOOKUP(J1181,RECATALOGANDO!A:C,2,0)</f>
        <v>SERVICIO DE GROOMING</v>
      </c>
      <c r="N1181" s="12" t="str">
        <f aca="false">VLOOKUP(M1181,RECATALOGANDO!B:C,2,0)</f>
        <v>VENTA DE SERVICIO</v>
      </c>
      <c r="O1181" s="2" t="s">
        <v>39</v>
      </c>
    </row>
    <row r="1182" customFormat="false" ht="13.8" hidden="false" customHeight="false" outlineLevel="0" collapsed="false">
      <c r="A1182" s="8" t="n">
        <v>45692</v>
      </c>
      <c r="B1182" s="9" t="n">
        <f aca="false">DAY(A1182)</f>
        <v>4</v>
      </c>
      <c r="C1182" s="9" t="n">
        <f aca="false">MONTH(A1182)</f>
        <v>2</v>
      </c>
      <c r="D1182" s="9" t="n">
        <f aca="false">YEAR(A1182)</f>
        <v>2025</v>
      </c>
      <c r="E1182" s="9" t="n">
        <f aca="false">WEEKDAY(A1182,2)</f>
        <v>2</v>
      </c>
      <c r="F1182" s="10" t="n">
        <f aca="false">WEEKNUM(A1182,2) - WEEKNUM(DATE(YEAR(A1182),MONTH(A1182),1),2) + 1</f>
        <v>2</v>
      </c>
      <c r="G1182" s="10"/>
      <c r="H1182" s="11" t="n">
        <v>180</v>
      </c>
      <c r="I1182" s="12" t="s">
        <v>20</v>
      </c>
      <c r="J1182" s="12" t="s">
        <v>49</v>
      </c>
      <c r="K1182" s="12"/>
      <c r="L1182" s="9" t="n">
        <f aca="false">L1181+H1182</f>
        <v>1936</v>
      </c>
      <c r="M1182" s="10" t="str">
        <f aca="false">VLOOKUP(J1182,RECATALOGANDO!A:C,2,0)</f>
        <v>SERVICIO DE GROOMING</v>
      </c>
      <c r="N1182" s="12" t="str">
        <f aca="false">VLOOKUP(M1182,RECATALOGANDO!B:C,2,0)</f>
        <v>VENTA DE SERVICIO</v>
      </c>
      <c r="O1182" s="2" t="s">
        <v>39</v>
      </c>
    </row>
    <row r="1183" customFormat="false" ht="13.8" hidden="false" customHeight="false" outlineLevel="0" collapsed="false">
      <c r="A1183" s="8" t="n">
        <v>45694</v>
      </c>
      <c r="B1183" s="9" t="n">
        <f aca="false">DAY(A1183)</f>
        <v>6</v>
      </c>
      <c r="C1183" s="9" t="n">
        <f aca="false">MONTH(A1183)</f>
        <v>2</v>
      </c>
      <c r="D1183" s="9" t="n">
        <f aca="false">YEAR(A1183)</f>
        <v>2025</v>
      </c>
      <c r="E1183" s="9" t="n">
        <f aca="false">WEEKDAY(A1183,2)</f>
        <v>4</v>
      </c>
      <c r="F1183" s="10" t="n">
        <f aca="false">WEEKNUM(A1183,2) - WEEKNUM(DATE(YEAR(A1183),MONTH(A1183),1),2) + 1</f>
        <v>2</v>
      </c>
      <c r="G1183" s="10"/>
      <c r="H1183" s="11" t="n">
        <v>1790</v>
      </c>
      <c r="I1183" s="12" t="s">
        <v>20</v>
      </c>
      <c r="J1183" s="12" t="s">
        <v>45</v>
      </c>
      <c r="K1183" s="12"/>
      <c r="L1183" s="9" t="n">
        <f aca="false">L1182+H1183</f>
        <v>3726</v>
      </c>
      <c r="M1183" s="10" t="str">
        <f aca="false">VLOOKUP(J1183,RECATALOGANDO!A:C,2,0)</f>
        <v>VENTA DE MEDICAMENTO</v>
      </c>
      <c r="N1183" s="12" t="str">
        <f aca="false">VLOOKUP(M1183,RECATALOGANDO!B:C,2,0)</f>
        <v>VENTA DE PRODUCTO</v>
      </c>
      <c r="O1183" s="2" t="s">
        <v>39</v>
      </c>
    </row>
    <row r="1184" customFormat="false" ht="13.8" hidden="false" customHeight="false" outlineLevel="0" collapsed="false">
      <c r="A1184" s="8" t="n">
        <v>45694</v>
      </c>
      <c r="B1184" s="9" t="n">
        <f aca="false">DAY(A1184)</f>
        <v>6</v>
      </c>
      <c r="C1184" s="9" t="n">
        <f aca="false">MONTH(A1184)</f>
        <v>2</v>
      </c>
      <c r="D1184" s="9" t="n">
        <f aca="false">YEAR(A1184)</f>
        <v>2025</v>
      </c>
      <c r="E1184" s="9" t="n">
        <f aca="false">WEEKDAY(A1184,2)</f>
        <v>4</v>
      </c>
      <c r="F1184" s="10" t="n">
        <f aca="false">WEEKNUM(A1184,2) - WEEKNUM(DATE(YEAR(A1184),MONTH(A1184),1),2) + 1</f>
        <v>2</v>
      </c>
      <c r="G1184" s="10"/>
      <c r="H1184" s="11" t="n">
        <v>2840</v>
      </c>
      <c r="I1184" s="12" t="s">
        <v>20</v>
      </c>
      <c r="J1184" s="12" t="s">
        <v>51</v>
      </c>
      <c r="K1184" s="12"/>
      <c r="L1184" s="9" t="n">
        <f aca="false">L1183+H1184</f>
        <v>6566</v>
      </c>
      <c r="M1184" s="10" t="str">
        <f aca="false">VLOOKUP(J1184,RECATALOGANDO!A:C,2,0)</f>
        <v>VENTA DE ALIMENTO</v>
      </c>
      <c r="N1184" s="12" t="str">
        <f aca="false">VLOOKUP(M1184,RECATALOGANDO!B:C,2,0)</f>
        <v>VENTA DE PRODUCTO</v>
      </c>
      <c r="O1184" s="2" t="s">
        <v>39</v>
      </c>
    </row>
    <row r="1185" customFormat="false" ht="13.8" hidden="false" customHeight="false" outlineLevel="0" collapsed="false">
      <c r="A1185" s="8" t="n">
        <v>45694</v>
      </c>
      <c r="B1185" s="9" t="n">
        <f aca="false">DAY(A1185)</f>
        <v>6</v>
      </c>
      <c r="C1185" s="9" t="n">
        <f aca="false">MONTH(A1185)</f>
        <v>2</v>
      </c>
      <c r="D1185" s="9" t="n">
        <f aca="false">YEAR(A1185)</f>
        <v>2025</v>
      </c>
      <c r="E1185" s="9" t="n">
        <f aca="false">WEEKDAY(A1185,2)</f>
        <v>4</v>
      </c>
      <c r="F1185" s="10" t="n">
        <f aca="false">WEEKNUM(A1185,2) - WEEKNUM(DATE(YEAR(A1185),MONTH(A1185),1),2) + 1</f>
        <v>2</v>
      </c>
      <c r="G1185" s="10"/>
      <c r="H1185" s="11" t="n">
        <v>1210</v>
      </c>
      <c r="I1185" s="12" t="s">
        <v>20</v>
      </c>
      <c r="J1185" s="12" t="s">
        <v>54</v>
      </c>
      <c r="K1185" s="12"/>
      <c r="L1185" s="9" t="n">
        <f aca="false">L1184+H1185</f>
        <v>7776</v>
      </c>
      <c r="M1185" s="10" t="str">
        <f aca="false">VLOOKUP(J1185,RECATALOGANDO!A:C,2,0)</f>
        <v>SERVICIO DE LABORATORIO</v>
      </c>
      <c r="N1185" s="12" t="str">
        <f aca="false">VLOOKUP(M1185,RECATALOGANDO!B:C,2,0)</f>
        <v>VENTA DE SERVICIO</v>
      </c>
      <c r="O1185" s="2" t="s">
        <v>39</v>
      </c>
    </row>
    <row r="1186" customFormat="false" ht="13.8" hidden="false" customHeight="false" outlineLevel="0" collapsed="false">
      <c r="A1186" s="8" t="n">
        <v>45695</v>
      </c>
      <c r="B1186" s="9" t="n">
        <f aca="false">DAY(A1186)</f>
        <v>7</v>
      </c>
      <c r="C1186" s="9" t="n">
        <f aca="false">MONTH(A1186)</f>
        <v>2</v>
      </c>
      <c r="D1186" s="9" t="n">
        <f aca="false">YEAR(A1186)</f>
        <v>2025</v>
      </c>
      <c r="E1186" s="9" t="n">
        <f aca="false">WEEKDAY(A1186,2)</f>
        <v>5</v>
      </c>
      <c r="F1186" s="10" t="n">
        <f aca="false">WEEKNUM(A1186,2) - WEEKNUM(DATE(YEAR(A1186),MONTH(A1186),1),2) + 1</f>
        <v>2</v>
      </c>
      <c r="G1186" s="10"/>
      <c r="H1186" s="11" t="n">
        <v>410</v>
      </c>
      <c r="I1186" s="12" t="s">
        <v>20</v>
      </c>
      <c r="J1186" s="12" t="s">
        <v>45</v>
      </c>
      <c r="K1186" s="12"/>
      <c r="L1186" s="9" t="n">
        <f aca="false">L1185+H1186</f>
        <v>8186</v>
      </c>
      <c r="M1186" s="10" t="str">
        <f aca="false">VLOOKUP(J1186,RECATALOGANDO!A:C,2,0)</f>
        <v>VENTA DE MEDICAMENTO</v>
      </c>
      <c r="N1186" s="12" t="str">
        <f aca="false">VLOOKUP(M1186,RECATALOGANDO!B:C,2,0)</f>
        <v>VENTA DE PRODUCTO</v>
      </c>
      <c r="O1186" s="2" t="s">
        <v>39</v>
      </c>
    </row>
    <row r="1187" customFormat="false" ht="13.8" hidden="false" customHeight="false" outlineLevel="0" collapsed="false">
      <c r="A1187" s="8" t="n">
        <v>45695</v>
      </c>
      <c r="B1187" s="9" t="n">
        <f aca="false">DAY(A1187)</f>
        <v>7</v>
      </c>
      <c r="C1187" s="9" t="n">
        <f aca="false">MONTH(A1187)</f>
        <v>2</v>
      </c>
      <c r="D1187" s="9" t="n">
        <f aca="false">YEAR(A1187)</f>
        <v>2025</v>
      </c>
      <c r="E1187" s="9" t="n">
        <f aca="false">WEEKDAY(A1187,2)</f>
        <v>5</v>
      </c>
      <c r="F1187" s="10" t="n">
        <f aca="false">WEEKNUM(A1187,2) - WEEKNUM(DATE(YEAR(A1187),MONTH(A1187),1),2) + 1</f>
        <v>2</v>
      </c>
      <c r="G1187" s="10"/>
      <c r="H1187" s="11" t="n">
        <v>1110</v>
      </c>
      <c r="I1187" s="12" t="s">
        <v>15</v>
      </c>
      <c r="J1187" s="12" t="s">
        <v>44</v>
      </c>
      <c r="K1187" s="12"/>
      <c r="L1187" s="9" t="n">
        <f aca="false">L1186+H1187</f>
        <v>9296</v>
      </c>
      <c r="M1187" s="10" t="str">
        <f aca="false">VLOOKUP(J1187,RECATALOGANDO!A:C,2,0)</f>
        <v>HONORARIOS MEDICOS</v>
      </c>
      <c r="N1187" s="12" t="str">
        <f aca="false">VLOOKUP(M1187,RECATALOGANDO!B:C,2,0)</f>
        <v>VENTA DE SERVICIO</v>
      </c>
      <c r="O1187" s="2" t="s">
        <v>39</v>
      </c>
    </row>
    <row r="1188" customFormat="false" ht="13.8" hidden="false" customHeight="false" outlineLevel="0" collapsed="false">
      <c r="A1188" s="8" t="n">
        <v>45696</v>
      </c>
      <c r="B1188" s="9" t="n">
        <f aca="false">DAY(A1188)</f>
        <v>8</v>
      </c>
      <c r="C1188" s="9" t="n">
        <f aca="false">MONTH(A1188)</f>
        <v>2</v>
      </c>
      <c r="D1188" s="9" t="n">
        <f aca="false">YEAR(A1188)</f>
        <v>2025</v>
      </c>
      <c r="E1188" s="9" t="n">
        <f aca="false">WEEKDAY(A1188,2)</f>
        <v>6</v>
      </c>
      <c r="F1188" s="10" t="n">
        <f aca="false">WEEKNUM(A1188,2) - WEEKNUM(DATE(YEAR(A1188),MONTH(A1188),1),2) + 1</f>
        <v>2</v>
      </c>
      <c r="G1188" s="10"/>
      <c r="H1188" s="11" t="n">
        <v>3134</v>
      </c>
      <c r="I1188" s="12" t="s">
        <v>15</v>
      </c>
      <c r="J1188" s="12" t="s">
        <v>45</v>
      </c>
      <c r="K1188" s="12"/>
      <c r="L1188" s="9" t="n">
        <f aca="false">L1187+H1188</f>
        <v>12430</v>
      </c>
      <c r="M1188" s="10" t="str">
        <f aca="false">VLOOKUP(J1188,RECATALOGANDO!A:C,2,0)</f>
        <v>VENTA DE MEDICAMENTO</v>
      </c>
      <c r="N1188" s="12" t="str">
        <f aca="false">VLOOKUP(M1188,RECATALOGANDO!B:C,2,0)</f>
        <v>VENTA DE PRODUCTO</v>
      </c>
      <c r="O1188" s="2" t="s">
        <v>39</v>
      </c>
    </row>
    <row r="1189" customFormat="false" ht="13.8" hidden="false" customHeight="false" outlineLevel="0" collapsed="false">
      <c r="A1189" s="8" t="n">
        <v>45698</v>
      </c>
      <c r="B1189" s="9" t="n">
        <f aca="false">DAY(A1189)</f>
        <v>10</v>
      </c>
      <c r="C1189" s="9" t="n">
        <f aca="false">MONTH(A1189)</f>
        <v>2</v>
      </c>
      <c r="D1189" s="9" t="n">
        <f aca="false">YEAR(A1189)</f>
        <v>2025</v>
      </c>
      <c r="E1189" s="9" t="n">
        <f aca="false">WEEKDAY(A1189,2)</f>
        <v>1</v>
      </c>
      <c r="F1189" s="10" t="n">
        <f aca="false">WEEKNUM(A1189,2) - WEEKNUM(DATE(YEAR(A1189),MONTH(A1189),1),2) + 1</f>
        <v>3</v>
      </c>
      <c r="G1189" s="10"/>
      <c r="H1189" s="11" t="n">
        <v>640</v>
      </c>
      <c r="I1189" s="12" t="s">
        <v>20</v>
      </c>
      <c r="J1189" s="12" t="s">
        <v>45</v>
      </c>
      <c r="K1189" s="12"/>
      <c r="L1189" s="9" t="n">
        <f aca="false">L1188+H1189</f>
        <v>13070</v>
      </c>
      <c r="M1189" s="10" t="str">
        <f aca="false">VLOOKUP(J1189,RECATALOGANDO!A:C,2,0)</f>
        <v>VENTA DE MEDICAMENTO</v>
      </c>
      <c r="N1189" s="12" t="str">
        <f aca="false">VLOOKUP(M1189,RECATALOGANDO!B:C,2,0)</f>
        <v>VENTA DE PRODUCTO</v>
      </c>
      <c r="O1189" s="2" t="s">
        <v>39</v>
      </c>
    </row>
    <row r="1190" customFormat="false" ht="13.8" hidden="false" customHeight="false" outlineLevel="0" collapsed="false">
      <c r="A1190" s="8" t="n">
        <v>45698</v>
      </c>
      <c r="B1190" s="9" t="n">
        <f aca="false">DAY(A1190)</f>
        <v>10</v>
      </c>
      <c r="C1190" s="9" t="n">
        <f aca="false">MONTH(A1190)</f>
        <v>2</v>
      </c>
      <c r="D1190" s="9" t="n">
        <f aca="false">YEAR(A1190)</f>
        <v>2025</v>
      </c>
      <c r="E1190" s="9" t="n">
        <f aca="false">WEEKDAY(A1190,2)</f>
        <v>1</v>
      </c>
      <c r="F1190" s="10" t="n">
        <f aca="false">WEEKNUM(A1190,2) - WEEKNUM(DATE(YEAR(A1190),MONTH(A1190),1),2) + 1</f>
        <v>3</v>
      </c>
      <c r="G1190" s="10"/>
      <c r="H1190" s="11" t="n">
        <v>565</v>
      </c>
      <c r="I1190" s="12" t="s">
        <v>20</v>
      </c>
      <c r="J1190" s="12" t="s">
        <v>44</v>
      </c>
      <c r="K1190" s="12"/>
      <c r="L1190" s="9" t="n">
        <f aca="false">L1189+H1190</f>
        <v>13635</v>
      </c>
      <c r="M1190" s="10" t="str">
        <f aca="false">VLOOKUP(J1190,RECATALOGANDO!A:C,2,0)</f>
        <v>HONORARIOS MEDICOS</v>
      </c>
      <c r="N1190" s="12" t="str">
        <f aca="false">VLOOKUP(M1190,RECATALOGANDO!B:C,2,0)</f>
        <v>VENTA DE SERVICIO</v>
      </c>
      <c r="O1190" s="2" t="s">
        <v>39</v>
      </c>
    </row>
    <row r="1191" customFormat="false" ht="13.8" hidden="false" customHeight="false" outlineLevel="0" collapsed="false">
      <c r="A1191" s="8" t="n">
        <v>45698</v>
      </c>
      <c r="B1191" s="9" t="n">
        <f aca="false">DAY(A1191)</f>
        <v>10</v>
      </c>
      <c r="C1191" s="9" t="n">
        <f aca="false">MONTH(A1191)</f>
        <v>2</v>
      </c>
      <c r="D1191" s="9" t="n">
        <f aca="false">YEAR(A1191)</f>
        <v>2025</v>
      </c>
      <c r="E1191" s="9" t="n">
        <f aca="false">WEEKDAY(A1191,2)</f>
        <v>1</v>
      </c>
      <c r="F1191" s="10" t="n">
        <f aca="false">WEEKNUM(A1191,2) - WEEKNUM(DATE(YEAR(A1191),MONTH(A1191),1),2) + 1</f>
        <v>3</v>
      </c>
      <c r="G1191" s="10"/>
      <c r="H1191" s="11" t="n">
        <v>810</v>
      </c>
      <c r="I1191" s="12" t="s">
        <v>20</v>
      </c>
      <c r="J1191" s="12" t="s">
        <v>49</v>
      </c>
      <c r="K1191" s="12"/>
      <c r="L1191" s="9" t="n">
        <f aca="false">L1190+H1191</f>
        <v>14445</v>
      </c>
      <c r="M1191" s="10" t="str">
        <f aca="false">VLOOKUP(J1191,RECATALOGANDO!A:C,2,0)</f>
        <v>SERVICIO DE GROOMING</v>
      </c>
      <c r="N1191" s="12" t="str">
        <f aca="false">VLOOKUP(M1191,RECATALOGANDO!B:C,2,0)</f>
        <v>VENTA DE SERVICIO</v>
      </c>
      <c r="O1191" s="2" t="s">
        <v>39</v>
      </c>
    </row>
    <row r="1192" customFormat="false" ht="13.8" hidden="false" customHeight="false" outlineLevel="0" collapsed="false">
      <c r="A1192" s="8" t="n">
        <v>45698</v>
      </c>
      <c r="B1192" s="9" t="n">
        <f aca="false">DAY(A1192)</f>
        <v>10</v>
      </c>
      <c r="C1192" s="9" t="n">
        <f aca="false">MONTH(A1192)</f>
        <v>2</v>
      </c>
      <c r="D1192" s="9" t="n">
        <f aca="false">YEAR(A1192)</f>
        <v>2025</v>
      </c>
      <c r="E1192" s="9" t="n">
        <f aca="false">WEEKDAY(A1192,2)</f>
        <v>1</v>
      </c>
      <c r="F1192" s="10" t="n">
        <f aca="false">WEEKNUM(A1192,2) - WEEKNUM(DATE(YEAR(A1192),MONTH(A1192),1),2) + 1</f>
        <v>3</v>
      </c>
      <c r="G1192" s="10"/>
      <c r="H1192" s="11" t="n">
        <v>1300</v>
      </c>
      <c r="I1192" s="12" t="s">
        <v>20</v>
      </c>
      <c r="J1192" s="12" t="s">
        <v>54</v>
      </c>
      <c r="K1192" s="12"/>
      <c r="L1192" s="9" t="n">
        <f aca="false">L1191+H1192</f>
        <v>15745</v>
      </c>
      <c r="M1192" s="10" t="str">
        <f aca="false">VLOOKUP(J1192,RECATALOGANDO!A:C,2,0)</f>
        <v>SERVICIO DE LABORATORIO</v>
      </c>
      <c r="N1192" s="12" t="str">
        <f aca="false">VLOOKUP(M1192,RECATALOGANDO!B:C,2,0)</f>
        <v>VENTA DE SERVICIO</v>
      </c>
      <c r="O1192" s="2" t="s">
        <v>39</v>
      </c>
    </row>
    <row r="1193" customFormat="false" ht="13.8" hidden="false" customHeight="false" outlineLevel="0" collapsed="false">
      <c r="A1193" s="8" t="n">
        <v>45698</v>
      </c>
      <c r="B1193" s="9" t="n">
        <f aca="false">DAY(A1193)</f>
        <v>10</v>
      </c>
      <c r="C1193" s="9" t="n">
        <f aca="false">MONTH(A1193)</f>
        <v>2</v>
      </c>
      <c r="D1193" s="9" t="n">
        <f aca="false">YEAR(A1193)</f>
        <v>2025</v>
      </c>
      <c r="E1193" s="9" t="n">
        <f aca="false">WEEKDAY(A1193,2)</f>
        <v>1</v>
      </c>
      <c r="F1193" s="10" t="n">
        <f aca="false">WEEKNUM(A1193,2) - WEEKNUM(DATE(YEAR(A1193),MONTH(A1193),1),2) + 1</f>
        <v>3</v>
      </c>
      <c r="G1193" s="10"/>
      <c r="H1193" s="11" t="n">
        <v>2344</v>
      </c>
      <c r="I1193" s="12" t="s">
        <v>20</v>
      </c>
      <c r="J1193" s="12" t="s">
        <v>56</v>
      </c>
      <c r="K1193" s="12"/>
      <c r="L1193" s="9" t="n">
        <f aca="false">L1192+H1193</f>
        <v>18089</v>
      </c>
      <c r="M1193" s="10" t="str">
        <f aca="false">VLOOKUP(J1193,RECATALOGANDO!A:C,2,0)</f>
        <v>SERVICIO DE IMAGEN</v>
      </c>
      <c r="N1193" s="12" t="str">
        <f aca="false">VLOOKUP(M1193,RECATALOGANDO!B:C,2,0)</f>
        <v>VENTA DE SERVICIO</v>
      </c>
      <c r="O1193" s="2" t="s">
        <v>39</v>
      </c>
    </row>
    <row r="1194" customFormat="false" ht="13.8" hidden="false" customHeight="false" outlineLevel="0" collapsed="false">
      <c r="A1194" s="8" t="n">
        <v>45698</v>
      </c>
      <c r="B1194" s="9" t="n">
        <f aca="false">DAY(A1194)</f>
        <v>10</v>
      </c>
      <c r="C1194" s="9" t="n">
        <f aca="false">MONTH(A1194)</f>
        <v>2</v>
      </c>
      <c r="D1194" s="9" t="n">
        <f aca="false">YEAR(A1194)</f>
        <v>2025</v>
      </c>
      <c r="E1194" s="9" t="n">
        <f aca="false">WEEKDAY(A1194,2)</f>
        <v>1</v>
      </c>
      <c r="F1194" s="10" t="n">
        <f aca="false">WEEKNUM(A1194,2) - WEEKNUM(DATE(YEAR(A1194),MONTH(A1194),1),2) + 1</f>
        <v>3</v>
      </c>
      <c r="G1194" s="10"/>
      <c r="H1194" s="11" t="n">
        <v>2800</v>
      </c>
      <c r="I1194" s="12" t="s">
        <v>20</v>
      </c>
      <c r="J1194" s="12" t="s">
        <v>64</v>
      </c>
      <c r="K1194" s="12"/>
      <c r="L1194" s="9" t="n">
        <f aca="false">L1193+H1194</f>
        <v>20889</v>
      </c>
      <c r="M1194" s="10" t="str">
        <f aca="false">VLOOKUP(J1194,RECATALOGANDO!A:C,2,0)</f>
        <v>HONORARIOS QUIRURGICOS</v>
      </c>
      <c r="N1194" s="12" t="str">
        <f aca="false">VLOOKUP(M1194,RECATALOGANDO!B:C,2,0)</f>
        <v>VENTA DE SERVICIO</v>
      </c>
      <c r="O1194" s="2" t="s">
        <v>39</v>
      </c>
    </row>
    <row r="1195" customFormat="false" ht="13.8" hidden="false" customHeight="false" outlineLevel="0" collapsed="false">
      <c r="A1195" s="8" t="n">
        <v>45700</v>
      </c>
      <c r="B1195" s="9" t="n">
        <f aca="false">DAY(A1195)</f>
        <v>12</v>
      </c>
      <c r="C1195" s="9" t="n">
        <f aca="false">MONTH(A1195)</f>
        <v>2</v>
      </c>
      <c r="D1195" s="9" t="n">
        <f aca="false">YEAR(A1195)</f>
        <v>2025</v>
      </c>
      <c r="E1195" s="9" t="n">
        <f aca="false">WEEKDAY(A1195,2)</f>
        <v>3</v>
      </c>
      <c r="F1195" s="10" t="n">
        <f aca="false">WEEKNUM(A1195,2) - WEEKNUM(DATE(YEAR(A1195),MONTH(A1195),1),2) + 1</f>
        <v>3</v>
      </c>
      <c r="G1195" s="10"/>
      <c r="H1195" s="11" t="n">
        <v>200</v>
      </c>
      <c r="I1195" s="12" t="s">
        <v>20</v>
      </c>
      <c r="J1195" s="12" t="s">
        <v>45</v>
      </c>
      <c r="K1195" s="12"/>
      <c r="L1195" s="9" t="n">
        <f aca="false">L1194+H1195</f>
        <v>21089</v>
      </c>
      <c r="M1195" s="10" t="str">
        <f aca="false">VLOOKUP(J1195,RECATALOGANDO!A:C,2,0)</f>
        <v>VENTA DE MEDICAMENTO</v>
      </c>
      <c r="N1195" s="12" t="str">
        <f aca="false">VLOOKUP(M1195,RECATALOGANDO!B:C,2,0)</f>
        <v>VENTA DE PRODUCTO</v>
      </c>
      <c r="O1195" s="2" t="s">
        <v>39</v>
      </c>
    </row>
    <row r="1196" customFormat="false" ht="13.8" hidden="false" customHeight="false" outlineLevel="0" collapsed="false">
      <c r="A1196" s="8" t="n">
        <v>45700</v>
      </c>
      <c r="B1196" s="9" t="n">
        <f aca="false">DAY(A1196)</f>
        <v>12</v>
      </c>
      <c r="C1196" s="9" t="n">
        <f aca="false">MONTH(A1196)</f>
        <v>2</v>
      </c>
      <c r="D1196" s="9" t="n">
        <f aca="false">YEAR(A1196)</f>
        <v>2025</v>
      </c>
      <c r="E1196" s="9" t="n">
        <f aca="false">WEEKDAY(A1196,2)</f>
        <v>3</v>
      </c>
      <c r="F1196" s="10" t="n">
        <f aca="false">WEEKNUM(A1196,2) - WEEKNUM(DATE(YEAR(A1196),MONTH(A1196),1),2) + 1</f>
        <v>3</v>
      </c>
      <c r="G1196" s="10"/>
      <c r="H1196" s="11" t="n">
        <v>1000</v>
      </c>
      <c r="I1196" s="12" t="s">
        <v>20</v>
      </c>
      <c r="J1196" s="12" t="s">
        <v>45</v>
      </c>
      <c r="K1196" s="12"/>
      <c r="L1196" s="9" t="n">
        <f aca="false">L1195+H1196</f>
        <v>22089</v>
      </c>
      <c r="M1196" s="10" t="str">
        <f aca="false">VLOOKUP(J1196,RECATALOGANDO!A:C,2,0)</f>
        <v>VENTA DE MEDICAMENTO</v>
      </c>
      <c r="N1196" s="12" t="str">
        <f aca="false">VLOOKUP(M1196,RECATALOGANDO!B:C,2,0)</f>
        <v>VENTA DE PRODUCTO</v>
      </c>
      <c r="O1196" s="2" t="s">
        <v>39</v>
      </c>
    </row>
    <row r="1197" customFormat="false" ht="13.8" hidden="false" customHeight="false" outlineLevel="0" collapsed="false">
      <c r="A1197" s="8" t="n">
        <v>45702</v>
      </c>
      <c r="B1197" s="9" t="n">
        <f aca="false">DAY(A1197)</f>
        <v>14</v>
      </c>
      <c r="C1197" s="9" t="n">
        <f aca="false">MONTH(A1197)</f>
        <v>2</v>
      </c>
      <c r="D1197" s="9" t="n">
        <f aca="false">YEAR(A1197)</f>
        <v>2025</v>
      </c>
      <c r="E1197" s="9" t="n">
        <f aca="false">WEEKDAY(A1197,2)</f>
        <v>5</v>
      </c>
      <c r="F1197" s="10" t="n">
        <f aca="false">WEEKNUM(A1197,2) - WEEKNUM(DATE(YEAR(A1197),MONTH(A1197),1),2) + 1</f>
        <v>3</v>
      </c>
      <c r="G1197" s="10" t="n">
        <v>1</v>
      </c>
      <c r="H1197" s="11" t="n">
        <v>250</v>
      </c>
      <c r="I1197" s="12" t="s">
        <v>20</v>
      </c>
      <c r="J1197" s="12" t="s">
        <v>45</v>
      </c>
      <c r="K1197" s="12"/>
      <c r="L1197" s="9" t="n">
        <f aca="false">L1196+H1197</f>
        <v>22339</v>
      </c>
      <c r="M1197" s="10" t="str">
        <f aca="false">VLOOKUP(J1197,RECATALOGANDO!A:C,2,0)</f>
        <v>VENTA DE MEDICAMENTO</v>
      </c>
      <c r="N1197" s="12" t="str">
        <f aca="false">VLOOKUP(M1197,RECATALOGANDO!B:C,2,0)</f>
        <v>VENTA DE PRODUCTO</v>
      </c>
      <c r="O1197" s="2" t="s">
        <v>39</v>
      </c>
    </row>
    <row r="1198" customFormat="false" ht="13.8" hidden="false" customHeight="false" outlineLevel="0" collapsed="false">
      <c r="A1198" s="8" t="n">
        <v>45702</v>
      </c>
      <c r="B1198" s="9" t="n">
        <f aca="false">DAY(A1198)</f>
        <v>14</v>
      </c>
      <c r="C1198" s="9" t="n">
        <f aca="false">MONTH(A1198)</f>
        <v>2</v>
      </c>
      <c r="D1198" s="9" t="n">
        <f aca="false">YEAR(A1198)</f>
        <v>2025</v>
      </c>
      <c r="E1198" s="9" t="n">
        <f aca="false">WEEKDAY(A1198,2)</f>
        <v>5</v>
      </c>
      <c r="F1198" s="10" t="n">
        <f aca="false">WEEKNUM(A1198,2) - WEEKNUM(DATE(YEAR(A1198),MONTH(A1198),1),2) + 1</f>
        <v>3</v>
      </c>
      <c r="G1198" s="10" t="n">
        <v>1</v>
      </c>
      <c r="H1198" s="11" t="n">
        <v>272.64</v>
      </c>
      <c r="I1198" s="12" t="s">
        <v>15</v>
      </c>
      <c r="J1198" s="12" t="s">
        <v>51</v>
      </c>
      <c r="K1198" s="12"/>
      <c r="L1198" s="9" t="n">
        <f aca="false">L1197+H1198</f>
        <v>22611.64</v>
      </c>
      <c r="M1198" s="10" t="str">
        <f aca="false">VLOOKUP(J1198,RECATALOGANDO!A:C,2,0)</f>
        <v>VENTA DE ALIMENTO</v>
      </c>
      <c r="N1198" s="12" t="str">
        <f aca="false">VLOOKUP(M1198,RECATALOGANDO!B:C,2,0)</f>
        <v>VENTA DE PRODUCTO</v>
      </c>
      <c r="O1198" s="2" t="s">
        <v>39</v>
      </c>
    </row>
    <row r="1199" customFormat="false" ht="13.8" hidden="false" customHeight="false" outlineLevel="0" collapsed="false">
      <c r="A1199" s="8" t="n">
        <v>45702</v>
      </c>
      <c r="B1199" s="9" t="n">
        <f aca="false">DAY(A1199)</f>
        <v>14</v>
      </c>
      <c r="C1199" s="9" t="n">
        <f aca="false">MONTH(A1199)</f>
        <v>2</v>
      </c>
      <c r="D1199" s="9" t="n">
        <f aca="false">YEAR(A1199)</f>
        <v>2025</v>
      </c>
      <c r="E1199" s="9" t="n">
        <f aca="false">WEEKDAY(A1199,2)</f>
        <v>5</v>
      </c>
      <c r="F1199" s="10" t="n">
        <f aca="false">WEEKNUM(A1199,2) - WEEKNUM(DATE(YEAR(A1199),MONTH(A1199),1),2) + 1</f>
        <v>3</v>
      </c>
      <c r="G1199" s="10" t="n">
        <v>1</v>
      </c>
      <c r="H1199" s="11" t="n">
        <v>5319</v>
      </c>
      <c r="I1199" s="12" t="s">
        <v>20</v>
      </c>
      <c r="J1199" s="12" t="s">
        <v>56</v>
      </c>
      <c r="K1199" s="12"/>
      <c r="L1199" s="9" t="n">
        <f aca="false">L1198+H1199</f>
        <v>27930.64</v>
      </c>
      <c r="M1199" s="10" t="str">
        <f aca="false">VLOOKUP(J1199,RECATALOGANDO!A:C,2,0)</f>
        <v>SERVICIO DE IMAGEN</v>
      </c>
      <c r="N1199" s="12" t="str">
        <f aca="false">VLOOKUP(M1199,RECATALOGANDO!B:C,2,0)</f>
        <v>VENTA DE SERVICIO</v>
      </c>
      <c r="O1199" s="2" t="s">
        <v>39</v>
      </c>
    </row>
    <row r="1200" customFormat="false" ht="13.8" hidden="false" customHeight="false" outlineLevel="0" collapsed="false">
      <c r="A1200" s="8" t="n">
        <v>45703</v>
      </c>
      <c r="B1200" s="9" t="n">
        <f aca="false">DAY(A1200)</f>
        <v>15</v>
      </c>
      <c r="C1200" s="9" t="n">
        <f aca="false">MONTH(A1200)</f>
        <v>2</v>
      </c>
      <c r="D1200" s="9" t="n">
        <f aca="false">YEAR(A1200)</f>
        <v>2025</v>
      </c>
      <c r="E1200" s="9" t="n">
        <f aca="false">WEEKDAY(A1200,2)</f>
        <v>6</v>
      </c>
      <c r="F1200" s="10" t="n">
        <f aca="false">WEEKNUM(A1200,2) - WEEKNUM(DATE(YEAR(A1200),MONTH(A1200),1),2) + 1</f>
        <v>3</v>
      </c>
      <c r="G1200" s="10"/>
      <c r="H1200" s="11" t="n">
        <v>1505.39</v>
      </c>
      <c r="I1200" s="12" t="s">
        <v>15</v>
      </c>
      <c r="J1200" s="12" t="s">
        <v>64</v>
      </c>
      <c r="K1200" s="12"/>
      <c r="L1200" s="9" t="n">
        <f aca="false">L1199+H1200</f>
        <v>29436.03</v>
      </c>
      <c r="M1200" s="10" t="str">
        <f aca="false">VLOOKUP(J1200,RECATALOGANDO!A:C,2,0)</f>
        <v>HONORARIOS QUIRURGICOS</v>
      </c>
      <c r="N1200" s="12" t="str">
        <f aca="false">VLOOKUP(M1200,RECATALOGANDO!B:C,2,0)</f>
        <v>VENTA DE SERVICIO</v>
      </c>
      <c r="O1200" s="2" t="s">
        <v>39</v>
      </c>
    </row>
    <row r="1201" customFormat="false" ht="13.8" hidden="false" customHeight="false" outlineLevel="0" collapsed="false">
      <c r="A1201" s="8" t="n">
        <v>45705</v>
      </c>
      <c r="B1201" s="9" t="n">
        <f aca="false">DAY(A1201)</f>
        <v>17</v>
      </c>
      <c r="C1201" s="9" t="n">
        <f aca="false">MONTH(A1201)</f>
        <v>2</v>
      </c>
      <c r="D1201" s="9" t="n">
        <f aca="false">YEAR(A1201)</f>
        <v>2025</v>
      </c>
      <c r="E1201" s="9" t="n">
        <f aca="false">WEEKDAY(A1201,2)</f>
        <v>1</v>
      </c>
      <c r="F1201" s="10" t="n">
        <f aca="false">WEEKNUM(A1201,2) - WEEKNUM(DATE(YEAR(A1201),MONTH(A1201),1),2) + 1</f>
        <v>4</v>
      </c>
      <c r="G1201" s="10"/>
      <c r="H1201" s="11" t="n">
        <v>1984</v>
      </c>
      <c r="I1201" s="12" t="s">
        <v>20</v>
      </c>
      <c r="J1201" s="12" t="s">
        <v>45</v>
      </c>
      <c r="K1201" s="12"/>
      <c r="L1201" s="9" t="n">
        <f aca="false">L1200+H1201</f>
        <v>31420.03</v>
      </c>
      <c r="M1201" s="10" t="str">
        <f aca="false">VLOOKUP(J1201,RECATALOGANDO!A:C,2,0)</f>
        <v>VENTA DE MEDICAMENTO</v>
      </c>
      <c r="N1201" s="12" t="str">
        <f aca="false">VLOOKUP(M1201,RECATALOGANDO!B:C,2,0)</f>
        <v>VENTA DE PRODUCTO</v>
      </c>
      <c r="O1201" s="2" t="s">
        <v>39</v>
      </c>
    </row>
    <row r="1202" customFormat="false" ht="13.8" hidden="false" customHeight="false" outlineLevel="0" collapsed="false">
      <c r="A1202" s="8" t="n">
        <v>45705</v>
      </c>
      <c r="B1202" s="9" t="n">
        <f aca="false">DAY(A1202)</f>
        <v>17</v>
      </c>
      <c r="C1202" s="9" t="n">
        <f aca="false">MONTH(A1202)</f>
        <v>2</v>
      </c>
      <c r="D1202" s="9" t="n">
        <f aca="false">YEAR(A1202)</f>
        <v>2025</v>
      </c>
      <c r="E1202" s="9" t="n">
        <f aca="false">WEEKDAY(A1202,2)</f>
        <v>1</v>
      </c>
      <c r="F1202" s="10" t="n">
        <f aca="false">WEEKNUM(A1202,2) - WEEKNUM(DATE(YEAR(A1202),MONTH(A1202),1),2) + 1</f>
        <v>4</v>
      </c>
      <c r="G1202" s="10"/>
      <c r="H1202" s="11" t="n">
        <v>2275</v>
      </c>
      <c r="I1202" s="12" t="s">
        <v>20</v>
      </c>
      <c r="J1202" s="12" t="s">
        <v>51</v>
      </c>
      <c r="K1202" s="12"/>
      <c r="L1202" s="9" t="n">
        <f aca="false">L1201+H1202</f>
        <v>33695.03</v>
      </c>
      <c r="M1202" s="10" t="str">
        <f aca="false">VLOOKUP(J1202,RECATALOGANDO!A:C,2,0)</f>
        <v>VENTA DE ALIMENTO</v>
      </c>
      <c r="N1202" s="12" t="str">
        <f aca="false">VLOOKUP(M1202,RECATALOGANDO!B:C,2,0)</f>
        <v>VENTA DE PRODUCTO</v>
      </c>
      <c r="O1202" s="2" t="s">
        <v>39</v>
      </c>
    </row>
    <row r="1203" customFormat="false" ht="13.8" hidden="false" customHeight="false" outlineLevel="0" collapsed="false">
      <c r="A1203" s="8" t="n">
        <v>45707</v>
      </c>
      <c r="B1203" s="9" t="n">
        <f aca="false">DAY(A1203)</f>
        <v>19</v>
      </c>
      <c r="C1203" s="9" t="n">
        <f aca="false">MONTH(A1203)</f>
        <v>2</v>
      </c>
      <c r="D1203" s="9" t="n">
        <f aca="false">YEAR(A1203)</f>
        <v>2025</v>
      </c>
      <c r="E1203" s="9" t="n">
        <f aca="false">WEEKDAY(A1203,2)</f>
        <v>3</v>
      </c>
      <c r="F1203" s="10" t="n">
        <f aca="false">WEEKNUM(A1203,2) - WEEKNUM(DATE(YEAR(A1203),MONTH(A1203),1),2) + 1</f>
        <v>4</v>
      </c>
      <c r="G1203" s="10"/>
      <c r="H1203" s="11" t="n">
        <v>389</v>
      </c>
      <c r="I1203" s="12" t="s">
        <v>20</v>
      </c>
      <c r="J1203" s="12" t="s">
        <v>51</v>
      </c>
      <c r="K1203" s="12"/>
      <c r="L1203" s="9" t="n">
        <f aca="false">L1202+H1203</f>
        <v>34084.03</v>
      </c>
      <c r="M1203" s="10" t="str">
        <f aca="false">VLOOKUP(J1203,RECATALOGANDO!A:C,2,0)</f>
        <v>VENTA DE ALIMENTO</v>
      </c>
      <c r="N1203" s="12" t="str">
        <f aca="false">VLOOKUP(M1203,RECATALOGANDO!B:C,2,0)</f>
        <v>VENTA DE PRODUCTO</v>
      </c>
      <c r="O1203" s="2" t="s">
        <v>39</v>
      </c>
    </row>
    <row r="1204" customFormat="false" ht="13.8" hidden="false" customHeight="false" outlineLevel="0" collapsed="false">
      <c r="A1204" s="8" t="n">
        <v>45707</v>
      </c>
      <c r="B1204" s="9" t="n">
        <f aca="false">DAY(A1204)</f>
        <v>19</v>
      </c>
      <c r="C1204" s="9" t="n">
        <f aca="false">MONTH(A1204)</f>
        <v>2</v>
      </c>
      <c r="D1204" s="9" t="n">
        <f aca="false">YEAR(A1204)</f>
        <v>2025</v>
      </c>
      <c r="E1204" s="9" t="n">
        <f aca="false">WEEKDAY(A1204,2)</f>
        <v>3</v>
      </c>
      <c r="F1204" s="10" t="n">
        <f aca="false">WEEKNUM(A1204,2) - WEEKNUM(DATE(YEAR(A1204),MONTH(A1204),1),2) + 1</f>
        <v>4</v>
      </c>
      <c r="G1204" s="10"/>
      <c r="H1204" s="11" t="n">
        <v>1031</v>
      </c>
      <c r="I1204" s="12" t="s">
        <v>20</v>
      </c>
      <c r="J1204" s="12" t="s">
        <v>45</v>
      </c>
      <c r="K1204" s="12"/>
      <c r="L1204" s="9" t="n">
        <f aca="false">L1203+H1204</f>
        <v>35115.03</v>
      </c>
      <c r="M1204" s="10" t="str">
        <f aca="false">VLOOKUP(J1204,RECATALOGANDO!A:C,2,0)</f>
        <v>VENTA DE MEDICAMENTO</v>
      </c>
      <c r="N1204" s="12" t="str">
        <f aca="false">VLOOKUP(M1204,RECATALOGANDO!B:C,2,0)</f>
        <v>VENTA DE PRODUCTO</v>
      </c>
      <c r="O1204" s="2" t="s">
        <v>39</v>
      </c>
    </row>
    <row r="1205" customFormat="false" ht="13.8" hidden="false" customHeight="false" outlineLevel="0" collapsed="false">
      <c r="A1205" s="8" t="n">
        <v>45709</v>
      </c>
      <c r="B1205" s="9" t="n">
        <f aca="false">DAY(A1205)</f>
        <v>21</v>
      </c>
      <c r="C1205" s="9" t="n">
        <f aca="false">MONTH(A1205)</f>
        <v>2</v>
      </c>
      <c r="D1205" s="9" t="n">
        <f aca="false">YEAR(A1205)</f>
        <v>2025</v>
      </c>
      <c r="E1205" s="9" t="n">
        <f aca="false">WEEKDAY(A1205,2)</f>
        <v>5</v>
      </c>
      <c r="F1205" s="10" t="n">
        <f aca="false">WEEKNUM(A1205,2) - WEEKNUM(DATE(YEAR(A1205),MONTH(A1205),1),2) + 1</f>
        <v>4</v>
      </c>
      <c r="G1205" s="10"/>
      <c r="H1205" s="11" t="n">
        <v>590</v>
      </c>
      <c r="I1205" s="12" t="s">
        <v>15</v>
      </c>
      <c r="J1205" s="12" t="s">
        <v>45</v>
      </c>
      <c r="K1205" s="12"/>
      <c r="L1205" s="9" t="n">
        <f aca="false">L1204+H1205</f>
        <v>35705.03</v>
      </c>
      <c r="M1205" s="10" t="str">
        <f aca="false">VLOOKUP(J1205,RECATALOGANDO!A:C,2,0)</f>
        <v>VENTA DE MEDICAMENTO</v>
      </c>
      <c r="N1205" s="12" t="str">
        <f aca="false">VLOOKUP(M1205,RECATALOGANDO!B:C,2,0)</f>
        <v>VENTA DE PRODUCTO</v>
      </c>
      <c r="O1205" s="2" t="s">
        <v>39</v>
      </c>
    </row>
    <row r="1206" customFormat="false" ht="13.8" hidden="false" customHeight="false" outlineLevel="0" collapsed="false">
      <c r="A1206" s="8" t="n">
        <v>45709</v>
      </c>
      <c r="B1206" s="9" t="n">
        <f aca="false">DAY(A1206)</f>
        <v>21</v>
      </c>
      <c r="C1206" s="9" t="n">
        <f aca="false">MONTH(A1206)</f>
        <v>2</v>
      </c>
      <c r="D1206" s="9" t="n">
        <f aca="false">YEAR(A1206)</f>
        <v>2025</v>
      </c>
      <c r="E1206" s="9" t="n">
        <f aca="false">WEEKDAY(A1206,2)</f>
        <v>5</v>
      </c>
      <c r="F1206" s="10" t="n">
        <f aca="false">WEEKNUM(A1206,2) - WEEKNUM(DATE(YEAR(A1206),MONTH(A1206),1),2) + 1</f>
        <v>4</v>
      </c>
      <c r="G1206" s="10"/>
      <c r="H1206" s="11" t="n">
        <v>300</v>
      </c>
      <c r="I1206" s="12" t="s">
        <v>15</v>
      </c>
      <c r="J1206" s="12" t="s">
        <v>49</v>
      </c>
      <c r="K1206" s="12"/>
      <c r="L1206" s="9" t="n">
        <f aca="false">L1205+H1206</f>
        <v>36005.03</v>
      </c>
      <c r="M1206" s="10" t="str">
        <f aca="false">VLOOKUP(J1206,RECATALOGANDO!A:C,2,0)</f>
        <v>SERVICIO DE GROOMING</v>
      </c>
      <c r="N1206" s="12" t="str">
        <f aca="false">VLOOKUP(M1206,RECATALOGANDO!B:C,2,0)</f>
        <v>VENTA DE SERVICIO</v>
      </c>
      <c r="O1206" s="2" t="s">
        <v>39</v>
      </c>
    </row>
    <row r="1207" customFormat="false" ht="13.8" hidden="false" customHeight="false" outlineLevel="0" collapsed="false">
      <c r="A1207" s="8" t="n">
        <v>45709</v>
      </c>
      <c r="B1207" s="9" t="n">
        <f aca="false">DAY(A1207)</f>
        <v>21</v>
      </c>
      <c r="C1207" s="9" t="n">
        <f aca="false">MONTH(A1207)</f>
        <v>2</v>
      </c>
      <c r="D1207" s="9" t="n">
        <f aca="false">YEAR(A1207)</f>
        <v>2025</v>
      </c>
      <c r="E1207" s="9" t="n">
        <f aca="false">WEEKDAY(A1207,2)</f>
        <v>5</v>
      </c>
      <c r="F1207" s="10" t="n">
        <f aca="false">WEEKNUM(A1207,2) - WEEKNUM(DATE(YEAR(A1207),MONTH(A1207),1),2) + 1</f>
        <v>4</v>
      </c>
      <c r="G1207" s="10"/>
      <c r="H1207" s="11" t="n">
        <v>650</v>
      </c>
      <c r="I1207" s="12" t="s">
        <v>20</v>
      </c>
      <c r="J1207" s="12" t="s">
        <v>44</v>
      </c>
      <c r="K1207" s="12"/>
      <c r="L1207" s="9" t="n">
        <f aca="false">L1206+H1207</f>
        <v>36655.03</v>
      </c>
      <c r="M1207" s="10" t="str">
        <f aca="false">VLOOKUP(J1207,RECATALOGANDO!A:C,2,0)</f>
        <v>HONORARIOS MEDICOS</v>
      </c>
      <c r="N1207" s="12" t="str">
        <f aca="false">VLOOKUP(M1207,RECATALOGANDO!B:C,2,0)</f>
        <v>VENTA DE SERVICIO</v>
      </c>
      <c r="O1207" s="2" t="s">
        <v>39</v>
      </c>
    </row>
    <row r="1208" customFormat="false" ht="13.8" hidden="false" customHeight="false" outlineLevel="0" collapsed="false">
      <c r="A1208" s="8" t="n">
        <v>45711</v>
      </c>
      <c r="B1208" s="9" t="n">
        <f aca="false">DAY(A1208)</f>
        <v>23</v>
      </c>
      <c r="C1208" s="9" t="n">
        <f aca="false">MONTH(A1208)</f>
        <v>2</v>
      </c>
      <c r="D1208" s="9" t="n">
        <f aca="false">YEAR(A1208)</f>
        <v>2025</v>
      </c>
      <c r="E1208" s="9" t="n">
        <f aca="false">WEEKDAY(A1208,2)</f>
        <v>7</v>
      </c>
      <c r="F1208" s="10" t="n">
        <f aca="false">WEEKNUM(A1208,2) - WEEKNUM(DATE(YEAR(A1208),MONTH(A1208),1),2) + 1</f>
        <v>4</v>
      </c>
      <c r="G1208" s="10"/>
      <c r="H1208" s="11" t="n">
        <v>8215.32</v>
      </c>
      <c r="I1208" s="12" t="s">
        <v>15</v>
      </c>
      <c r="J1208" s="12" t="s">
        <v>44</v>
      </c>
      <c r="K1208" s="12"/>
      <c r="L1208" s="9" t="n">
        <f aca="false">L1207+H1208</f>
        <v>44870.35</v>
      </c>
      <c r="M1208" s="10" t="str">
        <f aca="false">VLOOKUP(J1208,RECATALOGANDO!A:C,2,0)</f>
        <v>HONORARIOS MEDICOS</v>
      </c>
      <c r="N1208" s="12" t="str">
        <f aca="false">VLOOKUP(M1208,RECATALOGANDO!B:C,2,0)</f>
        <v>VENTA DE SERVICIO</v>
      </c>
      <c r="O1208" s="2" t="s">
        <v>39</v>
      </c>
    </row>
    <row r="1209" customFormat="false" ht="13.8" hidden="false" customHeight="false" outlineLevel="0" collapsed="false">
      <c r="A1209" s="8" t="n">
        <v>45712</v>
      </c>
      <c r="B1209" s="9" t="n">
        <f aca="false">DAY(A1209)</f>
        <v>24</v>
      </c>
      <c r="C1209" s="9" t="n">
        <f aca="false">MONTH(A1209)</f>
        <v>2</v>
      </c>
      <c r="D1209" s="9" t="n">
        <f aca="false">YEAR(A1209)</f>
        <v>2025</v>
      </c>
      <c r="E1209" s="9" t="n">
        <f aca="false">WEEKDAY(A1209,2)</f>
        <v>1</v>
      </c>
      <c r="F1209" s="10" t="n">
        <f aca="false">WEEKNUM(A1209,2) - WEEKNUM(DATE(YEAR(A1209),MONTH(A1209),1),2) + 1</f>
        <v>5</v>
      </c>
      <c r="G1209" s="10"/>
      <c r="H1209" s="11" t="n">
        <v>982.2</v>
      </c>
      <c r="I1209" s="12" t="s">
        <v>15</v>
      </c>
      <c r="J1209" s="12" t="s">
        <v>45</v>
      </c>
      <c r="K1209" s="12"/>
      <c r="L1209" s="9" t="n">
        <f aca="false">L1208+H1209</f>
        <v>45852.55</v>
      </c>
      <c r="M1209" s="10" t="str">
        <f aca="false">VLOOKUP(J1209,RECATALOGANDO!A:C,2,0)</f>
        <v>VENTA DE MEDICAMENTO</v>
      </c>
      <c r="N1209" s="12" t="str">
        <f aca="false">VLOOKUP(M1209,RECATALOGANDO!B:C,2,0)</f>
        <v>VENTA DE PRODUCTO</v>
      </c>
      <c r="O1209" s="2" t="s">
        <v>39</v>
      </c>
    </row>
    <row r="1210" customFormat="false" ht="13.8" hidden="false" customHeight="false" outlineLevel="0" collapsed="false">
      <c r="A1210" s="8" t="n">
        <v>45712</v>
      </c>
      <c r="B1210" s="9" t="n">
        <f aca="false">DAY(A1210)</f>
        <v>24</v>
      </c>
      <c r="C1210" s="9" t="n">
        <f aca="false">MONTH(A1210)</f>
        <v>2</v>
      </c>
      <c r="D1210" s="9" t="n">
        <f aca="false">YEAR(A1210)</f>
        <v>2025</v>
      </c>
      <c r="E1210" s="9" t="n">
        <f aca="false">WEEKDAY(A1210,2)</f>
        <v>1</v>
      </c>
      <c r="F1210" s="10" t="n">
        <f aca="false">WEEKNUM(A1210,2) - WEEKNUM(DATE(YEAR(A1210),MONTH(A1210),1),2) + 1</f>
        <v>5</v>
      </c>
      <c r="G1210" s="10"/>
      <c r="H1210" s="11" t="n">
        <v>220</v>
      </c>
      <c r="I1210" s="12" t="s">
        <v>20</v>
      </c>
      <c r="J1210" s="12" t="s">
        <v>49</v>
      </c>
      <c r="K1210" s="12"/>
      <c r="L1210" s="9" t="n">
        <f aca="false">L1209+H1210</f>
        <v>46072.55</v>
      </c>
      <c r="M1210" s="10" t="str">
        <f aca="false">VLOOKUP(J1210,RECATALOGANDO!A:C,2,0)</f>
        <v>SERVICIO DE GROOMING</v>
      </c>
      <c r="N1210" s="12" t="str">
        <f aca="false">VLOOKUP(M1210,RECATALOGANDO!B:C,2,0)</f>
        <v>VENTA DE SERVICIO</v>
      </c>
      <c r="O1210" s="2" t="s">
        <v>39</v>
      </c>
    </row>
    <row r="1211" customFormat="false" ht="13.8" hidden="false" customHeight="false" outlineLevel="0" collapsed="false">
      <c r="A1211" s="8" t="n">
        <v>45712</v>
      </c>
      <c r="B1211" s="9" t="n">
        <f aca="false">DAY(A1211)</f>
        <v>24</v>
      </c>
      <c r="C1211" s="9" t="n">
        <f aca="false">MONTH(A1211)</f>
        <v>2</v>
      </c>
      <c r="D1211" s="9" t="n">
        <f aca="false">YEAR(A1211)</f>
        <v>2025</v>
      </c>
      <c r="E1211" s="9" t="n">
        <f aca="false">WEEKDAY(A1211,2)</f>
        <v>1</v>
      </c>
      <c r="F1211" s="10" t="n">
        <f aca="false">WEEKNUM(A1211,2) - WEEKNUM(DATE(YEAR(A1211),MONTH(A1211),1),2) + 1</f>
        <v>5</v>
      </c>
      <c r="G1211" s="10"/>
      <c r="H1211" s="11" t="n">
        <v>360</v>
      </c>
      <c r="I1211" s="12" t="s">
        <v>20</v>
      </c>
      <c r="J1211" s="12" t="s">
        <v>49</v>
      </c>
      <c r="K1211" s="12"/>
      <c r="L1211" s="9" t="n">
        <f aca="false">L1210+H1211</f>
        <v>46432.55</v>
      </c>
      <c r="M1211" s="10" t="str">
        <f aca="false">VLOOKUP(J1211,RECATALOGANDO!A:C,2,0)</f>
        <v>SERVICIO DE GROOMING</v>
      </c>
      <c r="N1211" s="12" t="str">
        <f aca="false">VLOOKUP(M1211,RECATALOGANDO!B:C,2,0)</f>
        <v>VENTA DE SERVICIO</v>
      </c>
      <c r="O1211" s="2" t="s">
        <v>39</v>
      </c>
    </row>
    <row r="1212" customFormat="false" ht="13.8" hidden="false" customHeight="false" outlineLevel="0" collapsed="false">
      <c r="A1212" s="8" t="n">
        <v>45712</v>
      </c>
      <c r="B1212" s="9" t="n">
        <f aca="false">DAY(A1212)</f>
        <v>24</v>
      </c>
      <c r="C1212" s="9" t="n">
        <f aca="false">MONTH(A1212)</f>
        <v>2</v>
      </c>
      <c r="D1212" s="9" t="n">
        <f aca="false">YEAR(A1212)</f>
        <v>2025</v>
      </c>
      <c r="E1212" s="9" t="n">
        <f aca="false">WEEKDAY(A1212,2)</f>
        <v>1</v>
      </c>
      <c r="F1212" s="10" t="n">
        <f aca="false">WEEKNUM(A1212,2) - WEEKNUM(DATE(YEAR(A1212),MONTH(A1212),1),2) + 1</f>
        <v>5</v>
      </c>
      <c r="G1212" s="10"/>
      <c r="H1212" s="11" t="n">
        <v>4500</v>
      </c>
      <c r="I1212" s="12" t="s">
        <v>20</v>
      </c>
      <c r="J1212" s="12" t="s">
        <v>64</v>
      </c>
      <c r="K1212" s="12"/>
      <c r="L1212" s="9" t="n">
        <f aca="false">L1211+H1212</f>
        <v>50932.55</v>
      </c>
      <c r="M1212" s="10" t="str">
        <f aca="false">VLOOKUP(J1212,RECATALOGANDO!A:C,2,0)</f>
        <v>HONORARIOS QUIRURGICOS</v>
      </c>
      <c r="N1212" s="12" t="str">
        <f aca="false">VLOOKUP(M1212,RECATALOGANDO!B:C,2,0)</f>
        <v>VENTA DE SERVICIO</v>
      </c>
      <c r="O1212" s="2" t="s">
        <v>39</v>
      </c>
    </row>
    <row r="1213" customFormat="false" ht="13.8" hidden="false" customHeight="false" outlineLevel="0" collapsed="false">
      <c r="A1213" s="8" t="n">
        <v>45713</v>
      </c>
      <c r="B1213" s="9" t="n">
        <f aca="false">DAY(A1213)</f>
        <v>25</v>
      </c>
      <c r="C1213" s="9" t="n">
        <f aca="false">MONTH(A1213)</f>
        <v>2</v>
      </c>
      <c r="D1213" s="9" t="n">
        <f aca="false">YEAR(A1213)</f>
        <v>2025</v>
      </c>
      <c r="E1213" s="9" t="n">
        <f aca="false">WEEKDAY(A1213,2)</f>
        <v>2</v>
      </c>
      <c r="F1213" s="10" t="n">
        <f aca="false">WEEKNUM(A1213,2) - WEEKNUM(DATE(YEAR(A1213),MONTH(A1213),1),2) + 1</f>
        <v>5</v>
      </c>
      <c r="G1213" s="10"/>
      <c r="H1213" s="11" t="n">
        <v>1580</v>
      </c>
      <c r="I1213" s="12" t="s">
        <v>20</v>
      </c>
      <c r="J1213" s="12" t="s">
        <v>45</v>
      </c>
      <c r="K1213" s="12"/>
      <c r="L1213" s="9" t="n">
        <f aca="false">L1212+H1213</f>
        <v>52512.55</v>
      </c>
      <c r="M1213" s="10" t="str">
        <f aca="false">VLOOKUP(J1213,RECATALOGANDO!A:C,2,0)</f>
        <v>VENTA DE MEDICAMENTO</v>
      </c>
      <c r="N1213" s="12" t="str">
        <f aca="false">VLOOKUP(M1213,RECATALOGANDO!B:C,2,0)</f>
        <v>VENTA DE PRODUCTO</v>
      </c>
      <c r="O1213" s="2" t="s">
        <v>39</v>
      </c>
    </row>
    <row r="1214" customFormat="false" ht="13.8" hidden="false" customHeight="false" outlineLevel="0" collapsed="false">
      <c r="A1214" s="8" t="n">
        <v>45715</v>
      </c>
      <c r="B1214" s="9" t="n">
        <f aca="false">DAY(A1214)</f>
        <v>27</v>
      </c>
      <c r="C1214" s="9" t="n">
        <f aca="false">MONTH(A1214)</f>
        <v>2</v>
      </c>
      <c r="D1214" s="9" t="n">
        <f aca="false">YEAR(A1214)</f>
        <v>2025</v>
      </c>
      <c r="E1214" s="9" t="n">
        <f aca="false">WEEKDAY(A1214,2)</f>
        <v>4</v>
      </c>
      <c r="F1214" s="10" t="n">
        <f aca="false">WEEKNUM(A1214,2) - WEEKNUM(DATE(YEAR(A1214),MONTH(A1214),1),2) + 1</f>
        <v>5</v>
      </c>
      <c r="G1214" s="10"/>
      <c r="H1214" s="11" t="n">
        <v>1795.75</v>
      </c>
      <c r="I1214" s="12" t="s">
        <v>15</v>
      </c>
      <c r="J1214" s="12" t="s">
        <v>59</v>
      </c>
      <c r="K1214" s="12"/>
      <c r="L1214" s="9" t="n">
        <f aca="false">L1213+H1214</f>
        <v>54308.3</v>
      </c>
      <c r="M1214" s="10" t="str">
        <f aca="false">VLOOKUP(J1214,RECATALOGANDO!A:C,2,0)</f>
        <v>SERVICIO DE PENSION</v>
      </c>
      <c r="N1214" s="12" t="str">
        <f aca="false">VLOOKUP(M1214,RECATALOGANDO!B:C,2,0)</f>
        <v>VENTA DE SERVICIO</v>
      </c>
      <c r="O1214" s="2" t="s">
        <v>39</v>
      </c>
    </row>
    <row r="1215" customFormat="false" ht="13.8" hidden="false" customHeight="false" outlineLevel="0" collapsed="false">
      <c r="A1215" s="8" t="n">
        <v>45719</v>
      </c>
      <c r="B1215" s="9" t="n">
        <f aca="false">DAY(A1215)</f>
        <v>3</v>
      </c>
      <c r="C1215" s="9" t="n">
        <f aca="false">MONTH(A1215)</f>
        <v>3</v>
      </c>
      <c r="D1215" s="9" t="n">
        <f aca="false">YEAR(A1215)</f>
        <v>2025</v>
      </c>
      <c r="E1215" s="9" t="n">
        <f aca="false">WEEKDAY(A1215,2)</f>
        <v>1</v>
      </c>
      <c r="F1215" s="10" t="n">
        <f aca="false">WEEKNUM(A1215,2) - WEEKNUM(DATE(YEAR(A1215),MONTH(A1215),1),2) + 1</f>
        <v>2</v>
      </c>
      <c r="G1215" s="10"/>
      <c r="H1215" s="11" t="n">
        <v>1100</v>
      </c>
      <c r="I1215" s="12" t="s">
        <v>20</v>
      </c>
      <c r="J1215" s="12" t="s">
        <v>44</v>
      </c>
      <c r="K1215" s="12"/>
      <c r="L1215" s="9" t="n">
        <f aca="false">H1215</f>
        <v>1100</v>
      </c>
      <c r="M1215" s="10" t="str">
        <f aca="false">VLOOKUP(J1215,RECATALOGANDO!A:C,2,0)</f>
        <v>HONORARIOS MEDICOS</v>
      </c>
      <c r="N1215" s="12" t="str">
        <f aca="false">VLOOKUP(M1215,RECATALOGANDO!B:C,2,0)</f>
        <v>VENTA DE SERVICIO</v>
      </c>
      <c r="O1215" s="2" t="s">
        <v>39</v>
      </c>
    </row>
    <row r="1216" customFormat="false" ht="13.8" hidden="false" customHeight="false" outlineLevel="0" collapsed="false">
      <c r="A1216" s="8" t="n">
        <v>45720</v>
      </c>
      <c r="B1216" s="9" t="n">
        <f aca="false">DAY(A1216)</f>
        <v>4</v>
      </c>
      <c r="C1216" s="9" t="n">
        <f aca="false">MONTH(A1216)</f>
        <v>3</v>
      </c>
      <c r="D1216" s="9" t="n">
        <f aca="false">YEAR(A1216)</f>
        <v>2025</v>
      </c>
      <c r="E1216" s="9" t="n">
        <f aca="false">WEEKDAY(A1216,2)</f>
        <v>2</v>
      </c>
      <c r="F1216" s="10" t="n">
        <f aca="false">WEEKNUM(A1216,2) - WEEKNUM(DATE(YEAR(A1216),MONTH(A1216),1),2) + 1</f>
        <v>2</v>
      </c>
      <c r="G1216" s="10"/>
      <c r="H1216" s="11" t="n">
        <v>3834.87</v>
      </c>
      <c r="I1216" s="12" t="s">
        <v>15</v>
      </c>
      <c r="J1216" s="12" t="s">
        <v>55</v>
      </c>
      <c r="K1216" s="12"/>
      <c r="L1216" s="9" t="n">
        <f aca="false">L1215+H1216</f>
        <v>4934.87</v>
      </c>
      <c r="M1216" s="10" t="str">
        <f aca="false">VLOOKUP(J1216,RECATALOGANDO!A:C,2,0)</f>
        <v>VENTA DE MEDICAMENTO</v>
      </c>
      <c r="N1216" s="12" t="str">
        <f aca="false">VLOOKUP(M1216,RECATALOGANDO!B:C,2,0)</f>
        <v>VENTA DE PRODUCTO</v>
      </c>
      <c r="O1216" s="2" t="s">
        <v>39</v>
      </c>
    </row>
    <row r="1217" customFormat="false" ht="13.8" hidden="false" customHeight="false" outlineLevel="0" collapsed="false">
      <c r="A1217" s="8" t="n">
        <v>45721</v>
      </c>
      <c r="B1217" s="9" t="n">
        <f aca="false">DAY(A1217)</f>
        <v>5</v>
      </c>
      <c r="C1217" s="9" t="n">
        <f aca="false">MONTH(A1217)</f>
        <v>3</v>
      </c>
      <c r="D1217" s="9" t="n">
        <f aca="false">YEAR(A1217)</f>
        <v>2025</v>
      </c>
      <c r="E1217" s="9" t="n">
        <f aca="false">WEEKDAY(A1217,2)</f>
        <v>3</v>
      </c>
      <c r="F1217" s="10" t="n">
        <f aca="false">WEEKNUM(A1217,2) - WEEKNUM(DATE(YEAR(A1217),MONTH(A1217),1),2) + 1</f>
        <v>2</v>
      </c>
      <c r="G1217" s="10"/>
      <c r="H1217" s="11" t="n">
        <v>1200.67</v>
      </c>
      <c r="I1217" s="12" t="s">
        <v>15</v>
      </c>
      <c r="J1217" s="12" t="s">
        <v>73</v>
      </c>
      <c r="K1217" s="12"/>
      <c r="L1217" s="9" t="n">
        <f aca="false">L1216+H1217</f>
        <v>6135.54</v>
      </c>
      <c r="M1217" s="10" t="str">
        <f aca="false">VLOOKUP(J1217,RECATALOGANDO!A:C,2,0)</f>
        <v>VENTA DE MEDICAMENTO</v>
      </c>
      <c r="N1217" s="12" t="str">
        <f aca="false">VLOOKUP(M1217,RECATALOGANDO!B:C,2,0)</f>
        <v>VENTA DE PRODUCTO</v>
      </c>
      <c r="O1217" s="2" t="s">
        <v>39</v>
      </c>
    </row>
    <row r="1218" customFormat="false" ht="13.8" hidden="false" customHeight="false" outlineLevel="0" collapsed="false">
      <c r="A1218" s="8" t="n">
        <v>45721</v>
      </c>
      <c r="B1218" s="9" t="n">
        <f aca="false">DAY(A1218)</f>
        <v>5</v>
      </c>
      <c r="C1218" s="9" t="n">
        <f aca="false">MONTH(A1218)</f>
        <v>3</v>
      </c>
      <c r="D1218" s="9" t="n">
        <f aca="false">YEAR(A1218)</f>
        <v>2025</v>
      </c>
      <c r="E1218" s="9" t="n">
        <f aca="false">WEEKDAY(A1218,2)</f>
        <v>3</v>
      </c>
      <c r="F1218" s="10" t="n">
        <f aca="false">WEEKNUM(A1218,2) - WEEKNUM(DATE(YEAR(A1218),MONTH(A1218),1),2) + 1</f>
        <v>2</v>
      </c>
      <c r="G1218" s="10"/>
      <c r="H1218" s="11" t="n">
        <v>1256</v>
      </c>
      <c r="I1218" s="12" t="s">
        <v>20</v>
      </c>
      <c r="J1218" s="12" t="s">
        <v>74</v>
      </c>
      <c r="K1218" s="12"/>
      <c r="L1218" s="9" t="n">
        <f aca="false">L1217+H1218</f>
        <v>7391.54</v>
      </c>
      <c r="M1218" s="10" t="str">
        <f aca="false">VLOOKUP(J1218,RECATALOGANDO!A:C,2,0)</f>
        <v>VENTA DE ALIMENTO</v>
      </c>
      <c r="N1218" s="12" t="str">
        <f aca="false">VLOOKUP(M1218,RECATALOGANDO!B:C,2,0)</f>
        <v>VENTA DE PRODUCTO</v>
      </c>
      <c r="O1218" s="2" t="s">
        <v>39</v>
      </c>
    </row>
    <row r="1219" customFormat="false" ht="13.8" hidden="false" customHeight="false" outlineLevel="0" collapsed="false">
      <c r="A1219" s="8" t="n">
        <v>45721</v>
      </c>
      <c r="B1219" s="9" t="n">
        <f aca="false">DAY(A1219)</f>
        <v>5</v>
      </c>
      <c r="C1219" s="9" t="n">
        <f aca="false">MONTH(A1219)</f>
        <v>3</v>
      </c>
      <c r="D1219" s="9" t="n">
        <f aca="false">YEAR(A1219)</f>
        <v>2025</v>
      </c>
      <c r="E1219" s="9" t="n">
        <f aca="false">WEEKDAY(A1219,2)</f>
        <v>3</v>
      </c>
      <c r="F1219" s="10" t="n">
        <f aca="false">WEEKNUM(A1219,2) - WEEKNUM(DATE(YEAR(A1219),MONTH(A1219),1),2) + 1</f>
        <v>2</v>
      </c>
      <c r="G1219" s="10"/>
      <c r="H1219" s="11" t="n">
        <v>180</v>
      </c>
      <c r="I1219" s="12" t="s">
        <v>15</v>
      </c>
      <c r="J1219" s="12" t="s">
        <v>49</v>
      </c>
      <c r="K1219" s="12"/>
      <c r="L1219" s="9" t="n">
        <f aca="false">L1218+H1219</f>
        <v>7571.54</v>
      </c>
      <c r="M1219" s="10" t="str">
        <f aca="false">VLOOKUP(J1219,RECATALOGANDO!A:C,2,0)</f>
        <v>SERVICIO DE GROOMING</v>
      </c>
      <c r="N1219" s="12" t="str">
        <f aca="false">VLOOKUP(M1219,RECATALOGANDO!B:C,2,0)</f>
        <v>VENTA DE SERVICIO</v>
      </c>
      <c r="O1219" s="2" t="s">
        <v>39</v>
      </c>
    </row>
    <row r="1220" customFormat="false" ht="13.8" hidden="false" customHeight="false" outlineLevel="0" collapsed="false">
      <c r="A1220" s="8" t="n">
        <v>45721</v>
      </c>
      <c r="B1220" s="9" t="n">
        <f aca="false">DAY(A1220)</f>
        <v>5</v>
      </c>
      <c r="C1220" s="9" t="n">
        <f aca="false">MONTH(A1220)</f>
        <v>3</v>
      </c>
      <c r="D1220" s="9" t="n">
        <f aca="false">YEAR(A1220)</f>
        <v>2025</v>
      </c>
      <c r="E1220" s="9" t="n">
        <f aca="false">WEEKDAY(A1220,2)</f>
        <v>3</v>
      </c>
      <c r="F1220" s="10" t="n">
        <f aca="false">WEEKNUM(A1220,2) - WEEKNUM(DATE(YEAR(A1220),MONTH(A1220),1),2) + 1</f>
        <v>2</v>
      </c>
      <c r="G1220" s="10"/>
      <c r="H1220" s="11" t="n">
        <v>2080</v>
      </c>
      <c r="I1220" s="12" t="s">
        <v>15</v>
      </c>
      <c r="J1220" s="12" t="s">
        <v>54</v>
      </c>
      <c r="K1220" s="12"/>
      <c r="L1220" s="9" t="n">
        <f aca="false">L1219+H1220</f>
        <v>9651.54</v>
      </c>
      <c r="M1220" s="10" t="str">
        <f aca="false">VLOOKUP(J1220,RECATALOGANDO!A:C,2,0)</f>
        <v>SERVICIO DE LABORATORIO</v>
      </c>
      <c r="N1220" s="12" t="str">
        <f aca="false">VLOOKUP(M1220,RECATALOGANDO!B:C,2,0)</f>
        <v>VENTA DE SERVICIO</v>
      </c>
      <c r="O1220" s="2" t="s">
        <v>39</v>
      </c>
    </row>
    <row r="1221" customFormat="false" ht="13.8" hidden="false" customHeight="false" outlineLevel="0" collapsed="false">
      <c r="A1221" s="8" t="n">
        <v>45722</v>
      </c>
      <c r="B1221" s="9" t="n">
        <f aca="false">DAY(A1221)</f>
        <v>6</v>
      </c>
      <c r="C1221" s="9" t="n">
        <f aca="false">MONTH(A1221)</f>
        <v>3</v>
      </c>
      <c r="D1221" s="9" t="n">
        <f aca="false">YEAR(A1221)</f>
        <v>2025</v>
      </c>
      <c r="E1221" s="9" t="n">
        <f aca="false">WEEKDAY(A1221,2)</f>
        <v>4</v>
      </c>
      <c r="F1221" s="10" t="n">
        <f aca="false">WEEKNUM(A1221,2) - WEEKNUM(DATE(YEAR(A1221),MONTH(A1221),1),2) + 1</f>
        <v>2</v>
      </c>
      <c r="G1221" s="10"/>
      <c r="H1221" s="11" t="n">
        <v>389</v>
      </c>
      <c r="I1221" s="12" t="s">
        <v>20</v>
      </c>
      <c r="J1221" s="12" t="s">
        <v>51</v>
      </c>
      <c r="K1221" s="12"/>
      <c r="L1221" s="9" t="n">
        <f aca="false">L1220+H1221</f>
        <v>10040.54</v>
      </c>
      <c r="M1221" s="10" t="str">
        <f aca="false">VLOOKUP(J1221,RECATALOGANDO!A:C,2,0)</f>
        <v>VENTA DE ALIMENTO</v>
      </c>
      <c r="N1221" s="12" t="str">
        <f aca="false">VLOOKUP(M1221,RECATALOGANDO!B:C,2,0)</f>
        <v>VENTA DE PRODUCTO</v>
      </c>
      <c r="O1221" s="2" t="s">
        <v>39</v>
      </c>
    </row>
    <row r="1222" customFormat="false" ht="13.8" hidden="false" customHeight="false" outlineLevel="0" collapsed="false">
      <c r="A1222" s="8" t="n">
        <v>45722</v>
      </c>
      <c r="B1222" s="9" t="n">
        <f aca="false">DAY(A1222)</f>
        <v>6</v>
      </c>
      <c r="C1222" s="9" t="n">
        <f aca="false">MONTH(A1222)</f>
        <v>3</v>
      </c>
      <c r="D1222" s="9" t="n">
        <f aca="false">YEAR(A1222)</f>
        <v>2025</v>
      </c>
      <c r="E1222" s="9" t="n">
        <f aca="false">WEEKDAY(A1222,2)</f>
        <v>4</v>
      </c>
      <c r="F1222" s="10" t="n">
        <f aca="false">WEEKNUM(A1222,2) - WEEKNUM(DATE(YEAR(A1222),MONTH(A1222),1),2) + 1</f>
        <v>2</v>
      </c>
      <c r="G1222" s="10"/>
      <c r="H1222" s="11" t="n">
        <v>3526</v>
      </c>
      <c r="I1222" s="12" t="s">
        <v>20</v>
      </c>
      <c r="J1222" s="12" t="s">
        <v>55</v>
      </c>
      <c r="K1222" s="12"/>
      <c r="L1222" s="9" t="n">
        <f aca="false">L1221+H1222</f>
        <v>13566.54</v>
      </c>
      <c r="M1222" s="10" t="str">
        <f aca="false">VLOOKUP(J1222,RECATALOGANDO!A:C,2,0)</f>
        <v>VENTA DE MEDICAMENTO</v>
      </c>
      <c r="N1222" s="12" t="str">
        <f aca="false">VLOOKUP(M1222,RECATALOGANDO!B:C,2,0)</f>
        <v>VENTA DE PRODUCTO</v>
      </c>
      <c r="O1222" s="2" t="s">
        <v>39</v>
      </c>
    </row>
    <row r="1223" customFormat="false" ht="13.8" hidden="false" customHeight="false" outlineLevel="0" collapsed="false">
      <c r="A1223" s="8" t="n">
        <v>45722</v>
      </c>
      <c r="B1223" s="9" t="n">
        <f aca="false">DAY(A1223)</f>
        <v>6</v>
      </c>
      <c r="C1223" s="9" t="n">
        <f aca="false">MONTH(A1223)</f>
        <v>3</v>
      </c>
      <c r="D1223" s="9" t="n">
        <f aca="false">YEAR(A1223)</f>
        <v>2025</v>
      </c>
      <c r="E1223" s="9" t="n">
        <f aca="false">WEEKDAY(A1223,2)</f>
        <v>4</v>
      </c>
      <c r="F1223" s="10" t="n">
        <f aca="false">WEEKNUM(A1223,2) - WEEKNUM(DATE(YEAR(A1223),MONTH(A1223),1),2) + 1</f>
        <v>2</v>
      </c>
      <c r="G1223" s="10"/>
      <c r="H1223" s="11" t="n">
        <v>320</v>
      </c>
      <c r="I1223" s="12" t="s">
        <v>20</v>
      </c>
      <c r="J1223" s="12" t="s">
        <v>49</v>
      </c>
      <c r="K1223" s="12"/>
      <c r="L1223" s="9" t="n">
        <f aca="false">L1222+H1223</f>
        <v>13886.54</v>
      </c>
      <c r="M1223" s="10" t="str">
        <f aca="false">VLOOKUP(J1223,RECATALOGANDO!A:C,2,0)</f>
        <v>SERVICIO DE GROOMING</v>
      </c>
      <c r="N1223" s="12" t="str">
        <f aca="false">VLOOKUP(M1223,RECATALOGANDO!B:C,2,0)</f>
        <v>VENTA DE SERVICIO</v>
      </c>
      <c r="O1223" s="2" t="s">
        <v>39</v>
      </c>
    </row>
    <row r="1224" customFormat="false" ht="13.8" hidden="false" customHeight="false" outlineLevel="0" collapsed="false">
      <c r="A1224" s="8" t="n">
        <v>45722</v>
      </c>
      <c r="B1224" s="9" t="n">
        <f aca="false">DAY(A1224)</f>
        <v>6</v>
      </c>
      <c r="C1224" s="9" t="n">
        <f aca="false">MONTH(A1224)</f>
        <v>3</v>
      </c>
      <c r="D1224" s="9" t="n">
        <f aca="false">YEAR(A1224)</f>
        <v>2025</v>
      </c>
      <c r="E1224" s="9" t="n">
        <f aca="false">WEEKDAY(A1224,2)</f>
        <v>4</v>
      </c>
      <c r="F1224" s="10" t="n">
        <f aca="false">WEEKNUM(A1224,2) - WEEKNUM(DATE(YEAR(A1224),MONTH(A1224),1),2) + 1</f>
        <v>2</v>
      </c>
      <c r="G1224" s="10"/>
      <c r="H1224" s="11" t="n">
        <v>400</v>
      </c>
      <c r="I1224" s="12" t="s">
        <v>15</v>
      </c>
      <c r="J1224" s="12" t="s">
        <v>59</v>
      </c>
      <c r="K1224" s="12"/>
      <c r="L1224" s="9" t="n">
        <f aca="false">L1223+H1224</f>
        <v>14286.54</v>
      </c>
      <c r="M1224" s="10" t="str">
        <f aca="false">VLOOKUP(J1224,RECATALOGANDO!A:C,2,0)</f>
        <v>SERVICIO DE PENSION</v>
      </c>
      <c r="N1224" s="12" t="str">
        <f aca="false">VLOOKUP(M1224,RECATALOGANDO!B:C,2,0)</f>
        <v>VENTA DE SERVICIO</v>
      </c>
      <c r="O1224" s="2" t="s">
        <v>39</v>
      </c>
    </row>
    <row r="1225" customFormat="false" ht="13.8" hidden="false" customHeight="false" outlineLevel="0" collapsed="false">
      <c r="A1225" s="8" t="n">
        <v>45723</v>
      </c>
      <c r="B1225" s="9" t="n">
        <f aca="false">DAY(A1225)</f>
        <v>7</v>
      </c>
      <c r="C1225" s="9" t="n">
        <f aca="false">MONTH(A1225)</f>
        <v>3</v>
      </c>
      <c r="D1225" s="9" t="n">
        <f aca="false">YEAR(A1225)</f>
        <v>2025</v>
      </c>
      <c r="E1225" s="9" t="n">
        <f aca="false">WEEKDAY(A1225,2)</f>
        <v>5</v>
      </c>
      <c r="F1225" s="10" t="n">
        <f aca="false">WEEKNUM(A1225,2) - WEEKNUM(DATE(YEAR(A1225),MONTH(A1225),1),2) + 1</f>
        <v>2</v>
      </c>
      <c r="G1225" s="10"/>
      <c r="H1225" s="11" t="n">
        <v>873</v>
      </c>
      <c r="I1225" s="12" t="s">
        <v>15</v>
      </c>
      <c r="J1225" s="12" t="s">
        <v>55</v>
      </c>
      <c r="K1225" s="12"/>
      <c r="L1225" s="9" t="n">
        <f aca="false">L1224+H1225</f>
        <v>15159.54</v>
      </c>
      <c r="M1225" s="10" t="str">
        <f aca="false">VLOOKUP(J1225,RECATALOGANDO!A:C,2,0)</f>
        <v>VENTA DE MEDICAMENTO</v>
      </c>
      <c r="N1225" s="12" t="str">
        <f aca="false">VLOOKUP(M1225,RECATALOGANDO!B:C,2,0)</f>
        <v>VENTA DE PRODUCTO</v>
      </c>
      <c r="O1225" s="2" t="s">
        <v>39</v>
      </c>
    </row>
    <row r="1226" customFormat="false" ht="13.8" hidden="false" customHeight="false" outlineLevel="0" collapsed="false">
      <c r="A1226" s="8" t="n">
        <v>45724</v>
      </c>
      <c r="B1226" s="9" t="n">
        <f aca="false">DAY(A1226)</f>
        <v>8</v>
      </c>
      <c r="C1226" s="9" t="n">
        <f aca="false">MONTH(A1226)</f>
        <v>3</v>
      </c>
      <c r="D1226" s="9" t="n">
        <f aca="false">YEAR(A1226)</f>
        <v>2025</v>
      </c>
      <c r="E1226" s="9" t="n">
        <f aca="false">WEEKDAY(A1226,2)</f>
        <v>6</v>
      </c>
      <c r="F1226" s="10" t="n">
        <f aca="false">WEEKNUM(A1226,2) - WEEKNUM(DATE(YEAR(A1226),MONTH(A1226),1),2) + 1</f>
        <v>2</v>
      </c>
      <c r="G1226" s="10"/>
      <c r="H1226" s="11" t="n">
        <v>800</v>
      </c>
      <c r="I1226" s="12" t="s">
        <v>15</v>
      </c>
      <c r="J1226" s="12" t="s">
        <v>55</v>
      </c>
      <c r="K1226" s="12"/>
      <c r="L1226" s="9" t="n">
        <f aca="false">L1225+H1226</f>
        <v>15959.54</v>
      </c>
      <c r="M1226" s="10" t="str">
        <f aca="false">VLOOKUP(J1226,RECATALOGANDO!A:C,2,0)</f>
        <v>VENTA DE MEDICAMENTO</v>
      </c>
      <c r="N1226" s="12" t="str">
        <f aca="false">VLOOKUP(M1226,RECATALOGANDO!B:C,2,0)</f>
        <v>VENTA DE PRODUCTO</v>
      </c>
      <c r="O1226" s="2" t="s">
        <v>39</v>
      </c>
    </row>
    <row r="1227" customFormat="false" ht="13.8" hidden="false" customHeight="false" outlineLevel="0" collapsed="false">
      <c r="A1227" s="8" t="n">
        <v>45724</v>
      </c>
      <c r="B1227" s="9" t="n">
        <f aca="false">DAY(A1227)</f>
        <v>8</v>
      </c>
      <c r="C1227" s="9" t="n">
        <f aca="false">MONTH(A1227)</f>
        <v>3</v>
      </c>
      <c r="D1227" s="9" t="n">
        <f aca="false">YEAR(A1227)</f>
        <v>2025</v>
      </c>
      <c r="E1227" s="9" t="n">
        <f aca="false">WEEKDAY(A1227,2)</f>
        <v>6</v>
      </c>
      <c r="F1227" s="10" t="n">
        <f aca="false">WEEKNUM(A1227,2) - WEEKNUM(DATE(YEAR(A1227),MONTH(A1227),1),2) + 1</f>
        <v>2</v>
      </c>
      <c r="G1227" s="10"/>
      <c r="H1227" s="11" t="n">
        <v>843.25</v>
      </c>
      <c r="I1227" s="12" t="s">
        <v>15</v>
      </c>
      <c r="J1227" s="12" t="s">
        <v>55</v>
      </c>
      <c r="K1227" s="12"/>
      <c r="L1227" s="9" t="n">
        <f aca="false">L1226+H1227</f>
        <v>16802.79</v>
      </c>
      <c r="M1227" s="10" t="str">
        <f aca="false">VLOOKUP(J1227,RECATALOGANDO!A:C,2,0)</f>
        <v>VENTA DE MEDICAMENTO</v>
      </c>
      <c r="N1227" s="12" t="str">
        <f aca="false">VLOOKUP(M1227,RECATALOGANDO!B:C,2,0)</f>
        <v>VENTA DE PRODUCTO</v>
      </c>
      <c r="O1227" s="2" t="s">
        <v>39</v>
      </c>
    </row>
    <row r="1228" customFormat="false" ht="13.8" hidden="false" customHeight="false" outlineLevel="0" collapsed="false">
      <c r="A1228" s="8" t="n">
        <v>45724</v>
      </c>
      <c r="B1228" s="9" t="n">
        <f aca="false">DAY(A1228)</f>
        <v>8</v>
      </c>
      <c r="C1228" s="9" t="n">
        <f aca="false">MONTH(A1228)</f>
        <v>3</v>
      </c>
      <c r="D1228" s="9" t="n">
        <f aca="false">YEAR(A1228)</f>
        <v>2025</v>
      </c>
      <c r="E1228" s="9" t="n">
        <f aca="false">WEEKDAY(A1228,2)</f>
        <v>6</v>
      </c>
      <c r="F1228" s="10" t="n">
        <f aca="false">WEEKNUM(A1228,2) - WEEKNUM(DATE(YEAR(A1228),MONTH(A1228),1),2) + 1</f>
        <v>2</v>
      </c>
      <c r="G1228" s="10"/>
      <c r="H1228" s="11" t="n">
        <v>850</v>
      </c>
      <c r="I1228" s="12" t="s">
        <v>15</v>
      </c>
      <c r="J1228" s="12" t="s">
        <v>44</v>
      </c>
      <c r="K1228" s="12"/>
      <c r="L1228" s="9" t="n">
        <f aca="false">L1227+H1228</f>
        <v>17652.79</v>
      </c>
      <c r="M1228" s="10" t="str">
        <f aca="false">VLOOKUP(J1228,RECATALOGANDO!A:C,2,0)</f>
        <v>HONORARIOS MEDICOS</v>
      </c>
      <c r="N1228" s="12" t="str">
        <f aca="false">VLOOKUP(M1228,RECATALOGANDO!B:C,2,0)</f>
        <v>VENTA DE SERVICIO</v>
      </c>
      <c r="O1228" s="2" t="s">
        <v>39</v>
      </c>
    </row>
    <row r="1229" customFormat="false" ht="13.8" hidden="false" customHeight="false" outlineLevel="0" collapsed="false">
      <c r="A1229" s="8" t="n">
        <v>45725</v>
      </c>
      <c r="B1229" s="9" t="n">
        <f aca="false">DAY(A1229)</f>
        <v>9</v>
      </c>
      <c r="C1229" s="9" t="n">
        <f aca="false">MONTH(A1229)</f>
        <v>3</v>
      </c>
      <c r="D1229" s="9" t="n">
        <f aca="false">YEAR(A1229)</f>
        <v>2025</v>
      </c>
      <c r="E1229" s="9" t="n">
        <f aca="false">WEEKDAY(A1229,2)</f>
        <v>7</v>
      </c>
      <c r="F1229" s="10" t="n">
        <f aca="false">WEEKNUM(A1229,2) - WEEKNUM(DATE(YEAR(A1229),MONTH(A1229),1),2) + 1</f>
        <v>2</v>
      </c>
      <c r="G1229" s="10"/>
      <c r="H1229" s="11" t="n">
        <v>930</v>
      </c>
      <c r="I1229" s="12" t="s">
        <v>15</v>
      </c>
      <c r="J1229" s="12" t="s">
        <v>55</v>
      </c>
      <c r="K1229" s="12"/>
      <c r="L1229" s="9" t="n">
        <f aca="false">L1228+H1229</f>
        <v>18582.79</v>
      </c>
      <c r="M1229" s="10" t="str">
        <f aca="false">VLOOKUP(J1229,RECATALOGANDO!A:C,2,0)</f>
        <v>VENTA DE MEDICAMENTO</v>
      </c>
      <c r="N1229" s="12" t="str">
        <f aca="false">VLOOKUP(M1229,RECATALOGANDO!B:C,2,0)</f>
        <v>VENTA DE PRODUCTO</v>
      </c>
      <c r="O1229" s="2" t="s">
        <v>39</v>
      </c>
    </row>
    <row r="1230" customFormat="false" ht="13.8" hidden="false" customHeight="false" outlineLevel="0" collapsed="false">
      <c r="A1230" s="8" t="n">
        <v>45725</v>
      </c>
      <c r="B1230" s="9" t="n">
        <f aca="false">DAY(A1230)</f>
        <v>9</v>
      </c>
      <c r="C1230" s="9" t="n">
        <f aca="false">MONTH(A1230)</f>
        <v>3</v>
      </c>
      <c r="D1230" s="9" t="n">
        <f aca="false">YEAR(A1230)</f>
        <v>2025</v>
      </c>
      <c r="E1230" s="9" t="n">
        <f aca="false">WEEKDAY(A1230,2)</f>
        <v>7</v>
      </c>
      <c r="F1230" s="10" t="n">
        <f aca="false">WEEKNUM(A1230,2) - WEEKNUM(DATE(YEAR(A1230),MONTH(A1230),1),2) + 1</f>
        <v>2</v>
      </c>
      <c r="G1230" s="10"/>
      <c r="H1230" s="11" t="n">
        <v>290</v>
      </c>
      <c r="I1230" s="12" t="s">
        <v>15</v>
      </c>
      <c r="J1230" s="12" t="s">
        <v>49</v>
      </c>
      <c r="K1230" s="12"/>
      <c r="L1230" s="9" t="n">
        <f aca="false">L1229+H1230</f>
        <v>18872.79</v>
      </c>
      <c r="M1230" s="10" t="str">
        <f aca="false">VLOOKUP(J1230,RECATALOGANDO!A:C,2,0)</f>
        <v>SERVICIO DE GROOMING</v>
      </c>
      <c r="N1230" s="12" t="str">
        <f aca="false">VLOOKUP(M1230,RECATALOGANDO!B:C,2,0)</f>
        <v>VENTA DE SERVICIO</v>
      </c>
      <c r="O1230" s="2" t="s">
        <v>39</v>
      </c>
    </row>
    <row r="1231" customFormat="false" ht="13.8" hidden="false" customHeight="false" outlineLevel="0" collapsed="false">
      <c r="A1231" s="8" t="n">
        <v>45725</v>
      </c>
      <c r="B1231" s="9" t="n">
        <f aca="false">DAY(A1231)</f>
        <v>9</v>
      </c>
      <c r="C1231" s="9" t="n">
        <f aca="false">MONTH(A1231)</f>
        <v>3</v>
      </c>
      <c r="D1231" s="9" t="n">
        <f aca="false">YEAR(A1231)</f>
        <v>2025</v>
      </c>
      <c r="E1231" s="9" t="n">
        <f aca="false">WEEKDAY(A1231,2)</f>
        <v>7</v>
      </c>
      <c r="F1231" s="10" t="n">
        <f aca="false">WEEKNUM(A1231,2) - WEEKNUM(DATE(YEAR(A1231),MONTH(A1231),1),2) + 1</f>
        <v>2</v>
      </c>
      <c r="G1231" s="10"/>
      <c r="H1231" s="11" t="n">
        <v>1394.24</v>
      </c>
      <c r="I1231" s="12" t="s">
        <v>15</v>
      </c>
      <c r="J1231" s="12" t="s">
        <v>44</v>
      </c>
      <c r="K1231" s="12"/>
      <c r="L1231" s="9" t="n">
        <f aca="false">L1230+H1231</f>
        <v>20267.03</v>
      </c>
      <c r="M1231" s="10" t="str">
        <f aca="false">VLOOKUP(J1231,RECATALOGANDO!A:C,2,0)</f>
        <v>HONORARIOS MEDICOS</v>
      </c>
      <c r="N1231" s="12" t="str">
        <f aca="false">VLOOKUP(M1231,RECATALOGANDO!B:C,2,0)</f>
        <v>VENTA DE SERVICIO</v>
      </c>
      <c r="O1231" s="2" t="s">
        <v>39</v>
      </c>
    </row>
    <row r="1232" customFormat="false" ht="13.8" hidden="false" customHeight="false" outlineLevel="0" collapsed="false">
      <c r="A1232" s="8" t="n">
        <v>45726</v>
      </c>
      <c r="B1232" s="9" t="n">
        <f aca="false">DAY(A1232)</f>
        <v>10</v>
      </c>
      <c r="C1232" s="9" t="n">
        <f aca="false">MONTH(A1232)</f>
        <v>3</v>
      </c>
      <c r="D1232" s="9" t="n">
        <f aca="false">YEAR(A1232)</f>
        <v>2025</v>
      </c>
      <c r="E1232" s="9" t="n">
        <f aca="false">WEEKDAY(A1232,2)</f>
        <v>1</v>
      </c>
      <c r="F1232" s="10" t="n">
        <f aca="false">WEEKNUM(A1232,2) - WEEKNUM(DATE(YEAR(A1232),MONTH(A1232),1),2) + 1</f>
        <v>3</v>
      </c>
      <c r="G1232" s="10"/>
      <c r="H1232" s="11" t="n">
        <v>510</v>
      </c>
      <c r="I1232" s="12" t="s">
        <v>20</v>
      </c>
      <c r="J1232" s="12" t="s">
        <v>55</v>
      </c>
      <c r="K1232" s="12"/>
      <c r="L1232" s="9" t="n">
        <f aca="false">L1231+H1232</f>
        <v>20777.03</v>
      </c>
      <c r="M1232" s="10" t="str">
        <f aca="false">VLOOKUP(J1232,RECATALOGANDO!A:C,2,0)</f>
        <v>VENTA DE MEDICAMENTO</v>
      </c>
      <c r="N1232" s="12" t="str">
        <f aca="false">VLOOKUP(M1232,RECATALOGANDO!B:C,2,0)</f>
        <v>VENTA DE PRODUCTO</v>
      </c>
      <c r="O1232" s="2" t="s">
        <v>39</v>
      </c>
    </row>
    <row r="1233" customFormat="false" ht="13.8" hidden="false" customHeight="false" outlineLevel="0" collapsed="false">
      <c r="A1233" s="8" t="n">
        <v>45726</v>
      </c>
      <c r="B1233" s="9" t="n">
        <f aca="false">DAY(A1233)</f>
        <v>10</v>
      </c>
      <c r="C1233" s="9" t="n">
        <f aca="false">MONTH(A1233)</f>
        <v>3</v>
      </c>
      <c r="D1233" s="9" t="n">
        <f aca="false">YEAR(A1233)</f>
        <v>2025</v>
      </c>
      <c r="E1233" s="9" t="n">
        <f aca="false">WEEKDAY(A1233,2)</f>
        <v>1</v>
      </c>
      <c r="F1233" s="10" t="n">
        <f aca="false">WEEKNUM(A1233,2) - WEEKNUM(DATE(YEAR(A1233),MONTH(A1233),1),2) + 1</f>
        <v>3</v>
      </c>
      <c r="G1233" s="10"/>
      <c r="H1233" s="11" t="n">
        <v>200</v>
      </c>
      <c r="I1233" s="12" t="s">
        <v>20</v>
      </c>
      <c r="J1233" s="12" t="s">
        <v>49</v>
      </c>
      <c r="K1233" s="12"/>
      <c r="L1233" s="9" t="n">
        <f aca="false">L1232+H1233</f>
        <v>20977.03</v>
      </c>
      <c r="M1233" s="10" t="str">
        <f aca="false">VLOOKUP(J1233,RECATALOGANDO!A:C,2,0)</f>
        <v>SERVICIO DE GROOMING</v>
      </c>
      <c r="N1233" s="12" t="str">
        <f aca="false">VLOOKUP(M1233,RECATALOGANDO!B:C,2,0)</f>
        <v>VENTA DE SERVICIO</v>
      </c>
      <c r="O1233" s="2" t="s">
        <v>39</v>
      </c>
    </row>
    <row r="1234" customFormat="false" ht="13.8" hidden="false" customHeight="false" outlineLevel="0" collapsed="false">
      <c r="A1234" s="8" t="n">
        <v>45726</v>
      </c>
      <c r="B1234" s="9" t="n">
        <f aca="false">DAY(A1234)</f>
        <v>10</v>
      </c>
      <c r="C1234" s="9" t="n">
        <f aca="false">MONTH(A1234)</f>
        <v>3</v>
      </c>
      <c r="D1234" s="9" t="n">
        <f aca="false">YEAR(A1234)</f>
        <v>2025</v>
      </c>
      <c r="E1234" s="9" t="n">
        <f aca="false">WEEKDAY(A1234,2)</f>
        <v>1</v>
      </c>
      <c r="F1234" s="10" t="n">
        <f aca="false">WEEKNUM(A1234,2) - WEEKNUM(DATE(YEAR(A1234),MONTH(A1234),1),2) + 1</f>
        <v>3</v>
      </c>
      <c r="G1234" s="10"/>
      <c r="H1234" s="11" t="n">
        <v>2365</v>
      </c>
      <c r="I1234" s="12" t="s">
        <v>20</v>
      </c>
      <c r="J1234" s="12" t="s">
        <v>64</v>
      </c>
      <c r="K1234" s="12"/>
      <c r="L1234" s="9" t="n">
        <f aca="false">L1233+H1234</f>
        <v>23342.03</v>
      </c>
      <c r="M1234" s="10" t="str">
        <f aca="false">VLOOKUP(J1234,RECATALOGANDO!A:C,2,0)</f>
        <v>HONORARIOS QUIRURGICOS</v>
      </c>
      <c r="N1234" s="12" t="str">
        <f aca="false">VLOOKUP(M1234,RECATALOGANDO!B:C,2,0)</f>
        <v>VENTA DE SERVICIO</v>
      </c>
      <c r="O1234" s="2" t="s">
        <v>39</v>
      </c>
    </row>
    <row r="1235" customFormat="false" ht="13.8" hidden="false" customHeight="false" outlineLevel="0" collapsed="false">
      <c r="A1235" s="8" t="n">
        <v>45727</v>
      </c>
      <c r="B1235" s="9" t="n">
        <f aca="false">DAY(A1235)</f>
        <v>11</v>
      </c>
      <c r="C1235" s="9" t="n">
        <f aca="false">MONTH(A1235)</f>
        <v>3</v>
      </c>
      <c r="D1235" s="9" t="n">
        <f aca="false">YEAR(A1235)</f>
        <v>2025</v>
      </c>
      <c r="E1235" s="9" t="n">
        <f aca="false">WEEKDAY(A1235,2)</f>
        <v>2</v>
      </c>
      <c r="F1235" s="10" t="n">
        <f aca="false">WEEKNUM(A1235,2) - WEEKNUM(DATE(YEAR(A1235),MONTH(A1235),1),2) + 1</f>
        <v>3</v>
      </c>
      <c r="G1235" s="10"/>
      <c r="H1235" s="11" t="n">
        <v>300</v>
      </c>
      <c r="I1235" s="12" t="s">
        <v>20</v>
      </c>
      <c r="J1235" s="12" t="s">
        <v>44</v>
      </c>
      <c r="K1235" s="12"/>
      <c r="L1235" s="9" t="n">
        <f aca="false">L1234+H1235</f>
        <v>23642.03</v>
      </c>
      <c r="M1235" s="10" t="str">
        <f aca="false">VLOOKUP(J1235,RECATALOGANDO!A:C,2,0)</f>
        <v>HONORARIOS MEDICOS</v>
      </c>
      <c r="N1235" s="12" t="str">
        <f aca="false">VLOOKUP(M1235,RECATALOGANDO!B:C,2,0)</f>
        <v>VENTA DE SERVICIO</v>
      </c>
      <c r="O1235" s="2" t="s">
        <v>39</v>
      </c>
    </row>
    <row r="1236" customFormat="false" ht="13.8" hidden="false" customHeight="false" outlineLevel="0" collapsed="false">
      <c r="A1236" s="8" t="n">
        <v>45727</v>
      </c>
      <c r="B1236" s="9" t="n">
        <f aca="false">DAY(A1236)</f>
        <v>11</v>
      </c>
      <c r="C1236" s="9" t="n">
        <f aca="false">MONTH(A1236)</f>
        <v>3</v>
      </c>
      <c r="D1236" s="9" t="n">
        <f aca="false">YEAR(A1236)</f>
        <v>2025</v>
      </c>
      <c r="E1236" s="9" t="n">
        <f aca="false">WEEKDAY(A1236,2)</f>
        <v>2</v>
      </c>
      <c r="F1236" s="10" t="n">
        <f aca="false">WEEKNUM(A1236,2) - WEEKNUM(DATE(YEAR(A1236),MONTH(A1236),1),2) + 1</f>
        <v>3</v>
      </c>
      <c r="G1236" s="10"/>
      <c r="H1236" s="11" t="n">
        <v>416.83</v>
      </c>
      <c r="I1236" s="12" t="s">
        <v>15</v>
      </c>
      <c r="J1236" s="12" t="s">
        <v>49</v>
      </c>
      <c r="K1236" s="12"/>
      <c r="L1236" s="9" t="n">
        <f aca="false">L1235+H1236</f>
        <v>24058.86</v>
      </c>
      <c r="M1236" s="10" t="str">
        <f aca="false">VLOOKUP(J1236,RECATALOGANDO!A:C,2,0)</f>
        <v>SERVICIO DE GROOMING</v>
      </c>
      <c r="N1236" s="12" t="str">
        <f aca="false">VLOOKUP(M1236,RECATALOGANDO!B:C,2,0)</f>
        <v>VENTA DE SERVICIO</v>
      </c>
      <c r="O1236" s="2" t="s">
        <v>39</v>
      </c>
    </row>
    <row r="1237" customFormat="false" ht="13.8" hidden="false" customHeight="false" outlineLevel="0" collapsed="false">
      <c r="A1237" s="8" t="n">
        <v>45729</v>
      </c>
      <c r="B1237" s="9" t="n">
        <f aca="false">DAY(A1237)</f>
        <v>13</v>
      </c>
      <c r="C1237" s="9" t="n">
        <f aca="false">MONTH(A1237)</f>
        <v>3</v>
      </c>
      <c r="D1237" s="9" t="n">
        <f aca="false">YEAR(A1237)</f>
        <v>2025</v>
      </c>
      <c r="E1237" s="9" t="n">
        <f aca="false">WEEKDAY(A1237,2)</f>
        <v>4</v>
      </c>
      <c r="F1237" s="10" t="n">
        <f aca="false">WEEKNUM(A1237,2) - WEEKNUM(DATE(YEAR(A1237),MONTH(A1237),1),2) + 1</f>
        <v>3</v>
      </c>
      <c r="G1237" s="10"/>
      <c r="H1237" s="11" t="n">
        <v>290</v>
      </c>
      <c r="I1237" s="12" t="s">
        <v>20</v>
      </c>
      <c r="J1237" s="12" t="s">
        <v>49</v>
      </c>
      <c r="K1237" s="12"/>
      <c r="L1237" s="9" t="n">
        <f aca="false">L1236+H1237</f>
        <v>24348.86</v>
      </c>
      <c r="M1237" s="10" t="str">
        <f aca="false">VLOOKUP(J1237,RECATALOGANDO!A:C,2,0)</f>
        <v>SERVICIO DE GROOMING</v>
      </c>
      <c r="N1237" s="12" t="str">
        <f aca="false">VLOOKUP(M1237,RECATALOGANDO!B:C,2,0)</f>
        <v>VENTA DE SERVICIO</v>
      </c>
      <c r="O1237" s="2" t="s">
        <v>39</v>
      </c>
    </row>
    <row r="1238" customFormat="false" ht="13.8" hidden="false" customHeight="false" outlineLevel="0" collapsed="false">
      <c r="A1238" s="8" t="n">
        <v>45730</v>
      </c>
      <c r="B1238" s="9" t="n">
        <f aca="false">DAY(A1238)</f>
        <v>14</v>
      </c>
      <c r="C1238" s="9" t="n">
        <f aca="false">MONTH(A1238)</f>
        <v>3</v>
      </c>
      <c r="D1238" s="9" t="n">
        <f aca="false">YEAR(A1238)</f>
        <v>2025</v>
      </c>
      <c r="E1238" s="9" t="n">
        <f aca="false">WEEKDAY(A1238,2)</f>
        <v>5</v>
      </c>
      <c r="F1238" s="10" t="n">
        <f aca="false">WEEKNUM(A1238,2) - WEEKNUM(DATE(YEAR(A1238),MONTH(A1238),1),2) + 1</f>
        <v>3</v>
      </c>
      <c r="G1238" s="10" t="n">
        <v>1</v>
      </c>
      <c r="H1238" s="11" t="n">
        <v>220</v>
      </c>
      <c r="I1238" s="12" t="s">
        <v>20</v>
      </c>
      <c r="J1238" s="12" t="s">
        <v>49</v>
      </c>
      <c r="K1238" s="12"/>
      <c r="L1238" s="9" t="n">
        <f aca="false">L1237+H1238</f>
        <v>24568.86</v>
      </c>
      <c r="M1238" s="10" t="str">
        <f aca="false">VLOOKUP(J1238,RECATALOGANDO!A:C,2,0)</f>
        <v>SERVICIO DE GROOMING</v>
      </c>
      <c r="N1238" s="12" t="str">
        <f aca="false">VLOOKUP(M1238,RECATALOGANDO!B:C,2,0)</f>
        <v>VENTA DE SERVICIO</v>
      </c>
      <c r="O1238" s="2" t="s">
        <v>39</v>
      </c>
    </row>
    <row r="1239" customFormat="false" ht="13.8" hidden="false" customHeight="false" outlineLevel="0" collapsed="false">
      <c r="A1239" s="8" t="n">
        <v>45730</v>
      </c>
      <c r="B1239" s="9" t="n">
        <f aca="false">DAY(A1239)</f>
        <v>14</v>
      </c>
      <c r="C1239" s="9" t="n">
        <f aca="false">MONTH(A1239)</f>
        <v>3</v>
      </c>
      <c r="D1239" s="9" t="n">
        <f aca="false">YEAR(A1239)</f>
        <v>2025</v>
      </c>
      <c r="E1239" s="9" t="n">
        <f aca="false">WEEKDAY(A1239,2)</f>
        <v>5</v>
      </c>
      <c r="F1239" s="10" t="n">
        <f aca="false">WEEKNUM(A1239,2) - WEEKNUM(DATE(YEAR(A1239),MONTH(A1239),1),2) + 1</f>
        <v>3</v>
      </c>
      <c r="G1239" s="10" t="n">
        <v>1</v>
      </c>
      <c r="H1239" s="11" t="n">
        <v>270</v>
      </c>
      <c r="I1239" s="12" t="s">
        <v>20</v>
      </c>
      <c r="J1239" s="12" t="s">
        <v>49</v>
      </c>
      <c r="K1239" s="12"/>
      <c r="L1239" s="9" t="n">
        <f aca="false">L1238+H1239</f>
        <v>24838.86</v>
      </c>
      <c r="M1239" s="10" t="str">
        <f aca="false">VLOOKUP(J1239,RECATALOGANDO!A:C,2,0)</f>
        <v>SERVICIO DE GROOMING</v>
      </c>
      <c r="N1239" s="12" t="str">
        <f aca="false">VLOOKUP(M1239,RECATALOGANDO!B:C,2,0)</f>
        <v>VENTA DE SERVICIO</v>
      </c>
      <c r="O1239" s="2" t="s">
        <v>39</v>
      </c>
    </row>
    <row r="1240" customFormat="false" ht="13.8" hidden="false" customHeight="false" outlineLevel="0" collapsed="false">
      <c r="A1240" s="8" t="n">
        <v>45730</v>
      </c>
      <c r="B1240" s="9" t="n">
        <f aca="false">DAY(A1240)</f>
        <v>14</v>
      </c>
      <c r="C1240" s="9" t="n">
        <f aca="false">MONTH(A1240)</f>
        <v>3</v>
      </c>
      <c r="D1240" s="9" t="n">
        <f aca="false">YEAR(A1240)</f>
        <v>2025</v>
      </c>
      <c r="E1240" s="9" t="n">
        <f aca="false">WEEKDAY(A1240,2)</f>
        <v>5</v>
      </c>
      <c r="F1240" s="10" t="n">
        <f aca="false">WEEKNUM(A1240,2) - WEEKNUM(DATE(YEAR(A1240),MONTH(A1240),1),2) + 1</f>
        <v>3</v>
      </c>
      <c r="G1240" s="10" t="n">
        <v>1</v>
      </c>
      <c r="H1240" s="11" t="n">
        <v>410</v>
      </c>
      <c r="I1240" s="12" t="s">
        <v>20</v>
      </c>
      <c r="J1240" s="12" t="s">
        <v>49</v>
      </c>
      <c r="K1240" s="12"/>
      <c r="L1240" s="9" t="n">
        <f aca="false">L1239+H1240</f>
        <v>25248.86</v>
      </c>
      <c r="M1240" s="10" t="str">
        <f aca="false">VLOOKUP(J1240,RECATALOGANDO!A:C,2,0)</f>
        <v>SERVICIO DE GROOMING</v>
      </c>
      <c r="N1240" s="12" t="str">
        <f aca="false">VLOOKUP(M1240,RECATALOGANDO!B:C,2,0)</f>
        <v>VENTA DE SERVICIO</v>
      </c>
      <c r="O1240" s="2" t="s">
        <v>39</v>
      </c>
    </row>
    <row r="1241" customFormat="false" ht="13.8" hidden="false" customHeight="false" outlineLevel="0" collapsed="false">
      <c r="A1241" s="8" t="n">
        <v>45731</v>
      </c>
      <c r="B1241" s="9" t="n">
        <f aca="false">DAY(A1241)</f>
        <v>15</v>
      </c>
      <c r="C1241" s="9" t="n">
        <f aca="false">MONTH(A1241)</f>
        <v>3</v>
      </c>
      <c r="D1241" s="9" t="n">
        <f aca="false">YEAR(A1241)</f>
        <v>2025</v>
      </c>
      <c r="E1241" s="9" t="n">
        <f aca="false">WEEKDAY(A1241,2)</f>
        <v>6</v>
      </c>
      <c r="F1241" s="10" t="n">
        <f aca="false">WEEKNUM(A1241,2) - WEEKNUM(DATE(YEAR(A1241),MONTH(A1241),1),2) + 1</f>
        <v>3</v>
      </c>
      <c r="G1241" s="10"/>
      <c r="H1241" s="11" t="n">
        <v>416.83</v>
      </c>
      <c r="I1241" s="12" t="s">
        <v>15</v>
      </c>
      <c r="J1241" s="12" t="s">
        <v>55</v>
      </c>
      <c r="K1241" s="12"/>
      <c r="L1241" s="9" t="n">
        <f aca="false">L1240+H1241</f>
        <v>25665.69</v>
      </c>
      <c r="M1241" s="10" t="str">
        <f aca="false">VLOOKUP(J1241,RECATALOGANDO!A:C,2,0)</f>
        <v>VENTA DE MEDICAMENTO</v>
      </c>
      <c r="N1241" s="12" t="str">
        <f aca="false">VLOOKUP(M1241,RECATALOGANDO!B:C,2,0)</f>
        <v>VENTA DE PRODUCTO</v>
      </c>
      <c r="O1241" s="2" t="s">
        <v>39</v>
      </c>
    </row>
    <row r="1242" customFormat="false" ht="13.8" hidden="false" customHeight="false" outlineLevel="0" collapsed="false">
      <c r="A1242" s="8" t="n">
        <v>45731</v>
      </c>
      <c r="B1242" s="9" t="n">
        <f aca="false">DAY(A1242)</f>
        <v>15</v>
      </c>
      <c r="C1242" s="9" t="n">
        <f aca="false">MONTH(A1242)</f>
        <v>3</v>
      </c>
      <c r="D1242" s="9" t="n">
        <f aca="false">YEAR(A1242)</f>
        <v>2025</v>
      </c>
      <c r="E1242" s="9" t="n">
        <f aca="false">WEEKDAY(A1242,2)</f>
        <v>6</v>
      </c>
      <c r="F1242" s="10" t="n">
        <f aca="false">WEEKNUM(A1242,2) - WEEKNUM(DATE(YEAR(A1242),MONTH(A1242),1),2) + 1</f>
        <v>3</v>
      </c>
      <c r="G1242" s="10"/>
      <c r="H1242" s="11" t="n">
        <v>810</v>
      </c>
      <c r="I1242" s="12" t="s">
        <v>15</v>
      </c>
      <c r="J1242" s="12" t="s">
        <v>59</v>
      </c>
      <c r="K1242" s="12"/>
      <c r="L1242" s="9" t="n">
        <f aca="false">L1241+H1242</f>
        <v>26475.69</v>
      </c>
      <c r="M1242" s="10" t="str">
        <f aca="false">VLOOKUP(J1242,RECATALOGANDO!A:C,2,0)</f>
        <v>SERVICIO DE PENSION</v>
      </c>
      <c r="N1242" s="12" t="str">
        <f aca="false">VLOOKUP(M1242,RECATALOGANDO!B:C,2,0)</f>
        <v>VENTA DE SERVICIO</v>
      </c>
      <c r="O1242" s="2" t="s">
        <v>39</v>
      </c>
    </row>
    <row r="1243" customFormat="false" ht="13.8" hidden="false" customHeight="false" outlineLevel="0" collapsed="false">
      <c r="A1243" s="8" t="n">
        <v>45732</v>
      </c>
      <c r="B1243" s="9" t="n">
        <f aca="false">DAY(A1243)</f>
        <v>16</v>
      </c>
      <c r="C1243" s="9" t="n">
        <f aca="false">MONTH(A1243)</f>
        <v>3</v>
      </c>
      <c r="D1243" s="9" t="n">
        <f aca="false">YEAR(A1243)</f>
        <v>2025</v>
      </c>
      <c r="E1243" s="9" t="n">
        <f aca="false">WEEKDAY(A1243,2)</f>
        <v>7</v>
      </c>
      <c r="F1243" s="10" t="n">
        <f aca="false">WEEKNUM(A1243,2) - WEEKNUM(DATE(YEAR(A1243),MONTH(A1243),1),2) + 1</f>
        <v>3</v>
      </c>
      <c r="G1243" s="10"/>
      <c r="H1243" s="11" t="n">
        <v>1704.71</v>
      </c>
      <c r="I1243" s="12" t="s">
        <v>15</v>
      </c>
      <c r="J1243" s="12" t="s">
        <v>51</v>
      </c>
      <c r="K1243" s="12"/>
      <c r="L1243" s="9" t="n">
        <f aca="false">L1242+H1243</f>
        <v>28180.4</v>
      </c>
      <c r="M1243" s="10" t="str">
        <f aca="false">VLOOKUP(J1243,RECATALOGANDO!A:C,2,0)</f>
        <v>VENTA DE ALIMENTO</v>
      </c>
      <c r="N1243" s="12" t="str">
        <f aca="false">VLOOKUP(M1243,RECATALOGANDO!B:C,2,0)</f>
        <v>VENTA DE PRODUCTO</v>
      </c>
      <c r="O1243" s="2" t="s">
        <v>39</v>
      </c>
    </row>
    <row r="1244" customFormat="false" ht="13.8" hidden="false" customHeight="false" outlineLevel="0" collapsed="false">
      <c r="A1244" s="8" t="n">
        <v>45734</v>
      </c>
      <c r="B1244" s="9" t="n">
        <f aca="false">DAY(A1244)</f>
        <v>18</v>
      </c>
      <c r="C1244" s="9" t="n">
        <f aca="false">MONTH(A1244)</f>
        <v>3</v>
      </c>
      <c r="D1244" s="9" t="n">
        <f aca="false">YEAR(A1244)</f>
        <v>2025</v>
      </c>
      <c r="E1244" s="9" t="n">
        <f aca="false">WEEKDAY(A1244,2)</f>
        <v>2</v>
      </c>
      <c r="F1244" s="10" t="n">
        <f aca="false">WEEKNUM(A1244,2) - WEEKNUM(DATE(YEAR(A1244),MONTH(A1244),1),2) + 1</f>
        <v>4</v>
      </c>
      <c r="G1244" s="10"/>
      <c r="H1244" s="11" t="n">
        <v>290</v>
      </c>
      <c r="I1244" s="12" t="s">
        <v>20</v>
      </c>
      <c r="J1244" s="12" t="s">
        <v>49</v>
      </c>
      <c r="K1244" s="12"/>
      <c r="L1244" s="9" t="n">
        <f aca="false">L1243+H1244</f>
        <v>28470.4</v>
      </c>
      <c r="M1244" s="10" t="str">
        <f aca="false">VLOOKUP(J1244,RECATALOGANDO!A:C,2,0)</f>
        <v>SERVICIO DE GROOMING</v>
      </c>
      <c r="N1244" s="12" t="str">
        <f aca="false">VLOOKUP(M1244,RECATALOGANDO!B:C,2,0)</f>
        <v>VENTA DE SERVICIO</v>
      </c>
      <c r="O1244" s="2" t="s">
        <v>39</v>
      </c>
    </row>
    <row r="1245" customFormat="false" ht="13.8" hidden="false" customHeight="false" outlineLevel="0" collapsed="false">
      <c r="A1245" s="8" t="n">
        <v>45734</v>
      </c>
      <c r="B1245" s="9" t="n">
        <f aca="false">DAY(A1245)</f>
        <v>18</v>
      </c>
      <c r="C1245" s="9" t="n">
        <f aca="false">MONTH(A1245)</f>
        <v>3</v>
      </c>
      <c r="D1245" s="9" t="n">
        <f aca="false">YEAR(A1245)</f>
        <v>2025</v>
      </c>
      <c r="E1245" s="9" t="n">
        <f aca="false">WEEKDAY(A1245,2)</f>
        <v>2</v>
      </c>
      <c r="F1245" s="10" t="n">
        <f aca="false">WEEKNUM(A1245,2) - WEEKNUM(DATE(YEAR(A1245),MONTH(A1245),1),2) + 1</f>
        <v>4</v>
      </c>
      <c r="G1245" s="10"/>
      <c r="H1245" s="11" t="n">
        <v>1155</v>
      </c>
      <c r="I1245" s="12" t="s">
        <v>20</v>
      </c>
      <c r="J1245" s="12" t="s">
        <v>59</v>
      </c>
      <c r="K1245" s="12"/>
      <c r="L1245" s="9" t="n">
        <f aca="false">L1244+H1245</f>
        <v>29625.4</v>
      </c>
      <c r="M1245" s="10" t="str">
        <f aca="false">VLOOKUP(J1245,RECATALOGANDO!A:C,2,0)</f>
        <v>SERVICIO DE PENSION</v>
      </c>
      <c r="N1245" s="12" t="str">
        <f aca="false">VLOOKUP(M1245,RECATALOGANDO!B:C,2,0)</f>
        <v>VENTA DE SERVICIO</v>
      </c>
      <c r="O1245" s="2" t="s">
        <v>39</v>
      </c>
    </row>
    <row r="1246" customFormat="false" ht="13.8" hidden="false" customHeight="false" outlineLevel="0" collapsed="false">
      <c r="A1246" s="8" t="n">
        <v>45734</v>
      </c>
      <c r="B1246" s="9" t="n">
        <f aca="false">DAY(A1246)</f>
        <v>18</v>
      </c>
      <c r="C1246" s="9" t="n">
        <f aca="false">MONTH(A1246)</f>
        <v>3</v>
      </c>
      <c r="D1246" s="9" t="n">
        <f aca="false">YEAR(A1246)</f>
        <v>2025</v>
      </c>
      <c r="E1246" s="9" t="n">
        <f aca="false">WEEKDAY(A1246,2)</f>
        <v>2</v>
      </c>
      <c r="F1246" s="10" t="n">
        <f aca="false">WEEKNUM(A1246,2) - WEEKNUM(DATE(YEAR(A1246),MONTH(A1246),1),2) + 1</f>
        <v>4</v>
      </c>
      <c r="G1246" s="10"/>
      <c r="H1246" s="11" t="n">
        <v>1575</v>
      </c>
      <c r="I1246" s="12" t="s">
        <v>20</v>
      </c>
      <c r="J1246" s="12" t="s">
        <v>54</v>
      </c>
      <c r="K1246" s="12"/>
      <c r="L1246" s="9" t="n">
        <f aca="false">L1245+H1246</f>
        <v>31200.4</v>
      </c>
      <c r="M1246" s="10" t="str">
        <f aca="false">VLOOKUP(J1246,RECATALOGANDO!A:C,2,0)</f>
        <v>SERVICIO DE LABORATORIO</v>
      </c>
      <c r="N1246" s="12" t="str">
        <f aca="false">VLOOKUP(M1246,RECATALOGANDO!B:C,2,0)</f>
        <v>VENTA DE SERVICIO</v>
      </c>
      <c r="O1246" s="2" t="s">
        <v>39</v>
      </c>
    </row>
    <row r="1247" customFormat="false" ht="13.8" hidden="false" customHeight="false" outlineLevel="0" collapsed="false">
      <c r="A1247" s="8" t="n">
        <v>45735</v>
      </c>
      <c r="B1247" s="9" t="n">
        <f aca="false">DAY(A1247)</f>
        <v>19</v>
      </c>
      <c r="C1247" s="9" t="n">
        <f aca="false">MONTH(A1247)</f>
        <v>3</v>
      </c>
      <c r="D1247" s="9" t="n">
        <f aca="false">YEAR(A1247)</f>
        <v>2025</v>
      </c>
      <c r="E1247" s="9" t="n">
        <f aca="false">WEEKDAY(A1247,2)</f>
        <v>3</v>
      </c>
      <c r="F1247" s="10" t="n">
        <f aca="false">WEEKNUM(A1247,2) - WEEKNUM(DATE(YEAR(A1247),MONTH(A1247),1),2) + 1</f>
        <v>4</v>
      </c>
      <c r="G1247" s="10"/>
      <c r="H1247" s="11" t="n">
        <v>388.09</v>
      </c>
      <c r="I1247" s="12" t="s">
        <v>15</v>
      </c>
      <c r="J1247" s="12" t="s">
        <v>49</v>
      </c>
      <c r="K1247" s="12"/>
      <c r="L1247" s="9" t="n">
        <f aca="false">L1246+H1247</f>
        <v>31588.49</v>
      </c>
      <c r="M1247" s="10" t="str">
        <f aca="false">VLOOKUP(J1247,RECATALOGANDO!A:C,2,0)</f>
        <v>SERVICIO DE GROOMING</v>
      </c>
      <c r="N1247" s="12" t="str">
        <f aca="false">VLOOKUP(M1247,RECATALOGANDO!B:C,2,0)</f>
        <v>VENTA DE SERVICIO</v>
      </c>
      <c r="O1247" s="2" t="s">
        <v>39</v>
      </c>
    </row>
    <row r="1248" customFormat="false" ht="13.8" hidden="false" customHeight="false" outlineLevel="0" collapsed="false">
      <c r="A1248" s="8" t="n">
        <v>45735</v>
      </c>
      <c r="B1248" s="9" t="n">
        <f aca="false">DAY(A1248)</f>
        <v>19</v>
      </c>
      <c r="C1248" s="9" t="n">
        <f aca="false">MONTH(A1248)</f>
        <v>3</v>
      </c>
      <c r="D1248" s="9" t="n">
        <f aca="false">YEAR(A1248)</f>
        <v>2025</v>
      </c>
      <c r="E1248" s="9" t="n">
        <f aca="false">WEEKDAY(A1248,2)</f>
        <v>3</v>
      </c>
      <c r="F1248" s="10" t="n">
        <f aca="false">WEEKNUM(A1248,2) - WEEKNUM(DATE(YEAR(A1248),MONTH(A1248),1),2) + 1</f>
        <v>4</v>
      </c>
      <c r="G1248" s="10"/>
      <c r="H1248" s="11" t="n">
        <v>2570</v>
      </c>
      <c r="I1248" s="12" t="s">
        <v>20</v>
      </c>
      <c r="J1248" s="12" t="s">
        <v>59</v>
      </c>
      <c r="K1248" s="12"/>
      <c r="L1248" s="9" t="n">
        <f aca="false">L1247+H1248</f>
        <v>34158.49</v>
      </c>
      <c r="M1248" s="10" t="str">
        <f aca="false">VLOOKUP(J1248,RECATALOGANDO!A:C,2,0)</f>
        <v>SERVICIO DE PENSION</v>
      </c>
      <c r="N1248" s="12" t="str">
        <f aca="false">VLOOKUP(M1248,RECATALOGANDO!B:C,2,0)</f>
        <v>VENTA DE SERVICIO</v>
      </c>
      <c r="O1248" s="2" t="s">
        <v>39</v>
      </c>
    </row>
    <row r="1249" customFormat="false" ht="13.8" hidden="false" customHeight="false" outlineLevel="0" collapsed="false">
      <c r="A1249" s="8" t="n">
        <v>45736</v>
      </c>
      <c r="B1249" s="9" t="n">
        <f aca="false">DAY(A1249)</f>
        <v>20</v>
      </c>
      <c r="C1249" s="9" t="n">
        <f aca="false">MONTH(A1249)</f>
        <v>3</v>
      </c>
      <c r="D1249" s="9" t="n">
        <f aca="false">YEAR(A1249)</f>
        <v>2025</v>
      </c>
      <c r="E1249" s="9" t="n">
        <f aca="false">WEEKDAY(A1249,2)</f>
        <v>4</v>
      </c>
      <c r="F1249" s="10" t="n">
        <f aca="false">WEEKNUM(A1249,2) - WEEKNUM(DATE(YEAR(A1249),MONTH(A1249),1),2) + 1</f>
        <v>4</v>
      </c>
      <c r="G1249" s="10"/>
      <c r="H1249" s="11" t="n">
        <v>400</v>
      </c>
      <c r="I1249" s="12" t="s">
        <v>20</v>
      </c>
      <c r="J1249" s="12" t="s">
        <v>49</v>
      </c>
      <c r="K1249" s="12"/>
      <c r="L1249" s="9" t="n">
        <f aca="false">L1248+H1249</f>
        <v>34558.49</v>
      </c>
      <c r="M1249" s="10" t="str">
        <f aca="false">VLOOKUP(J1249,RECATALOGANDO!A:C,2,0)</f>
        <v>SERVICIO DE GROOMING</v>
      </c>
      <c r="N1249" s="12" t="str">
        <f aca="false">VLOOKUP(M1249,RECATALOGANDO!B:C,2,0)</f>
        <v>VENTA DE SERVICIO</v>
      </c>
      <c r="O1249" s="2" t="s">
        <v>39</v>
      </c>
    </row>
    <row r="1250" customFormat="false" ht="13.8" hidden="false" customHeight="false" outlineLevel="0" collapsed="false">
      <c r="A1250" s="8" t="n">
        <v>45737</v>
      </c>
      <c r="B1250" s="9" t="n">
        <f aca="false">DAY(A1250)</f>
        <v>21</v>
      </c>
      <c r="C1250" s="9" t="n">
        <f aca="false">MONTH(A1250)</f>
        <v>3</v>
      </c>
      <c r="D1250" s="9" t="n">
        <f aca="false">YEAR(A1250)</f>
        <v>2025</v>
      </c>
      <c r="E1250" s="9" t="n">
        <f aca="false">WEEKDAY(A1250,2)</f>
        <v>5</v>
      </c>
      <c r="F1250" s="10" t="n">
        <f aca="false">WEEKNUM(A1250,2) - WEEKNUM(DATE(YEAR(A1250),MONTH(A1250),1),2) + 1</f>
        <v>4</v>
      </c>
      <c r="G1250" s="10"/>
      <c r="H1250" s="11" t="n">
        <v>800</v>
      </c>
      <c r="I1250" s="12" t="s">
        <v>20</v>
      </c>
      <c r="J1250" s="12" t="s">
        <v>55</v>
      </c>
      <c r="K1250" s="12"/>
      <c r="L1250" s="9" t="n">
        <f aca="false">L1249+H1250</f>
        <v>35358.49</v>
      </c>
      <c r="M1250" s="10" t="str">
        <f aca="false">VLOOKUP(J1250,RECATALOGANDO!A:C,2,0)</f>
        <v>VENTA DE MEDICAMENTO</v>
      </c>
      <c r="N1250" s="12" t="str">
        <f aca="false">VLOOKUP(M1250,RECATALOGANDO!B:C,2,0)</f>
        <v>VENTA DE PRODUCTO</v>
      </c>
      <c r="O1250" s="2" t="s">
        <v>39</v>
      </c>
    </row>
    <row r="1251" customFormat="false" ht="13.8" hidden="false" customHeight="false" outlineLevel="0" collapsed="false">
      <c r="A1251" s="8" t="n">
        <v>45737</v>
      </c>
      <c r="B1251" s="9" t="n">
        <f aca="false">DAY(A1251)</f>
        <v>21</v>
      </c>
      <c r="C1251" s="9" t="n">
        <f aca="false">MONTH(A1251)</f>
        <v>3</v>
      </c>
      <c r="D1251" s="9" t="n">
        <f aca="false">YEAR(A1251)</f>
        <v>2025</v>
      </c>
      <c r="E1251" s="9" t="n">
        <f aca="false">WEEKDAY(A1251,2)</f>
        <v>5</v>
      </c>
      <c r="F1251" s="10" t="n">
        <f aca="false">WEEKNUM(A1251,2) - WEEKNUM(DATE(YEAR(A1251),MONTH(A1251),1),2) + 1</f>
        <v>4</v>
      </c>
      <c r="G1251" s="10"/>
      <c r="H1251" s="11" t="n">
        <v>890</v>
      </c>
      <c r="I1251" s="12" t="s">
        <v>20</v>
      </c>
      <c r="J1251" s="12" t="s">
        <v>51</v>
      </c>
      <c r="K1251" s="12"/>
      <c r="L1251" s="9" t="n">
        <f aca="false">L1250+H1251</f>
        <v>36248.49</v>
      </c>
      <c r="M1251" s="10" t="str">
        <f aca="false">VLOOKUP(J1251,RECATALOGANDO!A:C,2,0)</f>
        <v>VENTA DE ALIMENTO</v>
      </c>
      <c r="N1251" s="12" t="str">
        <f aca="false">VLOOKUP(M1251,RECATALOGANDO!B:C,2,0)</f>
        <v>VENTA DE PRODUCTO</v>
      </c>
      <c r="O1251" s="2" t="s">
        <v>39</v>
      </c>
    </row>
    <row r="1252" customFormat="false" ht="13.8" hidden="false" customHeight="false" outlineLevel="0" collapsed="false">
      <c r="A1252" s="8" t="n">
        <v>45737</v>
      </c>
      <c r="B1252" s="9" t="n">
        <f aca="false">DAY(A1252)</f>
        <v>21</v>
      </c>
      <c r="C1252" s="9" t="n">
        <f aca="false">MONTH(A1252)</f>
        <v>3</v>
      </c>
      <c r="D1252" s="9" t="n">
        <f aca="false">YEAR(A1252)</f>
        <v>2025</v>
      </c>
      <c r="E1252" s="9" t="n">
        <f aca="false">WEEKDAY(A1252,2)</f>
        <v>5</v>
      </c>
      <c r="F1252" s="10" t="n">
        <f aca="false">WEEKNUM(A1252,2) - WEEKNUM(DATE(YEAR(A1252),MONTH(A1252),1),2) + 1</f>
        <v>4</v>
      </c>
      <c r="G1252" s="10"/>
      <c r="H1252" s="11" t="n">
        <v>1775.62</v>
      </c>
      <c r="I1252" s="12" t="s">
        <v>15</v>
      </c>
      <c r="J1252" s="12" t="s">
        <v>59</v>
      </c>
      <c r="K1252" s="12"/>
      <c r="L1252" s="9" t="n">
        <f aca="false">L1251+H1252</f>
        <v>38024.11</v>
      </c>
      <c r="M1252" s="10" t="str">
        <f aca="false">VLOOKUP(J1252,RECATALOGANDO!A:C,2,0)</f>
        <v>SERVICIO DE PENSION</v>
      </c>
      <c r="N1252" s="12" t="str">
        <f aca="false">VLOOKUP(M1252,RECATALOGANDO!B:C,2,0)</f>
        <v>VENTA DE SERVICIO</v>
      </c>
      <c r="O1252" s="2" t="s">
        <v>39</v>
      </c>
    </row>
    <row r="1253" customFormat="false" ht="13.8" hidden="false" customHeight="false" outlineLevel="0" collapsed="false">
      <c r="A1253" s="8" t="n">
        <v>45738</v>
      </c>
      <c r="B1253" s="9" t="n">
        <f aca="false">DAY(A1253)</f>
        <v>22</v>
      </c>
      <c r="C1253" s="9" t="n">
        <f aca="false">MONTH(A1253)</f>
        <v>3</v>
      </c>
      <c r="D1253" s="9" t="n">
        <f aca="false">YEAR(A1253)</f>
        <v>2025</v>
      </c>
      <c r="E1253" s="9" t="n">
        <f aca="false">WEEKDAY(A1253,2)</f>
        <v>6</v>
      </c>
      <c r="F1253" s="10" t="n">
        <f aca="false">WEEKNUM(A1253,2) - WEEKNUM(DATE(YEAR(A1253),MONTH(A1253),1),2) + 1</f>
        <v>4</v>
      </c>
      <c r="G1253" s="10"/>
      <c r="H1253" s="11" t="n">
        <v>1640</v>
      </c>
      <c r="I1253" s="12" t="s">
        <v>15</v>
      </c>
      <c r="J1253" s="12" t="s">
        <v>55</v>
      </c>
      <c r="K1253" s="12"/>
      <c r="L1253" s="9" t="n">
        <f aca="false">L1252+H1253</f>
        <v>39664.11</v>
      </c>
      <c r="M1253" s="10" t="str">
        <f aca="false">VLOOKUP(J1253,RECATALOGANDO!A:C,2,0)</f>
        <v>VENTA DE MEDICAMENTO</v>
      </c>
      <c r="N1253" s="12" t="str">
        <f aca="false">VLOOKUP(M1253,RECATALOGANDO!B:C,2,0)</f>
        <v>VENTA DE PRODUCTO</v>
      </c>
      <c r="O1253" s="2" t="s">
        <v>39</v>
      </c>
    </row>
    <row r="1254" customFormat="false" ht="13.8" hidden="false" customHeight="false" outlineLevel="0" collapsed="false">
      <c r="A1254" s="8" t="n">
        <v>45738</v>
      </c>
      <c r="B1254" s="9" t="n">
        <f aca="false">DAY(A1254)</f>
        <v>22</v>
      </c>
      <c r="C1254" s="9" t="n">
        <f aca="false">MONTH(A1254)</f>
        <v>3</v>
      </c>
      <c r="D1254" s="9" t="n">
        <f aca="false">YEAR(A1254)</f>
        <v>2025</v>
      </c>
      <c r="E1254" s="9" t="n">
        <f aca="false">WEEKDAY(A1254,2)</f>
        <v>6</v>
      </c>
      <c r="F1254" s="10" t="n">
        <f aca="false">WEEKNUM(A1254,2) - WEEKNUM(DATE(YEAR(A1254),MONTH(A1254),1),2) + 1</f>
        <v>4</v>
      </c>
      <c r="G1254" s="10"/>
      <c r="H1254" s="11" t="n">
        <v>635</v>
      </c>
      <c r="I1254" s="12" t="s">
        <v>15</v>
      </c>
      <c r="J1254" s="12" t="s">
        <v>49</v>
      </c>
      <c r="K1254" s="12"/>
      <c r="L1254" s="9" t="n">
        <f aca="false">L1253+H1254</f>
        <v>40299.11</v>
      </c>
      <c r="M1254" s="10" t="str">
        <f aca="false">VLOOKUP(J1254,RECATALOGANDO!A:C,2,0)</f>
        <v>SERVICIO DE GROOMING</v>
      </c>
      <c r="N1254" s="12" t="str">
        <f aca="false">VLOOKUP(M1254,RECATALOGANDO!B:C,2,0)</f>
        <v>VENTA DE SERVICIO</v>
      </c>
      <c r="O1254" s="2" t="s">
        <v>39</v>
      </c>
    </row>
    <row r="1255" customFormat="false" ht="13.8" hidden="false" customHeight="false" outlineLevel="0" collapsed="false">
      <c r="A1255" s="8" t="n">
        <v>45739</v>
      </c>
      <c r="B1255" s="9" t="n">
        <f aca="false">DAY(A1255)</f>
        <v>23</v>
      </c>
      <c r="C1255" s="9" t="n">
        <f aca="false">MONTH(A1255)</f>
        <v>3</v>
      </c>
      <c r="D1255" s="9" t="n">
        <f aca="false">YEAR(A1255)</f>
        <v>2025</v>
      </c>
      <c r="E1255" s="9" t="n">
        <f aca="false">WEEKDAY(A1255,2)</f>
        <v>7</v>
      </c>
      <c r="F1255" s="10" t="n">
        <f aca="false">WEEKNUM(A1255,2) - WEEKNUM(DATE(YEAR(A1255),MONTH(A1255),1),2) + 1</f>
        <v>4</v>
      </c>
      <c r="G1255" s="10"/>
      <c r="H1255" s="11" t="n">
        <v>4275.7</v>
      </c>
      <c r="I1255" s="12" t="s">
        <v>15</v>
      </c>
      <c r="J1255" s="12" t="s">
        <v>54</v>
      </c>
      <c r="K1255" s="12"/>
      <c r="L1255" s="9" t="n">
        <f aca="false">L1254+H1255</f>
        <v>44574.81</v>
      </c>
      <c r="M1255" s="10" t="str">
        <f aca="false">VLOOKUP(J1255,RECATALOGANDO!A:C,2,0)</f>
        <v>SERVICIO DE LABORATORIO</v>
      </c>
      <c r="N1255" s="12" t="str">
        <f aca="false">VLOOKUP(M1255,RECATALOGANDO!B:C,2,0)</f>
        <v>VENTA DE SERVICIO</v>
      </c>
      <c r="O1255" s="2" t="s">
        <v>39</v>
      </c>
    </row>
    <row r="1256" customFormat="false" ht="13.8" hidden="false" customHeight="false" outlineLevel="0" collapsed="false">
      <c r="A1256" s="8" t="n">
        <v>45740</v>
      </c>
      <c r="B1256" s="9" t="n">
        <f aca="false">DAY(A1256)</f>
        <v>24</v>
      </c>
      <c r="C1256" s="9" t="n">
        <f aca="false">MONTH(A1256)</f>
        <v>3</v>
      </c>
      <c r="D1256" s="9" t="n">
        <f aca="false">YEAR(A1256)</f>
        <v>2025</v>
      </c>
      <c r="E1256" s="9" t="n">
        <f aca="false">WEEKDAY(A1256,2)</f>
        <v>1</v>
      </c>
      <c r="F1256" s="10" t="n">
        <f aca="false">WEEKNUM(A1256,2) - WEEKNUM(DATE(YEAR(A1256),MONTH(A1256),1),2) + 1</f>
        <v>5</v>
      </c>
      <c r="G1256" s="10"/>
      <c r="H1256" s="11" t="n">
        <v>290</v>
      </c>
      <c r="I1256" s="12" t="s">
        <v>20</v>
      </c>
      <c r="J1256" s="12" t="s">
        <v>55</v>
      </c>
      <c r="K1256" s="12"/>
      <c r="L1256" s="9" t="n">
        <f aca="false">L1255+H1256</f>
        <v>44864.81</v>
      </c>
      <c r="M1256" s="10" t="str">
        <f aca="false">VLOOKUP(J1256,RECATALOGANDO!A:C,2,0)</f>
        <v>VENTA DE MEDICAMENTO</v>
      </c>
      <c r="N1256" s="12" t="str">
        <f aca="false">VLOOKUP(M1256,RECATALOGANDO!B:C,2,0)</f>
        <v>VENTA DE PRODUCTO</v>
      </c>
      <c r="O1256" s="2" t="s">
        <v>39</v>
      </c>
    </row>
    <row r="1257" customFormat="false" ht="13.8" hidden="false" customHeight="false" outlineLevel="0" collapsed="false">
      <c r="A1257" s="8" t="n">
        <v>45740</v>
      </c>
      <c r="B1257" s="9" t="n">
        <f aca="false">DAY(A1257)</f>
        <v>24</v>
      </c>
      <c r="C1257" s="9" t="n">
        <f aca="false">MONTH(A1257)</f>
        <v>3</v>
      </c>
      <c r="D1257" s="9" t="n">
        <f aca="false">YEAR(A1257)</f>
        <v>2025</v>
      </c>
      <c r="E1257" s="9" t="n">
        <f aca="false">WEEKDAY(A1257,2)</f>
        <v>1</v>
      </c>
      <c r="F1257" s="10" t="n">
        <f aca="false">WEEKNUM(A1257,2) - WEEKNUM(DATE(YEAR(A1257),MONTH(A1257),1),2) + 1</f>
        <v>5</v>
      </c>
      <c r="G1257" s="10"/>
      <c r="H1257" s="11" t="n">
        <v>1200</v>
      </c>
      <c r="I1257" s="12" t="s">
        <v>20</v>
      </c>
      <c r="J1257" s="12" t="s">
        <v>64</v>
      </c>
      <c r="K1257" s="12"/>
      <c r="L1257" s="9" t="n">
        <f aca="false">L1256+H1257</f>
        <v>46064.81</v>
      </c>
      <c r="M1257" s="10" t="str">
        <f aca="false">VLOOKUP(J1257,RECATALOGANDO!A:C,2,0)</f>
        <v>HONORARIOS QUIRURGICOS</v>
      </c>
      <c r="N1257" s="12" t="str">
        <f aca="false">VLOOKUP(M1257,RECATALOGANDO!B:C,2,0)</f>
        <v>VENTA DE SERVICIO</v>
      </c>
      <c r="O1257" s="2" t="s">
        <v>39</v>
      </c>
    </row>
    <row r="1258" customFormat="false" ht="13.8" hidden="false" customHeight="false" outlineLevel="0" collapsed="false">
      <c r="A1258" s="8" t="n">
        <v>45740</v>
      </c>
      <c r="B1258" s="9" t="n">
        <f aca="false">DAY(A1258)</f>
        <v>24</v>
      </c>
      <c r="C1258" s="9" t="n">
        <f aca="false">MONTH(A1258)</f>
        <v>3</v>
      </c>
      <c r="D1258" s="9" t="n">
        <f aca="false">YEAR(A1258)</f>
        <v>2025</v>
      </c>
      <c r="E1258" s="9" t="n">
        <f aca="false">WEEKDAY(A1258,2)</f>
        <v>1</v>
      </c>
      <c r="F1258" s="10" t="n">
        <f aca="false">WEEKNUM(A1258,2) - WEEKNUM(DATE(YEAR(A1258),MONTH(A1258),1),2) + 1</f>
        <v>5</v>
      </c>
      <c r="G1258" s="10"/>
      <c r="H1258" s="11" t="n">
        <v>1540</v>
      </c>
      <c r="I1258" s="12" t="s">
        <v>20</v>
      </c>
      <c r="J1258" s="12" t="s">
        <v>54</v>
      </c>
      <c r="K1258" s="12"/>
      <c r="L1258" s="9" t="n">
        <f aca="false">L1257+H1258</f>
        <v>47604.81</v>
      </c>
      <c r="M1258" s="10" t="str">
        <f aca="false">VLOOKUP(J1258,RECATALOGANDO!A:C,2,0)</f>
        <v>SERVICIO DE LABORATORIO</v>
      </c>
      <c r="N1258" s="12" t="str">
        <f aca="false">VLOOKUP(M1258,RECATALOGANDO!B:C,2,0)</f>
        <v>VENTA DE SERVICIO</v>
      </c>
      <c r="O1258" s="2" t="s">
        <v>39</v>
      </c>
    </row>
    <row r="1259" customFormat="false" ht="13.8" hidden="false" customHeight="false" outlineLevel="0" collapsed="false">
      <c r="A1259" s="8" t="n">
        <v>45740</v>
      </c>
      <c r="B1259" s="9" t="n">
        <f aca="false">DAY(A1259)</f>
        <v>24</v>
      </c>
      <c r="C1259" s="9" t="n">
        <f aca="false">MONTH(A1259)</f>
        <v>3</v>
      </c>
      <c r="D1259" s="9" t="n">
        <f aca="false">YEAR(A1259)</f>
        <v>2025</v>
      </c>
      <c r="E1259" s="9" t="n">
        <f aca="false">WEEKDAY(A1259,2)</f>
        <v>1</v>
      </c>
      <c r="F1259" s="10" t="n">
        <f aca="false">WEEKNUM(A1259,2) - WEEKNUM(DATE(YEAR(A1259),MONTH(A1259),1),2) + 1</f>
        <v>5</v>
      </c>
      <c r="G1259" s="10"/>
      <c r="H1259" s="11" t="n">
        <v>1610</v>
      </c>
      <c r="I1259" s="12" t="s">
        <v>20</v>
      </c>
      <c r="J1259" s="12" t="s">
        <v>44</v>
      </c>
      <c r="K1259" s="12"/>
      <c r="L1259" s="9" t="n">
        <f aca="false">L1258+H1259</f>
        <v>49214.81</v>
      </c>
      <c r="M1259" s="10" t="str">
        <f aca="false">VLOOKUP(J1259,RECATALOGANDO!A:C,2,0)</f>
        <v>HONORARIOS MEDICOS</v>
      </c>
      <c r="N1259" s="12" t="str">
        <f aca="false">VLOOKUP(M1259,RECATALOGANDO!B:C,2,0)</f>
        <v>VENTA DE SERVICIO</v>
      </c>
      <c r="O1259" s="2" t="s">
        <v>39</v>
      </c>
    </row>
    <row r="1260" customFormat="false" ht="13.8" hidden="false" customHeight="false" outlineLevel="0" collapsed="false">
      <c r="A1260" s="8" t="n">
        <v>45741</v>
      </c>
      <c r="B1260" s="9" t="n">
        <f aca="false">DAY(A1260)</f>
        <v>25</v>
      </c>
      <c r="C1260" s="9" t="n">
        <f aca="false">MONTH(A1260)</f>
        <v>3</v>
      </c>
      <c r="D1260" s="9" t="n">
        <f aca="false">YEAR(A1260)</f>
        <v>2025</v>
      </c>
      <c r="E1260" s="9" t="n">
        <f aca="false">WEEKDAY(A1260,2)</f>
        <v>2</v>
      </c>
      <c r="F1260" s="10" t="n">
        <f aca="false">WEEKNUM(A1260,2) - WEEKNUM(DATE(YEAR(A1260),MONTH(A1260),1),2) + 1</f>
        <v>5</v>
      </c>
      <c r="G1260" s="10"/>
      <c r="H1260" s="11" t="n">
        <v>100</v>
      </c>
      <c r="I1260" s="12" t="s">
        <v>20</v>
      </c>
      <c r="J1260" s="12" t="s">
        <v>55</v>
      </c>
      <c r="K1260" s="12"/>
      <c r="L1260" s="9" t="n">
        <f aca="false">L1259+H1260</f>
        <v>49314.81</v>
      </c>
      <c r="M1260" s="10" t="str">
        <f aca="false">VLOOKUP(J1260,RECATALOGANDO!A:C,2,0)</f>
        <v>VENTA DE MEDICAMENTO</v>
      </c>
      <c r="N1260" s="12" t="str">
        <f aca="false">VLOOKUP(M1260,RECATALOGANDO!B:C,2,0)</f>
        <v>VENTA DE PRODUCTO</v>
      </c>
      <c r="O1260" s="2" t="s">
        <v>39</v>
      </c>
    </row>
    <row r="1261" customFormat="false" ht="13.8" hidden="false" customHeight="false" outlineLevel="0" collapsed="false">
      <c r="A1261" s="8" t="n">
        <v>45741</v>
      </c>
      <c r="B1261" s="9" t="n">
        <f aca="false">DAY(A1261)</f>
        <v>25</v>
      </c>
      <c r="C1261" s="9" t="n">
        <f aca="false">MONTH(A1261)</f>
        <v>3</v>
      </c>
      <c r="D1261" s="9" t="n">
        <f aca="false">YEAR(A1261)</f>
        <v>2025</v>
      </c>
      <c r="E1261" s="9" t="n">
        <f aca="false">WEEKDAY(A1261,2)</f>
        <v>2</v>
      </c>
      <c r="F1261" s="10" t="n">
        <f aca="false">WEEKNUM(A1261,2) - WEEKNUM(DATE(YEAR(A1261),MONTH(A1261),1),2) + 1</f>
        <v>5</v>
      </c>
      <c r="G1261" s="10"/>
      <c r="H1261" s="11" t="n">
        <v>125</v>
      </c>
      <c r="I1261" s="12" t="s">
        <v>20</v>
      </c>
      <c r="J1261" s="12" t="s">
        <v>55</v>
      </c>
      <c r="K1261" s="12"/>
      <c r="L1261" s="9" t="n">
        <f aca="false">L1260+H1261</f>
        <v>49439.81</v>
      </c>
      <c r="M1261" s="10" t="str">
        <f aca="false">VLOOKUP(J1261,RECATALOGANDO!A:C,2,0)</f>
        <v>VENTA DE MEDICAMENTO</v>
      </c>
      <c r="N1261" s="12" t="str">
        <f aca="false">VLOOKUP(M1261,RECATALOGANDO!B:C,2,0)</f>
        <v>VENTA DE PRODUCTO</v>
      </c>
      <c r="O1261" s="2" t="s">
        <v>39</v>
      </c>
    </row>
    <row r="1262" customFormat="false" ht="13.8" hidden="false" customHeight="false" outlineLevel="0" collapsed="false">
      <c r="A1262" s="8" t="n">
        <v>45741</v>
      </c>
      <c r="B1262" s="9" t="n">
        <f aca="false">DAY(A1262)</f>
        <v>25</v>
      </c>
      <c r="C1262" s="9" t="n">
        <f aca="false">MONTH(A1262)</f>
        <v>3</v>
      </c>
      <c r="D1262" s="9" t="n">
        <f aca="false">YEAR(A1262)</f>
        <v>2025</v>
      </c>
      <c r="E1262" s="9" t="n">
        <f aca="false">WEEKDAY(A1262,2)</f>
        <v>2</v>
      </c>
      <c r="F1262" s="10" t="n">
        <f aca="false">WEEKNUM(A1262,2) - WEEKNUM(DATE(YEAR(A1262),MONTH(A1262),1),2) + 1</f>
        <v>5</v>
      </c>
      <c r="G1262" s="10"/>
      <c r="H1262" s="11" t="n">
        <v>900</v>
      </c>
      <c r="I1262" s="12" t="s">
        <v>20</v>
      </c>
      <c r="J1262" s="12" t="s">
        <v>57</v>
      </c>
      <c r="K1262" s="12"/>
      <c r="L1262" s="9" t="n">
        <f aca="false">L1261+H1262</f>
        <v>50339.81</v>
      </c>
      <c r="M1262" s="10" t="str">
        <f aca="false">VLOOKUP(J1262,RECATALOGANDO!A:C,2,0)</f>
        <v>SERVICIO DE CREMACION</v>
      </c>
      <c r="N1262" s="12" t="str">
        <f aca="false">VLOOKUP(M1262,RECATALOGANDO!B:C,2,0)</f>
        <v>VENTA DE SERVICIO</v>
      </c>
      <c r="O1262" s="2" t="s">
        <v>39</v>
      </c>
    </row>
    <row r="1263" customFormat="false" ht="13.8" hidden="false" customHeight="false" outlineLevel="0" collapsed="false">
      <c r="A1263" s="8" t="n">
        <v>45743</v>
      </c>
      <c r="B1263" s="9" t="n">
        <f aca="false">DAY(A1263)</f>
        <v>27</v>
      </c>
      <c r="C1263" s="9" t="n">
        <f aca="false">MONTH(A1263)</f>
        <v>3</v>
      </c>
      <c r="D1263" s="9" t="n">
        <f aca="false">YEAR(A1263)</f>
        <v>2025</v>
      </c>
      <c r="E1263" s="9" t="n">
        <f aca="false">WEEKDAY(A1263,2)</f>
        <v>4</v>
      </c>
      <c r="F1263" s="10" t="n">
        <f aca="false">WEEKNUM(A1263,2) - WEEKNUM(DATE(YEAR(A1263),MONTH(A1263),1),2) + 1</f>
        <v>5</v>
      </c>
      <c r="G1263" s="10"/>
      <c r="H1263" s="11" t="n">
        <v>200</v>
      </c>
      <c r="I1263" s="12" t="s">
        <v>20</v>
      </c>
      <c r="J1263" s="12" t="s">
        <v>49</v>
      </c>
      <c r="K1263" s="12"/>
      <c r="L1263" s="9" t="n">
        <f aca="false">L1262+H1263</f>
        <v>50539.81</v>
      </c>
      <c r="M1263" s="10" t="str">
        <f aca="false">VLOOKUP(J1263,RECATALOGANDO!A:C,2,0)</f>
        <v>SERVICIO DE GROOMING</v>
      </c>
      <c r="N1263" s="12" t="str">
        <f aca="false">VLOOKUP(M1263,RECATALOGANDO!B:C,2,0)</f>
        <v>VENTA DE SERVICIO</v>
      </c>
      <c r="O1263" s="2" t="s">
        <v>39</v>
      </c>
    </row>
    <row r="1264" customFormat="false" ht="13.8" hidden="false" customHeight="false" outlineLevel="0" collapsed="false">
      <c r="A1264" s="8" t="n">
        <v>45743</v>
      </c>
      <c r="B1264" s="9" t="n">
        <f aca="false">DAY(A1264)</f>
        <v>27</v>
      </c>
      <c r="C1264" s="9" t="n">
        <f aca="false">MONTH(A1264)</f>
        <v>3</v>
      </c>
      <c r="D1264" s="9" t="n">
        <f aca="false">YEAR(A1264)</f>
        <v>2025</v>
      </c>
      <c r="E1264" s="9" t="n">
        <f aca="false">WEEKDAY(A1264,2)</f>
        <v>4</v>
      </c>
      <c r="F1264" s="10" t="n">
        <f aca="false">WEEKNUM(A1264,2) - WEEKNUM(DATE(YEAR(A1264),MONTH(A1264),1),2) + 1</f>
        <v>5</v>
      </c>
      <c r="G1264" s="10"/>
      <c r="H1264" s="11" t="n">
        <v>290</v>
      </c>
      <c r="I1264" s="12" t="s">
        <v>20</v>
      </c>
      <c r="J1264" s="12" t="s">
        <v>49</v>
      </c>
      <c r="K1264" s="12"/>
      <c r="L1264" s="9" t="n">
        <f aca="false">L1263+H1264</f>
        <v>50829.81</v>
      </c>
      <c r="M1264" s="10" t="str">
        <f aca="false">VLOOKUP(J1264,RECATALOGANDO!A:C,2,0)</f>
        <v>SERVICIO DE GROOMING</v>
      </c>
      <c r="N1264" s="12" t="str">
        <f aca="false">VLOOKUP(M1264,RECATALOGANDO!B:C,2,0)</f>
        <v>VENTA DE SERVICIO</v>
      </c>
      <c r="O1264" s="2" t="s">
        <v>39</v>
      </c>
    </row>
    <row r="1265" customFormat="false" ht="13.8" hidden="false" customHeight="false" outlineLevel="0" collapsed="false">
      <c r="A1265" s="8" t="n">
        <v>45743</v>
      </c>
      <c r="B1265" s="9" t="n">
        <f aca="false">DAY(A1265)</f>
        <v>27</v>
      </c>
      <c r="C1265" s="9" t="n">
        <f aca="false">MONTH(A1265)</f>
        <v>3</v>
      </c>
      <c r="D1265" s="9" t="n">
        <f aca="false">YEAR(A1265)</f>
        <v>2025</v>
      </c>
      <c r="E1265" s="9" t="n">
        <f aca="false">WEEKDAY(A1265,2)</f>
        <v>4</v>
      </c>
      <c r="F1265" s="10" t="n">
        <f aca="false">WEEKNUM(A1265,2) - WEEKNUM(DATE(YEAR(A1265),MONTH(A1265),1),2) + 1</f>
        <v>5</v>
      </c>
      <c r="G1265" s="10"/>
      <c r="H1265" s="11" t="n">
        <v>1216.96</v>
      </c>
      <c r="I1265" s="12" t="s">
        <v>15</v>
      </c>
      <c r="J1265" s="12" t="s">
        <v>44</v>
      </c>
      <c r="K1265" s="12"/>
      <c r="L1265" s="9" t="n">
        <f aca="false">L1264+H1265</f>
        <v>52046.77</v>
      </c>
      <c r="M1265" s="10" t="str">
        <f aca="false">VLOOKUP(J1265,RECATALOGANDO!A:C,2,0)</f>
        <v>HONORARIOS MEDICOS</v>
      </c>
      <c r="N1265" s="12" t="str">
        <f aca="false">VLOOKUP(M1265,RECATALOGANDO!B:C,2,0)</f>
        <v>VENTA DE SERVICIO</v>
      </c>
      <c r="O1265" s="2" t="s">
        <v>39</v>
      </c>
    </row>
    <row r="1266" customFormat="false" ht="13.8" hidden="false" customHeight="false" outlineLevel="0" collapsed="false">
      <c r="A1266" s="8" t="n">
        <v>45744</v>
      </c>
      <c r="B1266" s="9" t="n">
        <f aca="false">DAY(A1266)</f>
        <v>28</v>
      </c>
      <c r="C1266" s="9" t="n">
        <f aca="false">MONTH(A1266)</f>
        <v>3</v>
      </c>
      <c r="D1266" s="9" t="n">
        <f aca="false">YEAR(A1266)</f>
        <v>2025</v>
      </c>
      <c r="E1266" s="9" t="n">
        <f aca="false">WEEKDAY(A1266,2)</f>
        <v>5</v>
      </c>
      <c r="F1266" s="10" t="n">
        <f aca="false">WEEKNUM(A1266,2) - WEEKNUM(DATE(YEAR(A1266),MONTH(A1266),1),2) + 1</f>
        <v>5</v>
      </c>
      <c r="G1266" s="10" t="n">
        <v>2</v>
      </c>
      <c r="H1266" s="11" t="n">
        <v>1250</v>
      </c>
      <c r="I1266" s="12" t="s">
        <v>20</v>
      </c>
      <c r="J1266" s="12" t="s">
        <v>51</v>
      </c>
      <c r="K1266" s="12"/>
      <c r="L1266" s="9" t="n">
        <f aca="false">L1265+H1266</f>
        <v>53296.77</v>
      </c>
      <c r="M1266" s="10" t="str">
        <f aca="false">VLOOKUP(J1266,RECATALOGANDO!A:C,2,0)</f>
        <v>VENTA DE ALIMENTO</v>
      </c>
      <c r="N1266" s="12" t="str">
        <f aca="false">VLOOKUP(M1266,RECATALOGANDO!B:C,2,0)</f>
        <v>VENTA DE PRODUCTO</v>
      </c>
      <c r="O1266" s="2" t="s">
        <v>39</v>
      </c>
    </row>
    <row r="1267" customFormat="false" ht="13.8" hidden="false" customHeight="false" outlineLevel="0" collapsed="false">
      <c r="A1267" s="8" t="n">
        <v>45744</v>
      </c>
      <c r="B1267" s="9" t="n">
        <f aca="false">DAY(A1267)</f>
        <v>28</v>
      </c>
      <c r="C1267" s="9" t="n">
        <f aca="false">MONTH(A1267)</f>
        <v>3</v>
      </c>
      <c r="D1267" s="9" t="n">
        <f aca="false">YEAR(A1267)</f>
        <v>2025</v>
      </c>
      <c r="E1267" s="9" t="n">
        <f aca="false">WEEKDAY(A1267,2)</f>
        <v>5</v>
      </c>
      <c r="F1267" s="10" t="n">
        <f aca="false">WEEKNUM(A1267,2) - WEEKNUM(DATE(YEAR(A1267),MONTH(A1267),1),2) + 1</f>
        <v>5</v>
      </c>
      <c r="G1267" s="10" t="n">
        <v>2</v>
      </c>
      <c r="H1267" s="11" t="n">
        <v>1430</v>
      </c>
      <c r="I1267" s="12" t="s">
        <v>20</v>
      </c>
      <c r="J1267" s="12" t="s">
        <v>55</v>
      </c>
      <c r="K1267" s="12"/>
      <c r="L1267" s="9" t="n">
        <f aca="false">L1266+H1267</f>
        <v>54726.77</v>
      </c>
      <c r="M1267" s="10" t="str">
        <f aca="false">VLOOKUP(J1267,RECATALOGANDO!A:C,2,0)</f>
        <v>VENTA DE MEDICAMENTO</v>
      </c>
      <c r="N1267" s="12" t="str">
        <f aca="false">VLOOKUP(M1267,RECATALOGANDO!B:C,2,0)</f>
        <v>VENTA DE PRODUCTO</v>
      </c>
      <c r="O1267" s="2" t="s">
        <v>39</v>
      </c>
    </row>
    <row r="1268" customFormat="false" ht="13.8" hidden="false" customHeight="false" outlineLevel="0" collapsed="false">
      <c r="A1268" s="8" t="n">
        <v>45745</v>
      </c>
      <c r="B1268" s="9" t="n">
        <f aca="false">DAY(A1268)</f>
        <v>29</v>
      </c>
      <c r="C1268" s="9" t="n">
        <f aca="false">MONTH(A1268)</f>
        <v>3</v>
      </c>
      <c r="D1268" s="9" t="n">
        <f aca="false">YEAR(A1268)</f>
        <v>2025</v>
      </c>
      <c r="E1268" s="9" t="n">
        <f aca="false">WEEKDAY(A1268,2)</f>
        <v>6</v>
      </c>
      <c r="F1268" s="10" t="n">
        <f aca="false">WEEKNUM(A1268,2) - WEEKNUM(DATE(YEAR(A1268),MONTH(A1268),1),2) + 1</f>
        <v>5</v>
      </c>
      <c r="G1268" s="10"/>
      <c r="H1268" s="11" t="n">
        <v>1640</v>
      </c>
      <c r="I1268" s="12" t="s">
        <v>15</v>
      </c>
      <c r="J1268" s="12" t="s">
        <v>55</v>
      </c>
      <c r="K1268" s="12"/>
      <c r="L1268" s="9" t="n">
        <f aca="false">L1267+H1268</f>
        <v>56366.77</v>
      </c>
      <c r="M1268" s="10" t="str">
        <f aca="false">VLOOKUP(J1268,RECATALOGANDO!A:C,2,0)</f>
        <v>VENTA DE MEDICAMENTO</v>
      </c>
      <c r="N1268" s="12" t="str">
        <f aca="false">VLOOKUP(M1268,RECATALOGANDO!B:C,2,0)</f>
        <v>VENTA DE PRODUCTO</v>
      </c>
      <c r="O1268" s="2" t="s">
        <v>39</v>
      </c>
    </row>
    <row r="1269" customFormat="false" ht="13.8" hidden="false" customHeight="false" outlineLevel="0" collapsed="false">
      <c r="A1269" s="8" t="n">
        <v>45746</v>
      </c>
      <c r="B1269" s="9" t="n">
        <f aca="false">DAY(A1269)</f>
        <v>30</v>
      </c>
      <c r="C1269" s="9" t="n">
        <f aca="false">MONTH(A1269)</f>
        <v>3</v>
      </c>
      <c r="D1269" s="9" t="n">
        <f aca="false">YEAR(A1269)</f>
        <v>2025</v>
      </c>
      <c r="E1269" s="9" t="n">
        <f aca="false">WEEKDAY(A1269,2)</f>
        <v>7</v>
      </c>
      <c r="F1269" s="10" t="n">
        <f aca="false">WEEKNUM(A1269,2) - WEEKNUM(DATE(YEAR(A1269),MONTH(A1269),1),2) + 1</f>
        <v>5</v>
      </c>
      <c r="G1269" s="10"/>
      <c r="H1269" s="11" t="n">
        <v>14852</v>
      </c>
      <c r="I1269" s="12" t="s">
        <v>15</v>
      </c>
      <c r="J1269" s="12" t="s">
        <v>64</v>
      </c>
      <c r="K1269" s="12"/>
      <c r="L1269" s="9" t="n">
        <f aca="false">L1268+H1269</f>
        <v>71218.77</v>
      </c>
      <c r="M1269" s="10" t="str">
        <f aca="false">VLOOKUP(J1269,RECATALOGANDO!A:C,2,0)</f>
        <v>HONORARIOS QUIRURGICOS</v>
      </c>
      <c r="N1269" s="12" t="str">
        <f aca="false">VLOOKUP(M1269,RECATALOGANDO!B:C,2,0)</f>
        <v>VENTA DE SERVICIO</v>
      </c>
      <c r="O1269" s="2" t="s">
        <v>39</v>
      </c>
    </row>
    <row r="1270" customFormat="false" ht="13.8" hidden="false" customHeight="false" outlineLevel="0" collapsed="false">
      <c r="A1270" s="8" t="n">
        <v>45747</v>
      </c>
      <c r="B1270" s="9" t="n">
        <f aca="false">DAY(A1270)</f>
        <v>31</v>
      </c>
      <c r="C1270" s="9" t="n">
        <f aca="false">MONTH(A1270)</f>
        <v>3</v>
      </c>
      <c r="D1270" s="9" t="n">
        <f aca="false">YEAR(A1270)</f>
        <v>2025</v>
      </c>
      <c r="E1270" s="9" t="n">
        <f aca="false">WEEKDAY(A1270,2)</f>
        <v>1</v>
      </c>
      <c r="F1270" s="10" t="n">
        <f aca="false">WEEKNUM(A1270,2) - WEEKNUM(DATE(YEAR(A1270),MONTH(A1270),1),2) + 1</f>
        <v>6</v>
      </c>
      <c r="G1270" s="10"/>
      <c r="H1270" s="11" t="n">
        <v>3650</v>
      </c>
      <c r="I1270" s="12" t="s">
        <v>20</v>
      </c>
      <c r="J1270" s="12" t="s">
        <v>55</v>
      </c>
      <c r="K1270" s="12"/>
      <c r="L1270" s="9" t="n">
        <f aca="false">L1269+H1270</f>
        <v>74868.77</v>
      </c>
      <c r="M1270" s="10" t="str">
        <f aca="false">VLOOKUP(J1270,RECATALOGANDO!A:C,2,0)</f>
        <v>VENTA DE MEDICAMENTO</v>
      </c>
      <c r="N1270" s="12" t="str">
        <f aca="false">VLOOKUP(M1270,RECATALOGANDO!B:C,2,0)</f>
        <v>VENTA DE PRODUCTO</v>
      </c>
      <c r="O1270" s="2" t="s">
        <v>39</v>
      </c>
    </row>
    <row r="1271" customFormat="false" ht="13.8" hidden="false" customHeight="false" outlineLevel="0" collapsed="false">
      <c r="A1271" s="8" t="n">
        <v>45748</v>
      </c>
      <c r="B1271" s="9" t="n">
        <f aca="false">DAY(A1271)</f>
        <v>1</v>
      </c>
      <c r="C1271" s="9" t="n">
        <f aca="false">MONTH(A1271)</f>
        <v>4</v>
      </c>
      <c r="D1271" s="9" t="n">
        <f aca="false">YEAR(A1271)</f>
        <v>2025</v>
      </c>
      <c r="E1271" s="9" t="n">
        <f aca="false">WEEKDAY(A1271,2)</f>
        <v>2</v>
      </c>
      <c r="F1271" s="10" t="n">
        <f aca="false">WEEKNUM(A1271,2) - WEEKNUM(DATE(YEAR(A1271),MONTH(A1271),1),2) + 1</f>
        <v>1</v>
      </c>
      <c r="G1271" s="10"/>
      <c r="H1271" s="11" t="n">
        <v>290</v>
      </c>
      <c r="I1271" s="12" t="s">
        <v>20</v>
      </c>
      <c r="J1271" s="12" t="s">
        <v>44</v>
      </c>
      <c r="K1271" s="12"/>
      <c r="L1271" s="9" t="n">
        <f aca="false">H1271</f>
        <v>290</v>
      </c>
      <c r="M1271" s="10" t="str">
        <f aca="false">VLOOKUP(J1271,RECATALOGANDO!A:C,2,0)</f>
        <v>HONORARIOS MEDICOS</v>
      </c>
      <c r="N1271" s="12" t="str">
        <f aca="false">VLOOKUP(M1271,RECATALOGANDO!B:C,2,0)</f>
        <v>VENTA DE SERVICIO</v>
      </c>
      <c r="O1271" s="2" t="s">
        <v>39</v>
      </c>
    </row>
    <row r="1272" customFormat="false" ht="13.8" hidden="false" customHeight="false" outlineLevel="0" collapsed="false">
      <c r="A1272" s="8" t="n">
        <v>45749</v>
      </c>
      <c r="B1272" s="9" t="n">
        <f aca="false">DAY(A1272)</f>
        <v>2</v>
      </c>
      <c r="C1272" s="9" t="n">
        <f aca="false">MONTH(A1272)</f>
        <v>4</v>
      </c>
      <c r="D1272" s="9" t="n">
        <f aca="false">YEAR(A1272)</f>
        <v>2025</v>
      </c>
      <c r="E1272" s="9" t="n">
        <f aca="false">WEEKDAY(A1272,2)</f>
        <v>3</v>
      </c>
      <c r="F1272" s="10" t="n">
        <f aca="false">WEEKNUM(A1272,2) - WEEKNUM(DATE(YEAR(A1272),MONTH(A1272),1),2) + 1</f>
        <v>1</v>
      </c>
      <c r="G1272" s="10"/>
      <c r="H1272" s="11" t="n">
        <v>500</v>
      </c>
      <c r="I1272" s="12" t="s">
        <v>20</v>
      </c>
      <c r="J1272" s="12" t="s">
        <v>51</v>
      </c>
      <c r="K1272" s="12"/>
      <c r="L1272" s="9" t="n">
        <f aca="false">L1271+H1272</f>
        <v>790</v>
      </c>
      <c r="M1272" s="10" t="str">
        <f aca="false">VLOOKUP(J1272,RECATALOGANDO!A:C,2,0)</f>
        <v>VENTA DE ALIMENTO</v>
      </c>
      <c r="N1272" s="12" t="str">
        <f aca="false">VLOOKUP(M1272,RECATALOGANDO!B:C,2,0)</f>
        <v>VENTA DE PRODUCTO</v>
      </c>
      <c r="O1272" s="2" t="s">
        <v>39</v>
      </c>
    </row>
    <row r="1273" customFormat="false" ht="13.8" hidden="false" customHeight="false" outlineLevel="0" collapsed="false">
      <c r="A1273" s="8" t="n">
        <v>45750</v>
      </c>
      <c r="B1273" s="9" t="n">
        <f aca="false">DAY(A1273)</f>
        <v>3</v>
      </c>
      <c r="C1273" s="9" t="n">
        <f aca="false">MONTH(A1273)</f>
        <v>4</v>
      </c>
      <c r="D1273" s="9" t="n">
        <f aca="false">YEAR(A1273)</f>
        <v>2025</v>
      </c>
      <c r="E1273" s="9" t="n">
        <f aca="false">WEEKDAY(A1273,2)</f>
        <v>4</v>
      </c>
      <c r="F1273" s="10" t="n">
        <f aca="false">WEEKNUM(A1273,2) - WEEKNUM(DATE(YEAR(A1273),MONTH(A1273),1),2) + 1</f>
        <v>1</v>
      </c>
      <c r="G1273" s="10"/>
      <c r="H1273" s="11" t="n">
        <v>1718</v>
      </c>
      <c r="I1273" s="12" t="s">
        <v>20</v>
      </c>
      <c r="J1273" s="12" t="s">
        <v>55</v>
      </c>
      <c r="K1273" s="12"/>
      <c r="L1273" s="9" t="n">
        <f aca="false">L1272+H1273</f>
        <v>2508</v>
      </c>
      <c r="M1273" s="10" t="str">
        <f aca="false">VLOOKUP(J1273,RECATALOGANDO!A:C,2,0)</f>
        <v>VENTA DE MEDICAMENTO</v>
      </c>
      <c r="N1273" s="12" t="str">
        <f aca="false">VLOOKUP(M1273,RECATALOGANDO!B:C,2,0)</f>
        <v>VENTA DE PRODUCTO</v>
      </c>
      <c r="O1273" s="2" t="s">
        <v>39</v>
      </c>
    </row>
    <row r="1274" customFormat="false" ht="13.8" hidden="false" customHeight="false" outlineLevel="0" collapsed="false">
      <c r="A1274" s="8" t="n">
        <v>45751</v>
      </c>
      <c r="B1274" s="9" t="n">
        <f aca="false">DAY(A1274)</f>
        <v>4</v>
      </c>
      <c r="C1274" s="9" t="n">
        <f aca="false">MONTH(A1274)</f>
        <v>4</v>
      </c>
      <c r="D1274" s="9" t="n">
        <f aca="false">YEAR(A1274)</f>
        <v>2025</v>
      </c>
      <c r="E1274" s="9" t="n">
        <f aca="false">WEEKDAY(A1274,2)</f>
        <v>5</v>
      </c>
      <c r="F1274" s="10" t="n">
        <f aca="false">WEEKNUM(A1274,2) - WEEKNUM(DATE(YEAR(A1274),MONTH(A1274),1),2) + 1</f>
        <v>1</v>
      </c>
      <c r="G1274" s="10"/>
      <c r="H1274" s="11" t="n">
        <v>250</v>
      </c>
      <c r="I1274" s="12" t="s">
        <v>20</v>
      </c>
      <c r="J1274" s="12" t="s">
        <v>74</v>
      </c>
      <c r="K1274" s="12"/>
      <c r="L1274" s="9" t="n">
        <f aca="false">L1273+H1274</f>
        <v>2758</v>
      </c>
      <c r="M1274" s="10" t="str">
        <f aca="false">VLOOKUP(J1274,RECATALOGANDO!A:C,2,0)</f>
        <v>VENTA DE ALIMENTO</v>
      </c>
      <c r="N1274" s="12" t="str">
        <f aca="false">VLOOKUP(M1274,RECATALOGANDO!B:C,2,0)</f>
        <v>VENTA DE PRODUCTO</v>
      </c>
      <c r="O1274" s="2" t="s">
        <v>39</v>
      </c>
    </row>
    <row r="1275" customFormat="false" ht="13.8" hidden="false" customHeight="false" outlineLevel="0" collapsed="false">
      <c r="A1275" s="8" t="n">
        <v>45754</v>
      </c>
      <c r="B1275" s="9" t="n">
        <f aca="false">DAY(A1275)</f>
        <v>7</v>
      </c>
      <c r="C1275" s="9" t="n">
        <f aca="false">MONTH(A1275)</f>
        <v>4</v>
      </c>
      <c r="D1275" s="9" t="n">
        <f aca="false">YEAR(A1275)</f>
        <v>2025</v>
      </c>
      <c r="E1275" s="9" t="n">
        <f aca="false">WEEKDAY(A1275,2)</f>
        <v>1</v>
      </c>
      <c r="F1275" s="10" t="n">
        <f aca="false">WEEKNUM(A1275,2) - WEEKNUM(DATE(YEAR(A1275),MONTH(A1275),1),2) + 1</f>
        <v>2</v>
      </c>
      <c r="G1275" s="10"/>
      <c r="H1275" s="11" t="n">
        <v>2738</v>
      </c>
      <c r="I1275" s="12" t="s">
        <v>20</v>
      </c>
      <c r="J1275" s="12" t="s">
        <v>55</v>
      </c>
      <c r="K1275" s="12"/>
      <c r="L1275" s="9" t="n">
        <f aca="false">L1274+H1275</f>
        <v>5496</v>
      </c>
      <c r="M1275" s="10" t="str">
        <f aca="false">VLOOKUP(J1275,RECATALOGANDO!A:C,2,0)</f>
        <v>VENTA DE MEDICAMENTO</v>
      </c>
      <c r="N1275" s="12" t="str">
        <f aca="false">VLOOKUP(M1275,RECATALOGANDO!B:C,2,0)</f>
        <v>VENTA DE PRODUCTO</v>
      </c>
      <c r="O1275" s="2" t="s">
        <v>39</v>
      </c>
    </row>
    <row r="1276" customFormat="false" ht="13.8" hidden="false" customHeight="false" outlineLevel="0" collapsed="false">
      <c r="A1276" s="8" t="n">
        <v>45754</v>
      </c>
      <c r="B1276" s="9" t="n">
        <f aca="false">DAY(A1276)</f>
        <v>7</v>
      </c>
      <c r="C1276" s="9" t="n">
        <f aca="false">MONTH(A1276)</f>
        <v>4</v>
      </c>
      <c r="D1276" s="9" t="n">
        <f aca="false">YEAR(A1276)</f>
        <v>2025</v>
      </c>
      <c r="E1276" s="9" t="n">
        <f aca="false">WEEKDAY(A1276,2)</f>
        <v>1</v>
      </c>
      <c r="F1276" s="10" t="n">
        <f aca="false">WEEKNUM(A1276,2) - WEEKNUM(DATE(YEAR(A1276),MONTH(A1276),1),2) + 1</f>
        <v>2</v>
      </c>
      <c r="G1276" s="10"/>
      <c r="H1276" s="11" t="n">
        <v>2890</v>
      </c>
      <c r="I1276" s="12" t="s">
        <v>20</v>
      </c>
      <c r="J1276" s="12" t="s">
        <v>51</v>
      </c>
      <c r="K1276" s="12"/>
      <c r="L1276" s="9" t="n">
        <f aca="false">L1275+H1276</f>
        <v>8386</v>
      </c>
      <c r="M1276" s="10" t="str">
        <f aca="false">VLOOKUP(J1276,RECATALOGANDO!A:C,2,0)</f>
        <v>VENTA DE ALIMENTO</v>
      </c>
      <c r="N1276" s="12" t="str">
        <f aca="false">VLOOKUP(M1276,RECATALOGANDO!B:C,2,0)</f>
        <v>VENTA DE PRODUCTO</v>
      </c>
      <c r="O1276" s="2" t="s">
        <v>39</v>
      </c>
    </row>
    <row r="1277" customFormat="false" ht="13.8" hidden="false" customHeight="false" outlineLevel="0" collapsed="false">
      <c r="A1277" s="8" t="n">
        <v>45754</v>
      </c>
      <c r="B1277" s="9" t="n">
        <f aca="false">DAY(A1277)</f>
        <v>7</v>
      </c>
      <c r="C1277" s="9" t="n">
        <f aca="false">MONTH(A1277)</f>
        <v>4</v>
      </c>
      <c r="D1277" s="9" t="n">
        <f aca="false">YEAR(A1277)</f>
        <v>2025</v>
      </c>
      <c r="E1277" s="9" t="n">
        <f aca="false">WEEKDAY(A1277,2)</f>
        <v>1</v>
      </c>
      <c r="F1277" s="10" t="n">
        <f aca="false">WEEKNUM(A1277,2) - WEEKNUM(DATE(YEAR(A1277),MONTH(A1277),1),2) + 1</f>
        <v>2</v>
      </c>
      <c r="G1277" s="10"/>
      <c r="H1277" s="11" t="n">
        <v>290</v>
      </c>
      <c r="I1277" s="12" t="s">
        <v>20</v>
      </c>
      <c r="J1277" s="12" t="s">
        <v>59</v>
      </c>
      <c r="K1277" s="12"/>
      <c r="L1277" s="9" t="n">
        <f aca="false">L1276+H1277</f>
        <v>8676</v>
      </c>
      <c r="M1277" s="10" t="str">
        <f aca="false">VLOOKUP(J1277,RECATALOGANDO!A:C,2,0)</f>
        <v>SERVICIO DE PENSION</v>
      </c>
      <c r="N1277" s="12" t="str">
        <f aca="false">VLOOKUP(M1277,RECATALOGANDO!B:C,2,0)</f>
        <v>VENTA DE SERVICIO</v>
      </c>
      <c r="O1277" s="2" t="s">
        <v>39</v>
      </c>
    </row>
    <row r="1278" customFormat="false" ht="13.8" hidden="false" customHeight="false" outlineLevel="0" collapsed="false">
      <c r="A1278" s="8" t="n">
        <v>45754</v>
      </c>
      <c r="B1278" s="9" t="n">
        <f aca="false">DAY(A1278)</f>
        <v>7</v>
      </c>
      <c r="C1278" s="9" t="n">
        <f aca="false">MONTH(A1278)</f>
        <v>4</v>
      </c>
      <c r="D1278" s="9" t="n">
        <f aca="false">YEAR(A1278)</f>
        <v>2025</v>
      </c>
      <c r="E1278" s="9" t="n">
        <f aca="false">WEEKDAY(A1278,2)</f>
        <v>1</v>
      </c>
      <c r="F1278" s="10" t="n">
        <f aca="false">WEEKNUM(A1278,2) - WEEKNUM(DATE(YEAR(A1278),MONTH(A1278),1),2) + 1</f>
        <v>2</v>
      </c>
      <c r="G1278" s="10"/>
      <c r="H1278" s="11" t="n">
        <v>975</v>
      </c>
      <c r="I1278" s="12" t="s">
        <v>20</v>
      </c>
      <c r="J1278" s="12" t="s">
        <v>57</v>
      </c>
      <c r="K1278" s="12"/>
      <c r="L1278" s="9" t="n">
        <f aca="false">L1277+H1278</f>
        <v>9651</v>
      </c>
      <c r="M1278" s="10" t="str">
        <f aca="false">VLOOKUP(J1278,RECATALOGANDO!A:C,2,0)</f>
        <v>SERVICIO DE CREMACION</v>
      </c>
      <c r="N1278" s="12" t="str">
        <f aca="false">VLOOKUP(M1278,RECATALOGANDO!B:C,2,0)</f>
        <v>VENTA DE SERVICIO</v>
      </c>
      <c r="O1278" s="2" t="s">
        <v>39</v>
      </c>
    </row>
    <row r="1279" customFormat="false" ht="13.8" hidden="false" customHeight="false" outlineLevel="0" collapsed="false">
      <c r="A1279" s="8" t="n">
        <v>45754</v>
      </c>
      <c r="B1279" s="9" t="n">
        <f aca="false">DAY(A1279)</f>
        <v>7</v>
      </c>
      <c r="C1279" s="9" t="n">
        <f aca="false">MONTH(A1279)</f>
        <v>4</v>
      </c>
      <c r="D1279" s="9" t="n">
        <f aca="false">YEAR(A1279)</f>
        <v>2025</v>
      </c>
      <c r="E1279" s="9" t="n">
        <f aca="false">WEEKDAY(A1279,2)</f>
        <v>1</v>
      </c>
      <c r="F1279" s="10" t="n">
        <f aca="false">WEEKNUM(A1279,2) - WEEKNUM(DATE(YEAR(A1279),MONTH(A1279),1),2) + 1</f>
        <v>2</v>
      </c>
      <c r="G1279" s="10"/>
      <c r="H1279" s="11" t="n">
        <v>3040</v>
      </c>
      <c r="I1279" s="12" t="s">
        <v>20</v>
      </c>
      <c r="J1279" s="12" t="s">
        <v>54</v>
      </c>
      <c r="K1279" s="12"/>
      <c r="L1279" s="9" t="n">
        <f aca="false">L1278+H1279</f>
        <v>12691</v>
      </c>
      <c r="M1279" s="10" t="str">
        <f aca="false">VLOOKUP(J1279,RECATALOGANDO!A:C,2,0)</f>
        <v>SERVICIO DE LABORATORIO</v>
      </c>
      <c r="N1279" s="12" t="str">
        <f aca="false">VLOOKUP(M1279,RECATALOGANDO!B:C,2,0)</f>
        <v>VENTA DE SERVICIO</v>
      </c>
      <c r="O1279" s="2" t="s">
        <v>39</v>
      </c>
    </row>
    <row r="1280" customFormat="false" ht="13.8" hidden="false" customHeight="false" outlineLevel="0" collapsed="false">
      <c r="A1280" s="8" t="n">
        <v>45756</v>
      </c>
      <c r="B1280" s="9" t="n">
        <f aca="false">DAY(A1280)</f>
        <v>9</v>
      </c>
      <c r="C1280" s="9" t="n">
        <f aca="false">MONTH(A1280)</f>
        <v>4</v>
      </c>
      <c r="D1280" s="9" t="n">
        <f aca="false">YEAR(A1280)</f>
        <v>2025</v>
      </c>
      <c r="E1280" s="9" t="n">
        <f aca="false">WEEKDAY(A1280,2)</f>
        <v>3</v>
      </c>
      <c r="F1280" s="10" t="n">
        <f aca="false">WEEKNUM(A1280,2) - WEEKNUM(DATE(YEAR(A1280),MONTH(A1280),1),2) + 1</f>
        <v>2</v>
      </c>
      <c r="G1280" s="10"/>
      <c r="H1280" s="11" t="n">
        <v>495</v>
      </c>
      <c r="I1280" s="12" t="s">
        <v>20</v>
      </c>
      <c r="J1280" s="12" t="s">
        <v>55</v>
      </c>
      <c r="K1280" s="12"/>
      <c r="L1280" s="9" t="n">
        <f aca="false">L1279+H1280</f>
        <v>13186</v>
      </c>
      <c r="M1280" s="10" t="str">
        <f aca="false">VLOOKUP(J1280,RECATALOGANDO!A:C,2,0)</f>
        <v>VENTA DE MEDICAMENTO</v>
      </c>
      <c r="N1280" s="12" t="str">
        <f aca="false">VLOOKUP(M1280,RECATALOGANDO!B:C,2,0)</f>
        <v>VENTA DE PRODUCTO</v>
      </c>
      <c r="O1280" s="2" t="s">
        <v>39</v>
      </c>
    </row>
    <row r="1281" customFormat="false" ht="13.8" hidden="false" customHeight="false" outlineLevel="0" collapsed="false">
      <c r="A1281" s="8" t="n">
        <v>45756</v>
      </c>
      <c r="B1281" s="9" t="n">
        <f aca="false">DAY(A1281)</f>
        <v>9</v>
      </c>
      <c r="C1281" s="9" t="n">
        <f aca="false">MONTH(A1281)</f>
        <v>4</v>
      </c>
      <c r="D1281" s="9" t="n">
        <f aca="false">YEAR(A1281)</f>
        <v>2025</v>
      </c>
      <c r="E1281" s="9" t="n">
        <f aca="false">WEEKDAY(A1281,2)</f>
        <v>3</v>
      </c>
      <c r="F1281" s="10" t="n">
        <f aca="false">WEEKNUM(A1281,2) - WEEKNUM(DATE(YEAR(A1281),MONTH(A1281),1),2) + 1</f>
        <v>2</v>
      </c>
      <c r="G1281" s="10"/>
      <c r="H1281" s="11" t="n">
        <v>710</v>
      </c>
      <c r="I1281" s="12" t="s">
        <v>20</v>
      </c>
      <c r="J1281" s="12" t="s">
        <v>49</v>
      </c>
      <c r="K1281" s="12"/>
      <c r="L1281" s="9" t="n">
        <f aca="false">L1280+H1281</f>
        <v>13896</v>
      </c>
      <c r="M1281" s="10" t="str">
        <f aca="false">VLOOKUP(J1281,RECATALOGANDO!A:C,2,0)</f>
        <v>SERVICIO DE GROOMING</v>
      </c>
      <c r="N1281" s="12" t="str">
        <f aca="false">VLOOKUP(M1281,RECATALOGANDO!B:C,2,0)</f>
        <v>VENTA DE SERVICIO</v>
      </c>
      <c r="O1281" s="2" t="s">
        <v>39</v>
      </c>
    </row>
    <row r="1282" customFormat="false" ht="13.8" hidden="false" customHeight="false" outlineLevel="0" collapsed="false">
      <c r="A1282" s="8" t="n">
        <v>45757</v>
      </c>
      <c r="B1282" s="9" t="n">
        <f aca="false">DAY(A1282)</f>
        <v>10</v>
      </c>
      <c r="C1282" s="9" t="n">
        <f aca="false">MONTH(A1282)</f>
        <v>4</v>
      </c>
      <c r="D1282" s="9" t="n">
        <f aca="false">YEAR(A1282)</f>
        <v>2025</v>
      </c>
      <c r="E1282" s="9" t="n">
        <f aca="false">WEEKDAY(A1282,2)</f>
        <v>4</v>
      </c>
      <c r="F1282" s="10" t="n">
        <f aca="false">WEEKNUM(A1282,2) - WEEKNUM(DATE(YEAR(A1282),MONTH(A1282),1),2) + 1</f>
        <v>2</v>
      </c>
      <c r="G1282" s="10"/>
      <c r="H1282" s="11" t="n">
        <v>300</v>
      </c>
      <c r="I1282" s="12" t="s">
        <v>20</v>
      </c>
      <c r="J1282" s="12" t="s">
        <v>55</v>
      </c>
      <c r="K1282" s="12"/>
      <c r="L1282" s="9" t="n">
        <f aca="false">L1281+H1282</f>
        <v>14196</v>
      </c>
      <c r="M1282" s="10" t="str">
        <f aca="false">VLOOKUP(J1282,RECATALOGANDO!A:C,2,0)</f>
        <v>VENTA DE MEDICAMENTO</v>
      </c>
      <c r="N1282" s="12" t="str">
        <f aca="false">VLOOKUP(M1282,RECATALOGANDO!B:C,2,0)</f>
        <v>VENTA DE PRODUCTO</v>
      </c>
      <c r="O1282" s="2" t="s">
        <v>39</v>
      </c>
    </row>
    <row r="1283" customFormat="false" ht="13.8" hidden="false" customHeight="false" outlineLevel="0" collapsed="false">
      <c r="A1283" s="8" t="n">
        <v>45758</v>
      </c>
      <c r="B1283" s="9" t="n">
        <f aca="false">DAY(A1283)</f>
        <v>11</v>
      </c>
      <c r="C1283" s="9" t="n">
        <f aca="false">MONTH(A1283)</f>
        <v>4</v>
      </c>
      <c r="D1283" s="9" t="n">
        <f aca="false">YEAR(A1283)</f>
        <v>2025</v>
      </c>
      <c r="E1283" s="9" t="n">
        <f aca="false">WEEKDAY(A1283,2)</f>
        <v>5</v>
      </c>
      <c r="F1283" s="10" t="n">
        <f aca="false">WEEKNUM(A1283,2) - WEEKNUM(DATE(YEAR(A1283),MONTH(A1283),1),2) + 1</f>
        <v>2</v>
      </c>
      <c r="G1283" s="10"/>
      <c r="H1283" s="11" t="n">
        <v>640</v>
      </c>
      <c r="I1283" s="12" t="s">
        <v>20</v>
      </c>
      <c r="J1283" s="12" t="s">
        <v>44</v>
      </c>
      <c r="K1283" s="12"/>
      <c r="L1283" s="9" t="n">
        <f aca="false">L1282+H1283</f>
        <v>14836</v>
      </c>
      <c r="M1283" s="10" t="str">
        <f aca="false">VLOOKUP(J1283,RECATALOGANDO!A:C,2,0)</f>
        <v>HONORARIOS MEDICOS</v>
      </c>
      <c r="N1283" s="12" t="str">
        <f aca="false">VLOOKUP(M1283,RECATALOGANDO!B:C,2,0)</f>
        <v>VENTA DE SERVICIO</v>
      </c>
      <c r="O1283" s="2" t="s">
        <v>39</v>
      </c>
    </row>
    <row r="1284" customFormat="false" ht="13.8" hidden="false" customHeight="false" outlineLevel="0" collapsed="false">
      <c r="A1284" s="8" t="n">
        <v>45761</v>
      </c>
      <c r="B1284" s="9" t="n">
        <f aca="false">DAY(A1284)</f>
        <v>14</v>
      </c>
      <c r="C1284" s="9" t="n">
        <f aca="false">MONTH(A1284)</f>
        <v>4</v>
      </c>
      <c r="D1284" s="9" t="n">
        <f aca="false">YEAR(A1284)</f>
        <v>2025</v>
      </c>
      <c r="E1284" s="9" t="n">
        <f aca="false">WEEKDAY(A1284,2)</f>
        <v>1</v>
      </c>
      <c r="F1284" s="10" t="n">
        <f aca="false">WEEKNUM(A1284,2) - WEEKNUM(DATE(YEAR(A1284),MONTH(A1284),1),2) + 1</f>
        <v>3</v>
      </c>
      <c r="G1284" s="10"/>
      <c r="H1284" s="11" t="n">
        <v>200</v>
      </c>
      <c r="I1284" s="12" t="s">
        <v>20</v>
      </c>
      <c r="J1284" s="12" t="s">
        <v>49</v>
      </c>
      <c r="K1284" s="12"/>
      <c r="L1284" s="9" t="n">
        <f aca="false">L1283+H1284</f>
        <v>15036</v>
      </c>
      <c r="M1284" s="10" t="str">
        <f aca="false">VLOOKUP(J1284,RECATALOGANDO!A:C,2,0)</f>
        <v>SERVICIO DE GROOMING</v>
      </c>
      <c r="N1284" s="12" t="str">
        <f aca="false">VLOOKUP(M1284,RECATALOGANDO!B:C,2,0)</f>
        <v>VENTA DE SERVICIO</v>
      </c>
      <c r="O1284" s="2" t="s">
        <v>39</v>
      </c>
    </row>
    <row r="1285" customFormat="false" ht="13.8" hidden="false" customHeight="false" outlineLevel="0" collapsed="false">
      <c r="A1285" s="8" t="n">
        <v>45761</v>
      </c>
      <c r="B1285" s="9" t="n">
        <f aca="false">DAY(A1285)</f>
        <v>14</v>
      </c>
      <c r="C1285" s="9" t="n">
        <f aca="false">MONTH(A1285)</f>
        <v>4</v>
      </c>
      <c r="D1285" s="9" t="n">
        <f aca="false">YEAR(A1285)</f>
        <v>2025</v>
      </c>
      <c r="E1285" s="9" t="n">
        <f aca="false">WEEKDAY(A1285,2)</f>
        <v>1</v>
      </c>
      <c r="F1285" s="10" t="n">
        <f aca="false">WEEKNUM(A1285,2) - WEEKNUM(DATE(YEAR(A1285),MONTH(A1285),1),2) + 1</f>
        <v>3</v>
      </c>
      <c r="G1285" s="10"/>
      <c r="H1285" s="11" t="n">
        <v>368</v>
      </c>
      <c r="I1285" s="12" t="s">
        <v>20</v>
      </c>
      <c r="J1285" s="12" t="s">
        <v>44</v>
      </c>
      <c r="K1285" s="12"/>
      <c r="L1285" s="9" t="n">
        <f aca="false">L1284+H1285</f>
        <v>15404</v>
      </c>
      <c r="M1285" s="10" t="str">
        <f aca="false">VLOOKUP(J1285,RECATALOGANDO!A:C,2,0)</f>
        <v>HONORARIOS MEDICOS</v>
      </c>
      <c r="N1285" s="12" t="str">
        <f aca="false">VLOOKUP(M1285,RECATALOGANDO!B:C,2,0)</f>
        <v>VENTA DE SERVICIO</v>
      </c>
      <c r="O1285" s="2" t="s">
        <v>39</v>
      </c>
    </row>
    <row r="1286" customFormat="false" ht="13.8" hidden="false" customHeight="false" outlineLevel="0" collapsed="false">
      <c r="A1286" s="8" t="n">
        <v>45761</v>
      </c>
      <c r="B1286" s="9" t="n">
        <f aca="false">DAY(A1286)</f>
        <v>14</v>
      </c>
      <c r="C1286" s="9" t="n">
        <f aca="false">MONTH(A1286)</f>
        <v>4</v>
      </c>
      <c r="D1286" s="9" t="n">
        <f aca="false">YEAR(A1286)</f>
        <v>2025</v>
      </c>
      <c r="E1286" s="9" t="n">
        <f aca="false">WEEKDAY(A1286,2)</f>
        <v>1</v>
      </c>
      <c r="F1286" s="10" t="n">
        <f aca="false">WEEKNUM(A1286,2) - WEEKNUM(DATE(YEAR(A1286),MONTH(A1286),1),2) + 1</f>
        <v>3</v>
      </c>
      <c r="G1286" s="10"/>
      <c r="H1286" s="11" t="n">
        <v>3620</v>
      </c>
      <c r="I1286" s="12" t="s">
        <v>20</v>
      </c>
      <c r="J1286" s="12" t="s">
        <v>44</v>
      </c>
      <c r="K1286" s="12"/>
      <c r="L1286" s="9" t="n">
        <f aca="false">L1285+H1286</f>
        <v>19024</v>
      </c>
      <c r="M1286" s="10" t="str">
        <f aca="false">VLOOKUP(J1286,RECATALOGANDO!A:C,2,0)</f>
        <v>HONORARIOS MEDICOS</v>
      </c>
      <c r="N1286" s="12" t="str">
        <f aca="false">VLOOKUP(M1286,RECATALOGANDO!B:C,2,0)</f>
        <v>VENTA DE SERVICIO</v>
      </c>
      <c r="O1286" s="2" t="s">
        <v>39</v>
      </c>
    </row>
    <row r="1287" customFormat="false" ht="13.8" hidden="false" customHeight="false" outlineLevel="0" collapsed="false">
      <c r="A1287" s="8" t="n">
        <v>45762</v>
      </c>
      <c r="B1287" s="9" t="n">
        <f aca="false">DAY(A1287)</f>
        <v>15</v>
      </c>
      <c r="C1287" s="9" t="n">
        <f aca="false">MONTH(A1287)</f>
        <v>4</v>
      </c>
      <c r="D1287" s="9" t="n">
        <f aca="false">YEAR(A1287)</f>
        <v>2025</v>
      </c>
      <c r="E1287" s="9" t="n">
        <f aca="false">WEEKDAY(A1287,2)</f>
        <v>2</v>
      </c>
      <c r="F1287" s="10" t="n">
        <f aca="false">WEEKNUM(A1287,2) - WEEKNUM(DATE(YEAR(A1287),MONTH(A1287),1),2) + 1</f>
        <v>3</v>
      </c>
      <c r="G1287" s="10" t="n">
        <v>1</v>
      </c>
      <c r="H1287" s="11" t="n">
        <v>100</v>
      </c>
      <c r="I1287" s="12" t="s">
        <v>20</v>
      </c>
      <c r="J1287" s="12" t="s">
        <v>49</v>
      </c>
      <c r="K1287" s="12"/>
      <c r="L1287" s="9" t="n">
        <f aca="false">L1286+H1287</f>
        <v>19124</v>
      </c>
      <c r="M1287" s="10" t="str">
        <f aca="false">VLOOKUP(J1287,RECATALOGANDO!A:C,2,0)</f>
        <v>SERVICIO DE GROOMING</v>
      </c>
      <c r="N1287" s="12" t="str">
        <f aca="false">VLOOKUP(M1287,RECATALOGANDO!B:C,2,0)</f>
        <v>VENTA DE SERVICIO</v>
      </c>
      <c r="O1287" s="2" t="s">
        <v>39</v>
      </c>
    </row>
    <row r="1288" customFormat="false" ht="13.8" hidden="false" customHeight="false" outlineLevel="0" collapsed="false">
      <c r="A1288" s="8" t="n">
        <v>45762</v>
      </c>
      <c r="B1288" s="9" t="n">
        <f aca="false">DAY(A1288)</f>
        <v>15</v>
      </c>
      <c r="C1288" s="9" t="n">
        <f aca="false">MONTH(A1288)</f>
        <v>4</v>
      </c>
      <c r="D1288" s="9" t="n">
        <f aca="false">YEAR(A1288)</f>
        <v>2025</v>
      </c>
      <c r="E1288" s="9" t="n">
        <f aca="false">WEEKDAY(A1288,2)</f>
        <v>2</v>
      </c>
      <c r="F1288" s="10" t="n">
        <f aca="false">WEEKNUM(A1288,2) - WEEKNUM(DATE(YEAR(A1288),MONTH(A1288),1),2) + 1</f>
        <v>3</v>
      </c>
      <c r="G1288" s="10" t="n">
        <v>1</v>
      </c>
      <c r="H1288" s="11" t="n">
        <v>330</v>
      </c>
      <c r="I1288" s="12" t="s">
        <v>20</v>
      </c>
      <c r="J1288" s="12" t="s">
        <v>49</v>
      </c>
      <c r="K1288" s="12"/>
      <c r="L1288" s="9" t="n">
        <f aca="false">L1287+H1288</f>
        <v>19454</v>
      </c>
      <c r="M1288" s="10" t="str">
        <f aca="false">VLOOKUP(J1288,RECATALOGANDO!A:C,2,0)</f>
        <v>SERVICIO DE GROOMING</v>
      </c>
      <c r="N1288" s="12" t="str">
        <f aca="false">VLOOKUP(M1288,RECATALOGANDO!B:C,2,0)</f>
        <v>VENTA DE SERVICIO</v>
      </c>
      <c r="O1288" s="2" t="s">
        <v>39</v>
      </c>
    </row>
    <row r="1289" customFormat="false" ht="13.8" hidden="false" customHeight="false" outlineLevel="0" collapsed="false">
      <c r="A1289" s="8" t="n">
        <v>45762</v>
      </c>
      <c r="B1289" s="9" t="n">
        <f aca="false">DAY(A1289)</f>
        <v>15</v>
      </c>
      <c r="C1289" s="9" t="n">
        <f aca="false">MONTH(A1289)</f>
        <v>4</v>
      </c>
      <c r="D1289" s="9" t="n">
        <f aca="false">YEAR(A1289)</f>
        <v>2025</v>
      </c>
      <c r="E1289" s="9" t="n">
        <f aca="false">WEEKDAY(A1289,2)</f>
        <v>2</v>
      </c>
      <c r="F1289" s="10" t="n">
        <f aca="false">WEEKNUM(A1289,2) - WEEKNUM(DATE(YEAR(A1289),MONTH(A1289),1),2) + 1</f>
        <v>3</v>
      </c>
      <c r="G1289" s="10" t="n">
        <v>1</v>
      </c>
      <c r="H1289" s="11" t="n">
        <v>700</v>
      </c>
      <c r="I1289" s="12" t="s">
        <v>20</v>
      </c>
      <c r="J1289" s="12" t="s">
        <v>49</v>
      </c>
      <c r="K1289" s="12"/>
      <c r="L1289" s="9" t="n">
        <f aca="false">L1288+H1289</f>
        <v>20154</v>
      </c>
      <c r="M1289" s="10" t="str">
        <f aca="false">VLOOKUP(J1289,RECATALOGANDO!A:C,2,0)</f>
        <v>SERVICIO DE GROOMING</v>
      </c>
      <c r="N1289" s="12" t="str">
        <f aca="false">VLOOKUP(M1289,RECATALOGANDO!B:C,2,0)</f>
        <v>VENTA DE SERVICIO</v>
      </c>
      <c r="O1289" s="2" t="s">
        <v>39</v>
      </c>
    </row>
    <row r="1290" customFormat="false" ht="13.8" hidden="false" customHeight="false" outlineLevel="0" collapsed="false">
      <c r="A1290" s="8" t="n">
        <v>45762</v>
      </c>
      <c r="B1290" s="9" t="n">
        <f aca="false">DAY(A1290)</f>
        <v>15</v>
      </c>
      <c r="C1290" s="9" t="n">
        <f aca="false">MONTH(A1290)</f>
        <v>4</v>
      </c>
      <c r="D1290" s="9" t="n">
        <f aca="false">YEAR(A1290)</f>
        <v>2025</v>
      </c>
      <c r="E1290" s="9" t="n">
        <f aca="false">WEEKDAY(A1290,2)</f>
        <v>2</v>
      </c>
      <c r="F1290" s="10" t="n">
        <f aca="false">WEEKNUM(A1290,2) - WEEKNUM(DATE(YEAR(A1290),MONTH(A1290),1),2) + 1</f>
        <v>3</v>
      </c>
      <c r="G1290" s="10" t="n">
        <v>1</v>
      </c>
      <c r="H1290" s="11" t="n">
        <v>2528</v>
      </c>
      <c r="I1290" s="12" t="s">
        <v>20</v>
      </c>
      <c r="J1290" s="12" t="s">
        <v>64</v>
      </c>
      <c r="K1290" s="12"/>
      <c r="L1290" s="9" t="n">
        <f aca="false">L1289+H1290</f>
        <v>22682</v>
      </c>
      <c r="M1290" s="10" t="str">
        <f aca="false">VLOOKUP(J1290,RECATALOGANDO!A:C,2,0)</f>
        <v>HONORARIOS QUIRURGICOS</v>
      </c>
      <c r="N1290" s="12" t="str">
        <f aca="false">VLOOKUP(M1290,RECATALOGANDO!B:C,2,0)</f>
        <v>VENTA DE SERVICIO</v>
      </c>
      <c r="O1290" s="2" t="s">
        <v>39</v>
      </c>
    </row>
    <row r="1291" customFormat="false" ht="13.8" hidden="false" customHeight="false" outlineLevel="0" collapsed="false">
      <c r="A1291" s="8" t="n">
        <v>45763</v>
      </c>
      <c r="B1291" s="9" t="n">
        <f aca="false">DAY(A1291)</f>
        <v>16</v>
      </c>
      <c r="C1291" s="9" t="n">
        <f aca="false">MONTH(A1291)</f>
        <v>4</v>
      </c>
      <c r="D1291" s="9" t="n">
        <f aca="false">YEAR(A1291)</f>
        <v>2025</v>
      </c>
      <c r="E1291" s="9" t="n">
        <f aca="false">WEEKDAY(A1291,2)</f>
        <v>3</v>
      </c>
      <c r="F1291" s="10" t="n">
        <f aca="false">WEEKNUM(A1291,2) - WEEKNUM(DATE(YEAR(A1291),MONTH(A1291),1),2) + 1</f>
        <v>3</v>
      </c>
      <c r="G1291" s="10"/>
      <c r="H1291" s="11" t="n">
        <v>460</v>
      </c>
      <c r="I1291" s="12" t="s">
        <v>20</v>
      </c>
      <c r="J1291" s="12" t="s">
        <v>55</v>
      </c>
      <c r="K1291" s="12"/>
      <c r="L1291" s="9" t="n">
        <f aca="false">L1290+H1291</f>
        <v>23142</v>
      </c>
      <c r="M1291" s="10" t="str">
        <f aca="false">VLOOKUP(J1291,RECATALOGANDO!A:C,2,0)</f>
        <v>VENTA DE MEDICAMENTO</v>
      </c>
      <c r="N1291" s="12" t="str">
        <f aca="false">VLOOKUP(M1291,RECATALOGANDO!B:C,2,0)</f>
        <v>VENTA DE PRODUCTO</v>
      </c>
      <c r="O1291" s="2" t="s">
        <v>39</v>
      </c>
    </row>
    <row r="1292" customFormat="false" ht="13.8" hidden="false" customHeight="false" outlineLevel="0" collapsed="false">
      <c r="A1292" s="8" t="n">
        <v>45763</v>
      </c>
      <c r="B1292" s="9" t="n">
        <f aca="false">DAY(A1292)</f>
        <v>16</v>
      </c>
      <c r="C1292" s="9" t="n">
        <f aca="false">MONTH(A1292)</f>
        <v>4</v>
      </c>
      <c r="D1292" s="9" t="n">
        <f aca="false">YEAR(A1292)</f>
        <v>2025</v>
      </c>
      <c r="E1292" s="9" t="n">
        <f aca="false">WEEKDAY(A1292,2)</f>
        <v>3</v>
      </c>
      <c r="F1292" s="10" t="n">
        <f aca="false">WEEKNUM(A1292,2) - WEEKNUM(DATE(YEAR(A1292),MONTH(A1292),1),2) + 1</f>
        <v>3</v>
      </c>
      <c r="G1292" s="10"/>
      <c r="H1292" s="11" t="n">
        <v>5430</v>
      </c>
      <c r="I1292" s="12" t="s">
        <v>20</v>
      </c>
      <c r="J1292" s="12" t="s">
        <v>55</v>
      </c>
      <c r="K1292" s="12"/>
      <c r="L1292" s="9" t="n">
        <f aca="false">L1291+H1292</f>
        <v>28572</v>
      </c>
      <c r="M1292" s="10" t="str">
        <f aca="false">VLOOKUP(J1292,RECATALOGANDO!A:C,2,0)</f>
        <v>VENTA DE MEDICAMENTO</v>
      </c>
      <c r="N1292" s="12" t="str">
        <f aca="false">VLOOKUP(M1292,RECATALOGANDO!B:C,2,0)</f>
        <v>VENTA DE PRODUCTO</v>
      </c>
      <c r="O1292" s="2" t="s">
        <v>39</v>
      </c>
    </row>
    <row r="1293" customFormat="false" ht="13.8" hidden="false" customHeight="false" outlineLevel="0" collapsed="false">
      <c r="A1293" s="8" t="n">
        <v>45763</v>
      </c>
      <c r="B1293" s="9" t="n">
        <f aca="false">DAY(A1293)</f>
        <v>16</v>
      </c>
      <c r="C1293" s="9" t="n">
        <f aca="false">MONTH(A1293)</f>
        <v>4</v>
      </c>
      <c r="D1293" s="9" t="n">
        <f aca="false">YEAR(A1293)</f>
        <v>2025</v>
      </c>
      <c r="E1293" s="9" t="n">
        <f aca="false">WEEKDAY(A1293,2)</f>
        <v>3</v>
      </c>
      <c r="F1293" s="10" t="n">
        <f aca="false">WEEKNUM(A1293,2) - WEEKNUM(DATE(YEAR(A1293),MONTH(A1293),1),2) + 1</f>
        <v>3</v>
      </c>
      <c r="G1293" s="10"/>
      <c r="H1293" s="11" t="n">
        <v>960</v>
      </c>
      <c r="I1293" s="12" t="s">
        <v>20</v>
      </c>
      <c r="J1293" s="12" t="s">
        <v>54</v>
      </c>
      <c r="K1293" s="12"/>
      <c r="L1293" s="9" t="n">
        <f aca="false">L1292+H1293</f>
        <v>29532</v>
      </c>
      <c r="M1293" s="10" t="str">
        <f aca="false">VLOOKUP(J1293,RECATALOGANDO!A:C,2,0)</f>
        <v>SERVICIO DE LABORATORIO</v>
      </c>
      <c r="N1293" s="12" t="str">
        <f aca="false">VLOOKUP(M1293,RECATALOGANDO!B:C,2,0)</f>
        <v>VENTA DE SERVICIO</v>
      </c>
      <c r="O1293" s="2" t="s">
        <v>39</v>
      </c>
    </row>
    <row r="1294" customFormat="false" ht="13.8" hidden="false" customHeight="false" outlineLevel="0" collapsed="false">
      <c r="A1294" s="8" t="n">
        <v>45763</v>
      </c>
      <c r="B1294" s="9" t="n">
        <f aca="false">DAY(A1294)</f>
        <v>16</v>
      </c>
      <c r="C1294" s="9" t="n">
        <f aca="false">MONTH(A1294)</f>
        <v>4</v>
      </c>
      <c r="D1294" s="9" t="n">
        <f aca="false">YEAR(A1294)</f>
        <v>2025</v>
      </c>
      <c r="E1294" s="9" t="n">
        <f aca="false">WEEKDAY(A1294,2)</f>
        <v>3</v>
      </c>
      <c r="F1294" s="10" t="n">
        <f aca="false">WEEKNUM(A1294,2) - WEEKNUM(DATE(YEAR(A1294),MONTH(A1294),1),2) + 1</f>
        <v>3</v>
      </c>
      <c r="G1294" s="10"/>
      <c r="H1294" s="11" t="n">
        <v>1920</v>
      </c>
      <c r="I1294" s="12" t="s">
        <v>20</v>
      </c>
      <c r="J1294" s="12" t="s">
        <v>64</v>
      </c>
      <c r="K1294" s="12"/>
      <c r="L1294" s="9" t="n">
        <f aca="false">L1293+H1294</f>
        <v>31452</v>
      </c>
      <c r="M1294" s="10" t="str">
        <f aca="false">VLOOKUP(J1294,RECATALOGANDO!A:C,2,0)</f>
        <v>HONORARIOS QUIRURGICOS</v>
      </c>
      <c r="N1294" s="12" t="str">
        <f aca="false">VLOOKUP(M1294,RECATALOGANDO!B:C,2,0)</f>
        <v>VENTA DE SERVICIO</v>
      </c>
      <c r="O1294" s="2" t="s">
        <v>39</v>
      </c>
    </row>
    <row r="1295" customFormat="false" ht="13.8" hidden="false" customHeight="false" outlineLevel="0" collapsed="false">
      <c r="A1295" s="8" t="n">
        <v>45768</v>
      </c>
      <c r="B1295" s="9" t="n">
        <f aca="false">DAY(A1295)</f>
        <v>21</v>
      </c>
      <c r="C1295" s="9" t="n">
        <f aca="false">MONTH(A1295)</f>
        <v>4</v>
      </c>
      <c r="D1295" s="9" t="n">
        <f aca="false">YEAR(A1295)</f>
        <v>2025</v>
      </c>
      <c r="E1295" s="9" t="n">
        <f aca="false">WEEKDAY(A1295,2)</f>
        <v>1</v>
      </c>
      <c r="F1295" s="10" t="n">
        <f aca="false">WEEKNUM(A1295,2) - WEEKNUM(DATE(YEAR(A1295),MONTH(A1295),1),2) + 1</f>
        <v>4</v>
      </c>
      <c r="G1295" s="10"/>
      <c r="H1295" s="11" t="n">
        <v>333</v>
      </c>
      <c r="I1295" s="12" t="s">
        <v>20</v>
      </c>
      <c r="J1295" s="12" t="s">
        <v>51</v>
      </c>
      <c r="K1295" s="12"/>
      <c r="L1295" s="9" t="n">
        <f aca="false">L1294+H1295</f>
        <v>31785</v>
      </c>
      <c r="M1295" s="10" t="str">
        <f aca="false">VLOOKUP(J1295,RECATALOGANDO!A:C,2,0)</f>
        <v>VENTA DE ALIMENTO</v>
      </c>
      <c r="N1295" s="12" t="str">
        <f aca="false">VLOOKUP(M1295,RECATALOGANDO!B:C,2,0)</f>
        <v>VENTA DE PRODUCTO</v>
      </c>
      <c r="O1295" s="2" t="s">
        <v>39</v>
      </c>
    </row>
    <row r="1296" customFormat="false" ht="13.8" hidden="false" customHeight="false" outlineLevel="0" collapsed="false">
      <c r="A1296" s="8" t="n">
        <v>45768</v>
      </c>
      <c r="B1296" s="9" t="n">
        <f aca="false">DAY(A1296)</f>
        <v>21</v>
      </c>
      <c r="C1296" s="9" t="n">
        <f aca="false">MONTH(A1296)</f>
        <v>4</v>
      </c>
      <c r="D1296" s="9" t="n">
        <f aca="false">YEAR(A1296)</f>
        <v>2025</v>
      </c>
      <c r="E1296" s="9" t="n">
        <f aca="false">WEEKDAY(A1296,2)</f>
        <v>1</v>
      </c>
      <c r="F1296" s="10" t="n">
        <f aca="false">WEEKNUM(A1296,2) - WEEKNUM(DATE(YEAR(A1296),MONTH(A1296),1),2) + 1</f>
        <v>4</v>
      </c>
      <c r="G1296" s="10"/>
      <c r="H1296" s="11" t="n">
        <v>1735</v>
      </c>
      <c r="I1296" s="12" t="s">
        <v>20</v>
      </c>
      <c r="J1296" s="12" t="s">
        <v>75</v>
      </c>
      <c r="K1296" s="12"/>
      <c r="L1296" s="9" t="n">
        <f aca="false">L1295+H1296</f>
        <v>33520</v>
      </c>
      <c r="M1296" s="10" t="str">
        <f aca="false">VLOOKUP(J1296,RECATALOGANDO!A:C,2,0)</f>
        <v>SERVICIO DE PENSION</v>
      </c>
      <c r="N1296" s="12" t="str">
        <f aca="false">VLOOKUP(M1296,RECATALOGANDO!B:C,2,0)</f>
        <v>VENTA DE SERVICIO</v>
      </c>
      <c r="O1296" s="2" t="s">
        <v>39</v>
      </c>
    </row>
    <row r="1297" customFormat="false" ht="13.8" hidden="false" customHeight="false" outlineLevel="0" collapsed="false">
      <c r="A1297" s="8" t="n">
        <v>45769</v>
      </c>
      <c r="B1297" s="9" t="n">
        <f aca="false">DAY(A1297)</f>
        <v>22</v>
      </c>
      <c r="C1297" s="9" t="n">
        <f aca="false">MONTH(A1297)</f>
        <v>4</v>
      </c>
      <c r="D1297" s="9" t="n">
        <f aca="false">YEAR(A1297)</f>
        <v>2025</v>
      </c>
      <c r="E1297" s="9" t="n">
        <f aca="false">WEEKDAY(A1297,2)</f>
        <v>2</v>
      </c>
      <c r="F1297" s="10" t="n">
        <f aca="false">WEEKNUM(A1297,2) - WEEKNUM(DATE(YEAR(A1297),MONTH(A1297),1),2) + 1</f>
        <v>4</v>
      </c>
      <c r="G1297" s="10"/>
      <c r="H1297" s="11" t="n">
        <v>350</v>
      </c>
      <c r="I1297" s="12" t="s">
        <v>20</v>
      </c>
      <c r="J1297" s="12" t="s">
        <v>51</v>
      </c>
      <c r="K1297" s="12"/>
      <c r="L1297" s="9" t="n">
        <f aca="false">L1296+H1297</f>
        <v>33870</v>
      </c>
      <c r="M1297" s="10" t="str">
        <f aca="false">VLOOKUP(J1297,RECATALOGANDO!A:C,2,0)</f>
        <v>VENTA DE ALIMENTO</v>
      </c>
      <c r="N1297" s="12" t="str">
        <f aca="false">VLOOKUP(M1297,RECATALOGANDO!B:C,2,0)</f>
        <v>VENTA DE PRODUCTO</v>
      </c>
      <c r="O1297" s="2" t="s">
        <v>39</v>
      </c>
    </row>
    <row r="1298" customFormat="false" ht="13.8" hidden="false" customHeight="false" outlineLevel="0" collapsed="false">
      <c r="A1298" s="8" t="n">
        <v>45769</v>
      </c>
      <c r="B1298" s="9" t="n">
        <f aca="false">DAY(A1298)</f>
        <v>22</v>
      </c>
      <c r="C1298" s="9" t="n">
        <f aca="false">MONTH(A1298)</f>
        <v>4</v>
      </c>
      <c r="D1298" s="9" t="n">
        <f aca="false">YEAR(A1298)</f>
        <v>2025</v>
      </c>
      <c r="E1298" s="9" t="n">
        <f aca="false">WEEKDAY(A1298,2)</f>
        <v>2</v>
      </c>
      <c r="F1298" s="10" t="n">
        <f aca="false">WEEKNUM(A1298,2) - WEEKNUM(DATE(YEAR(A1298),MONTH(A1298),1),2) + 1</f>
        <v>4</v>
      </c>
      <c r="G1298" s="10"/>
      <c r="H1298" s="11" t="n">
        <v>1003</v>
      </c>
      <c r="I1298" s="12" t="s">
        <v>20</v>
      </c>
      <c r="J1298" s="12" t="s">
        <v>55</v>
      </c>
      <c r="K1298" s="12"/>
      <c r="L1298" s="9" t="n">
        <f aca="false">L1297+H1298</f>
        <v>34873</v>
      </c>
      <c r="M1298" s="10" t="str">
        <f aca="false">VLOOKUP(J1298,RECATALOGANDO!A:C,2,0)</f>
        <v>VENTA DE MEDICAMENTO</v>
      </c>
      <c r="N1298" s="12" t="str">
        <f aca="false">VLOOKUP(M1298,RECATALOGANDO!B:C,2,0)</f>
        <v>VENTA DE PRODUCTO</v>
      </c>
      <c r="O1298" s="2" t="s">
        <v>39</v>
      </c>
    </row>
    <row r="1299" customFormat="false" ht="13.8" hidden="false" customHeight="false" outlineLevel="0" collapsed="false">
      <c r="A1299" s="8" t="n">
        <v>45769</v>
      </c>
      <c r="B1299" s="9" t="n">
        <f aca="false">DAY(A1299)</f>
        <v>22</v>
      </c>
      <c r="C1299" s="9" t="n">
        <f aca="false">MONTH(A1299)</f>
        <v>4</v>
      </c>
      <c r="D1299" s="9" t="n">
        <f aca="false">YEAR(A1299)</f>
        <v>2025</v>
      </c>
      <c r="E1299" s="9" t="n">
        <f aca="false">WEEKDAY(A1299,2)</f>
        <v>2</v>
      </c>
      <c r="F1299" s="10" t="n">
        <f aca="false">WEEKNUM(A1299,2) - WEEKNUM(DATE(YEAR(A1299),MONTH(A1299),1),2) + 1</f>
        <v>4</v>
      </c>
      <c r="G1299" s="10"/>
      <c r="H1299" s="11" t="n">
        <v>290</v>
      </c>
      <c r="I1299" s="12" t="s">
        <v>20</v>
      </c>
      <c r="J1299" s="12" t="s">
        <v>49</v>
      </c>
      <c r="K1299" s="12"/>
      <c r="L1299" s="9" t="n">
        <f aca="false">L1298+H1299</f>
        <v>35163</v>
      </c>
      <c r="M1299" s="10" t="str">
        <f aca="false">VLOOKUP(J1299,RECATALOGANDO!A:C,2,0)</f>
        <v>SERVICIO DE GROOMING</v>
      </c>
      <c r="N1299" s="12" t="str">
        <f aca="false">VLOOKUP(M1299,RECATALOGANDO!B:C,2,0)</f>
        <v>VENTA DE SERVICIO</v>
      </c>
      <c r="O1299" s="2" t="s">
        <v>39</v>
      </c>
    </row>
    <row r="1300" customFormat="false" ht="13.8" hidden="false" customHeight="false" outlineLevel="0" collapsed="false">
      <c r="A1300" s="8" t="n">
        <v>45769</v>
      </c>
      <c r="B1300" s="9" t="n">
        <f aca="false">DAY(A1300)</f>
        <v>22</v>
      </c>
      <c r="C1300" s="9" t="n">
        <f aca="false">MONTH(A1300)</f>
        <v>4</v>
      </c>
      <c r="D1300" s="9" t="n">
        <f aca="false">YEAR(A1300)</f>
        <v>2025</v>
      </c>
      <c r="E1300" s="9" t="n">
        <f aca="false">WEEKDAY(A1300,2)</f>
        <v>2</v>
      </c>
      <c r="F1300" s="10" t="n">
        <f aca="false">WEEKNUM(A1300,2) - WEEKNUM(DATE(YEAR(A1300),MONTH(A1300),1),2) + 1</f>
        <v>4</v>
      </c>
      <c r="G1300" s="10"/>
      <c r="H1300" s="11" t="n">
        <v>3210</v>
      </c>
      <c r="I1300" s="12" t="s">
        <v>20</v>
      </c>
      <c r="J1300" s="12" t="s">
        <v>59</v>
      </c>
      <c r="K1300" s="12"/>
      <c r="L1300" s="9" t="n">
        <f aca="false">L1299+H1300</f>
        <v>38373</v>
      </c>
      <c r="M1300" s="10" t="str">
        <f aca="false">VLOOKUP(J1300,RECATALOGANDO!A:C,2,0)</f>
        <v>SERVICIO DE PENSION</v>
      </c>
      <c r="N1300" s="12" t="str">
        <f aca="false">VLOOKUP(M1300,RECATALOGANDO!B:C,2,0)</f>
        <v>VENTA DE SERVICIO</v>
      </c>
      <c r="O1300" s="2" t="s">
        <v>39</v>
      </c>
    </row>
    <row r="1301" customFormat="false" ht="13.8" hidden="false" customHeight="false" outlineLevel="0" collapsed="false">
      <c r="A1301" s="8" t="n">
        <v>45770</v>
      </c>
      <c r="B1301" s="9" t="n">
        <f aca="false">DAY(A1301)</f>
        <v>23</v>
      </c>
      <c r="C1301" s="9" t="n">
        <f aca="false">MONTH(A1301)</f>
        <v>4</v>
      </c>
      <c r="D1301" s="9" t="n">
        <f aca="false">YEAR(A1301)</f>
        <v>2025</v>
      </c>
      <c r="E1301" s="9" t="n">
        <f aca="false">WEEKDAY(A1301,2)</f>
        <v>3</v>
      </c>
      <c r="F1301" s="10" t="n">
        <f aca="false">WEEKNUM(A1301,2) - WEEKNUM(DATE(YEAR(A1301),MONTH(A1301),1),2) + 1</f>
        <v>4</v>
      </c>
      <c r="G1301" s="10"/>
      <c r="H1301" s="11" t="n">
        <v>380</v>
      </c>
      <c r="I1301" s="12" t="s">
        <v>20</v>
      </c>
      <c r="J1301" s="12" t="s">
        <v>54</v>
      </c>
      <c r="K1301" s="12"/>
      <c r="L1301" s="9" t="n">
        <f aca="false">L1300+H1301</f>
        <v>38753</v>
      </c>
      <c r="M1301" s="10" t="str">
        <f aca="false">VLOOKUP(J1301,RECATALOGANDO!A:C,2,0)</f>
        <v>SERVICIO DE LABORATORIO</v>
      </c>
      <c r="N1301" s="12" t="str">
        <f aca="false">VLOOKUP(M1301,RECATALOGANDO!B:C,2,0)</f>
        <v>VENTA DE SERVICIO</v>
      </c>
      <c r="O1301" s="2" t="s">
        <v>39</v>
      </c>
    </row>
    <row r="1302" customFormat="false" ht="13.8" hidden="false" customHeight="false" outlineLevel="0" collapsed="false">
      <c r="A1302" s="8" t="n">
        <v>45770</v>
      </c>
      <c r="B1302" s="9" t="n">
        <f aca="false">DAY(A1302)</f>
        <v>23</v>
      </c>
      <c r="C1302" s="9" t="n">
        <f aca="false">MONTH(A1302)</f>
        <v>4</v>
      </c>
      <c r="D1302" s="9" t="n">
        <f aca="false">YEAR(A1302)</f>
        <v>2025</v>
      </c>
      <c r="E1302" s="9" t="n">
        <f aca="false">WEEKDAY(A1302,2)</f>
        <v>3</v>
      </c>
      <c r="F1302" s="10" t="n">
        <f aca="false">WEEKNUM(A1302,2) - WEEKNUM(DATE(YEAR(A1302),MONTH(A1302),1),2) + 1</f>
        <v>4</v>
      </c>
      <c r="G1302" s="10"/>
      <c r="H1302" s="11" t="n">
        <v>4660</v>
      </c>
      <c r="I1302" s="12" t="s">
        <v>20</v>
      </c>
      <c r="J1302" s="12" t="s">
        <v>59</v>
      </c>
      <c r="K1302" s="12"/>
      <c r="L1302" s="9" t="n">
        <f aca="false">L1301+H1302</f>
        <v>43413</v>
      </c>
      <c r="M1302" s="10" t="str">
        <f aca="false">VLOOKUP(J1302,RECATALOGANDO!A:C,2,0)</f>
        <v>SERVICIO DE PENSION</v>
      </c>
      <c r="N1302" s="12" t="str">
        <f aca="false">VLOOKUP(M1302,RECATALOGANDO!B:C,2,0)</f>
        <v>VENTA DE SERVICIO</v>
      </c>
      <c r="O1302" s="2" t="s">
        <v>39</v>
      </c>
    </row>
    <row r="1303" customFormat="false" ht="13.8" hidden="false" customHeight="false" outlineLevel="0" collapsed="false">
      <c r="A1303" s="8" t="n">
        <v>45772</v>
      </c>
      <c r="B1303" s="9" t="n">
        <f aca="false">DAY(A1303)</f>
        <v>25</v>
      </c>
      <c r="C1303" s="9" t="n">
        <f aca="false">MONTH(A1303)</f>
        <v>4</v>
      </c>
      <c r="D1303" s="9" t="n">
        <f aca="false">YEAR(A1303)</f>
        <v>2025</v>
      </c>
      <c r="E1303" s="9" t="n">
        <f aca="false">WEEKDAY(A1303,2)</f>
        <v>5</v>
      </c>
      <c r="F1303" s="10" t="n">
        <f aca="false">WEEKNUM(A1303,2) - WEEKNUM(DATE(YEAR(A1303),MONTH(A1303),1),2) + 1</f>
        <v>4</v>
      </c>
      <c r="G1303" s="10"/>
      <c r="H1303" s="11" t="n">
        <v>699</v>
      </c>
      <c r="I1303" s="12" t="s">
        <v>20</v>
      </c>
      <c r="J1303" s="12" t="s">
        <v>55</v>
      </c>
      <c r="K1303" s="12"/>
      <c r="L1303" s="9" t="n">
        <f aca="false">L1302+H1303</f>
        <v>44112</v>
      </c>
      <c r="M1303" s="10" t="str">
        <f aca="false">VLOOKUP(J1303,RECATALOGANDO!A:C,2,0)</f>
        <v>VENTA DE MEDICAMENTO</v>
      </c>
      <c r="N1303" s="12" t="str">
        <f aca="false">VLOOKUP(M1303,RECATALOGANDO!B:C,2,0)</f>
        <v>VENTA DE PRODUCTO</v>
      </c>
      <c r="O1303" s="2" t="s">
        <v>39</v>
      </c>
    </row>
    <row r="1304" customFormat="false" ht="13.8" hidden="false" customHeight="false" outlineLevel="0" collapsed="false">
      <c r="A1304" s="8" t="n">
        <v>45772</v>
      </c>
      <c r="B1304" s="9" t="n">
        <f aca="false">DAY(A1304)</f>
        <v>25</v>
      </c>
      <c r="C1304" s="9" t="n">
        <f aca="false">MONTH(A1304)</f>
        <v>4</v>
      </c>
      <c r="D1304" s="9" t="n">
        <f aca="false">YEAR(A1304)</f>
        <v>2025</v>
      </c>
      <c r="E1304" s="9" t="n">
        <f aca="false">WEEKDAY(A1304,2)</f>
        <v>5</v>
      </c>
      <c r="F1304" s="10" t="n">
        <f aca="false">WEEKNUM(A1304,2) - WEEKNUM(DATE(YEAR(A1304),MONTH(A1304),1),2) + 1</f>
        <v>4</v>
      </c>
      <c r="G1304" s="10"/>
      <c r="H1304" s="11" t="n">
        <v>180</v>
      </c>
      <c r="I1304" s="12" t="s">
        <v>20</v>
      </c>
      <c r="J1304" s="12" t="s">
        <v>49</v>
      </c>
      <c r="K1304" s="12"/>
      <c r="L1304" s="9" t="n">
        <f aca="false">L1303+H1304</f>
        <v>44292</v>
      </c>
      <c r="M1304" s="10" t="str">
        <f aca="false">VLOOKUP(J1304,RECATALOGANDO!A:C,2,0)</f>
        <v>SERVICIO DE GROOMING</v>
      </c>
      <c r="N1304" s="12" t="str">
        <f aca="false">VLOOKUP(M1304,RECATALOGANDO!B:C,2,0)</f>
        <v>VENTA DE SERVICIO</v>
      </c>
      <c r="O1304" s="2" t="s">
        <v>39</v>
      </c>
    </row>
    <row r="1305" customFormat="false" ht="13.8" hidden="false" customHeight="false" outlineLevel="0" collapsed="false">
      <c r="A1305" s="8" t="n">
        <v>45772</v>
      </c>
      <c r="B1305" s="9" t="n">
        <f aca="false">DAY(A1305)</f>
        <v>25</v>
      </c>
      <c r="C1305" s="9" t="n">
        <f aca="false">MONTH(A1305)</f>
        <v>4</v>
      </c>
      <c r="D1305" s="9" t="n">
        <f aca="false">YEAR(A1305)</f>
        <v>2025</v>
      </c>
      <c r="E1305" s="9" t="n">
        <f aca="false">WEEKDAY(A1305,2)</f>
        <v>5</v>
      </c>
      <c r="F1305" s="10" t="n">
        <f aca="false">WEEKNUM(A1305,2) - WEEKNUM(DATE(YEAR(A1305),MONTH(A1305),1),2) + 1</f>
        <v>4</v>
      </c>
      <c r="G1305" s="10"/>
      <c r="H1305" s="11" t="n">
        <v>290</v>
      </c>
      <c r="I1305" s="12" t="s">
        <v>20</v>
      </c>
      <c r="J1305" s="12" t="s">
        <v>44</v>
      </c>
      <c r="K1305" s="12"/>
      <c r="L1305" s="9" t="n">
        <f aca="false">L1304+H1305</f>
        <v>44582</v>
      </c>
      <c r="M1305" s="10" t="str">
        <f aca="false">VLOOKUP(J1305,RECATALOGANDO!A:C,2,0)</f>
        <v>HONORARIOS MEDICOS</v>
      </c>
      <c r="N1305" s="12" t="str">
        <f aca="false">VLOOKUP(M1305,RECATALOGANDO!B:C,2,0)</f>
        <v>VENTA DE SERVICIO</v>
      </c>
      <c r="O1305" s="2" t="s">
        <v>39</v>
      </c>
    </row>
    <row r="1306" customFormat="false" ht="13.8" hidden="false" customHeight="false" outlineLevel="0" collapsed="false">
      <c r="A1306" s="8" t="n">
        <v>45779</v>
      </c>
      <c r="B1306" s="9" t="n">
        <f aca="false">DAY(A1306)</f>
        <v>2</v>
      </c>
      <c r="C1306" s="9" t="n">
        <f aca="false">MONTH(A1306)</f>
        <v>5</v>
      </c>
      <c r="D1306" s="9" t="n">
        <f aca="false">YEAR(A1306)</f>
        <v>2025</v>
      </c>
      <c r="E1306" s="9" t="n">
        <f aca="false">WEEKDAY(A1306,2)</f>
        <v>5</v>
      </c>
      <c r="F1306" s="10" t="n">
        <f aca="false">WEEKNUM(A1306,2) - WEEKNUM(DATE(YEAR(A1306),MONTH(A1306),1),2) + 1</f>
        <v>1</v>
      </c>
      <c r="G1306" s="10"/>
      <c r="H1306" s="11" t="n">
        <v>290</v>
      </c>
      <c r="I1306" s="12" t="s">
        <v>20</v>
      </c>
      <c r="J1306" s="12" t="s">
        <v>45</v>
      </c>
      <c r="K1306" s="12"/>
      <c r="L1306" s="9" t="n">
        <f aca="false">H1306</f>
        <v>290</v>
      </c>
      <c r="M1306" s="10" t="str">
        <f aca="false">VLOOKUP(J1306,RECATALOGANDO!A:C,2,0)</f>
        <v>VENTA DE MEDICAMENTO</v>
      </c>
      <c r="N1306" s="12" t="str">
        <f aca="false">VLOOKUP(M1306,RECATALOGANDO!B:C,2,0)</f>
        <v>VENTA DE PRODUCTO</v>
      </c>
      <c r="O1306" s="2" t="s">
        <v>39</v>
      </c>
    </row>
    <row r="1307" customFormat="false" ht="13.8" hidden="false" customHeight="false" outlineLevel="0" collapsed="false">
      <c r="A1307" s="8" t="n">
        <v>45779</v>
      </c>
      <c r="B1307" s="9" t="n">
        <f aca="false">DAY(A1307)</f>
        <v>2</v>
      </c>
      <c r="C1307" s="9" t="n">
        <f aca="false">MONTH(A1307)</f>
        <v>5</v>
      </c>
      <c r="D1307" s="9" t="n">
        <f aca="false">YEAR(A1307)</f>
        <v>2025</v>
      </c>
      <c r="E1307" s="9" t="n">
        <f aca="false">WEEKDAY(A1307,2)</f>
        <v>5</v>
      </c>
      <c r="F1307" s="10" t="n">
        <f aca="false">WEEKNUM(A1307,2) - WEEKNUM(DATE(YEAR(A1307),MONTH(A1307),1),2) + 1</f>
        <v>1</v>
      </c>
      <c r="G1307" s="10"/>
      <c r="H1307" s="11" t="n">
        <v>674.61</v>
      </c>
      <c r="I1307" s="12" t="s">
        <v>15</v>
      </c>
      <c r="J1307" s="12" t="s">
        <v>44</v>
      </c>
      <c r="K1307" s="12"/>
      <c r="L1307" s="9" t="n">
        <f aca="false">L1306+H1307</f>
        <v>964.61</v>
      </c>
      <c r="M1307" s="10" t="str">
        <f aca="false">VLOOKUP(J1307,RECATALOGANDO!A:C,2,0)</f>
        <v>HONORARIOS MEDICOS</v>
      </c>
      <c r="N1307" s="12" t="str">
        <f aca="false">VLOOKUP(M1307,RECATALOGANDO!B:C,2,0)</f>
        <v>VENTA DE SERVICIO</v>
      </c>
      <c r="O1307" s="2" t="s">
        <v>39</v>
      </c>
    </row>
    <row r="1308" customFormat="false" ht="13.8" hidden="false" customHeight="false" outlineLevel="0" collapsed="false">
      <c r="A1308" s="8" t="n">
        <v>45782</v>
      </c>
      <c r="B1308" s="9" t="n">
        <f aca="false">DAY(A1308)</f>
        <v>5</v>
      </c>
      <c r="C1308" s="9" t="n">
        <f aca="false">MONTH(A1308)</f>
        <v>5</v>
      </c>
      <c r="D1308" s="9" t="n">
        <f aca="false">YEAR(A1308)</f>
        <v>2025</v>
      </c>
      <c r="E1308" s="9" t="n">
        <f aca="false">WEEKDAY(A1308,2)</f>
        <v>1</v>
      </c>
      <c r="F1308" s="10" t="n">
        <f aca="false">WEEKNUM(A1308,2) - WEEKNUM(DATE(YEAR(A1308),MONTH(A1308),1),2) + 1</f>
        <v>2</v>
      </c>
      <c r="G1308" s="10"/>
      <c r="H1308" s="11" t="n">
        <v>270</v>
      </c>
      <c r="I1308" s="12" t="s">
        <v>20</v>
      </c>
      <c r="J1308" s="12" t="s">
        <v>45</v>
      </c>
      <c r="K1308" s="12"/>
      <c r="L1308" s="9" t="n">
        <f aca="false">L1307+H1308</f>
        <v>1234.61</v>
      </c>
      <c r="M1308" s="10" t="str">
        <f aca="false">VLOOKUP(J1308,RECATALOGANDO!A:C,2,0)</f>
        <v>VENTA DE MEDICAMENTO</v>
      </c>
      <c r="N1308" s="12" t="str">
        <f aca="false">VLOOKUP(M1308,RECATALOGANDO!B:C,2,0)</f>
        <v>VENTA DE PRODUCTO</v>
      </c>
      <c r="O1308" s="2" t="s">
        <v>39</v>
      </c>
    </row>
    <row r="1309" customFormat="false" ht="13.8" hidden="false" customHeight="false" outlineLevel="0" collapsed="false">
      <c r="A1309" s="8" t="n">
        <v>45782</v>
      </c>
      <c r="B1309" s="9" t="n">
        <f aca="false">DAY(A1309)</f>
        <v>5</v>
      </c>
      <c r="C1309" s="9" t="n">
        <f aca="false">MONTH(A1309)</f>
        <v>5</v>
      </c>
      <c r="D1309" s="9" t="n">
        <f aca="false">YEAR(A1309)</f>
        <v>2025</v>
      </c>
      <c r="E1309" s="9" t="n">
        <f aca="false">WEEKDAY(A1309,2)</f>
        <v>1</v>
      </c>
      <c r="F1309" s="10" t="n">
        <f aca="false">WEEKNUM(A1309,2) - WEEKNUM(DATE(YEAR(A1309),MONTH(A1309),1),2) + 1</f>
        <v>2</v>
      </c>
      <c r="G1309" s="10"/>
      <c r="H1309" s="11" t="n">
        <v>619</v>
      </c>
      <c r="I1309" s="12" t="s">
        <v>20</v>
      </c>
      <c r="J1309" s="12" t="s">
        <v>51</v>
      </c>
      <c r="K1309" s="12"/>
      <c r="L1309" s="9" t="n">
        <f aca="false">L1308+H1309</f>
        <v>1853.61</v>
      </c>
      <c r="M1309" s="10" t="str">
        <f aca="false">VLOOKUP(J1309,RECATALOGANDO!A:C,2,0)</f>
        <v>VENTA DE ALIMENTO</v>
      </c>
      <c r="N1309" s="12" t="str">
        <f aca="false">VLOOKUP(M1309,RECATALOGANDO!B:C,2,0)</f>
        <v>VENTA DE PRODUCTO</v>
      </c>
      <c r="O1309" s="2" t="s">
        <v>39</v>
      </c>
    </row>
    <row r="1310" customFormat="false" ht="13.8" hidden="false" customHeight="false" outlineLevel="0" collapsed="false">
      <c r="A1310" s="8" t="n">
        <v>45782</v>
      </c>
      <c r="B1310" s="9" t="n">
        <f aca="false">DAY(A1310)</f>
        <v>5</v>
      </c>
      <c r="C1310" s="9" t="n">
        <f aca="false">MONTH(A1310)</f>
        <v>5</v>
      </c>
      <c r="D1310" s="9" t="n">
        <f aca="false">YEAR(A1310)</f>
        <v>2025</v>
      </c>
      <c r="E1310" s="9" t="n">
        <f aca="false">WEEKDAY(A1310,2)</f>
        <v>1</v>
      </c>
      <c r="F1310" s="10" t="n">
        <f aca="false">WEEKNUM(A1310,2) - WEEKNUM(DATE(YEAR(A1310),MONTH(A1310),1),2) + 1</f>
        <v>2</v>
      </c>
      <c r="G1310" s="10"/>
      <c r="H1310" s="11" t="n">
        <v>1030</v>
      </c>
      <c r="I1310" s="12" t="s">
        <v>20</v>
      </c>
      <c r="J1310" s="12" t="s">
        <v>45</v>
      </c>
      <c r="K1310" s="12"/>
      <c r="L1310" s="9" t="n">
        <f aca="false">L1309+H1310</f>
        <v>2883.61</v>
      </c>
      <c r="M1310" s="10" t="str">
        <f aca="false">VLOOKUP(J1310,RECATALOGANDO!A:C,2,0)</f>
        <v>VENTA DE MEDICAMENTO</v>
      </c>
      <c r="N1310" s="12" t="str">
        <f aca="false">VLOOKUP(M1310,RECATALOGANDO!B:C,2,0)</f>
        <v>VENTA DE PRODUCTO</v>
      </c>
      <c r="O1310" s="2" t="s">
        <v>39</v>
      </c>
    </row>
    <row r="1311" customFormat="false" ht="13.8" hidden="false" customHeight="false" outlineLevel="0" collapsed="false">
      <c r="A1311" s="8" t="n">
        <v>45782</v>
      </c>
      <c r="B1311" s="9" t="n">
        <f aca="false">DAY(A1311)</f>
        <v>5</v>
      </c>
      <c r="C1311" s="9" t="n">
        <f aca="false">MONTH(A1311)</f>
        <v>5</v>
      </c>
      <c r="D1311" s="9" t="n">
        <f aca="false">YEAR(A1311)</f>
        <v>2025</v>
      </c>
      <c r="E1311" s="9" t="n">
        <f aca="false">WEEKDAY(A1311,2)</f>
        <v>1</v>
      </c>
      <c r="F1311" s="10" t="n">
        <f aca="false">WEEKNUM(A1311,2) - WEEKNUM(DATE(YEAR(A1311),MONTH(A1311),1),2) + 1</f>
        <v>2</v>
      </c>
      <c r="G1311" s="10"/>
      <c r="H1311" s="11" t="n">
        <v>971</v>
      </c>
      <c r="I1311" s="12" t="s">
        <v>20</v>
      </c>
      <c r="J1311" s="12" t="s">
        <v>54</v>
      </c>
      <c r="K1311" s="12"/>
      <c r="L1311" s="9" t="n">
        <f aca="false">L1310+H1311</f>
        <v>3854.61</v>
      </c>
      <c r="M1311" s="10" t="str">
        <f aca="false">VLOOKUP(J1311,RECATALOGANDO!A:C,2,0)</f>
        <v>SERVICIO DE LABORATORIO</v>
      </c>
      <c r="N1311" s="12" t="str">
        <f aca="false">VLOOKUP(M1311,RECATALOGANDO!B:C,2,0)</f>
        <v>VENTA DE SERVICIO</v>
      </c>
      <c r="O1311" s="2" t="s">
        <v>39</v>
      </c>
    </row>
    <row r="1312" customFormat="false" ht="13.8" hidden="false" customHeight="false" outlineLevel="0" collapsed="false">
      <c r="A1312" s="8" t="n">
        <v>45782</v>
      </c>
      <c r="B1312" s="9" t="n">
        <f aca="false">DAY(A1312)</f>
        <v>5</v>
      </c>
      <c r="C1312" s="9" t="n">
        <f aca="false">MONTH(A1312)</f>
        <v>5</v>
      </c>
      <c r="D1312" s="9" t="n">
        <f aca="false">YEAR(A1312)</f>
        <v>2025</v>
      </c>
      <c r="E1312" s="9" t="n">
        <f aca="false">WEEKDAY(A1312,2)</f>
        <v>1</v>
      </c>
      <c r="F1312" s="10" t="n">
        <f aca="false">WEEKNUM(A1312,2) - WEEKNUM(DATE(YEAR(A1312),MONTH(A1312),1),2) + 1</f>
        <v>2</v>
      </c>
      <c r="G1312" s="10"/>
      <c r="H1312" s="11" t="n">
        <v>2350</v>
      </c>
      <c r="I1312" s="12" t="s">
        <v>20</v>
      </c>
      <c r="J1312" s="12" t="s">
        <v>64</v>
      </c>
      <c r="K1312" s="12"/>
      <c r="L1312" s="9" t="n">
        <f aca="false">L1311+H1312</f>
        <v>6204.61</v>
      </c>
      <c r="M1312" s="10" t="str">
        <f aca="false">VLOOKUP(J1312,RECATALOGANDO!A:C,2,0)</f>
        <v>HONORARIOS QUIRURGICOS</v>
      </c>
      <c r="N1312" s="12" t="str">
        <f aca="false">VLOOKUP(M1312,RECATALOGANDO!B:C,2,0)</f>
        <v>VENTA DE SERVICIO</v>
      </c>
      <c r="O1312" s="2" t="s">
        <v>39</v>
      </c>
    </row>
    <row r="1313" customFormat="false" ht="13.8" hidden="false" customHeight="false" outlineLevel="0" collapsed="false">
      <c r="A1313" s="8" t="n">
        <v>45784</v>
      </c>
      <c r="B1313" s="9" t="n">
        <f aca="false">DAY(A1313)</f>
        <v>7</v>
      </c>
      <c r="C1313" s="9" t="n">
        <f aca="false">MONTH(A1313)</f>
        <v>5</v>
      </c>
      <c r="D1313" s="9" t="n">
        <f aca="false">YEAR(A1313)</f>
        <v>2025</v>
      </c>
      <c r="E1313" s="9" t="n">
        <f aca="false">WEEKDAY(A1313,2)</f>
        <v>3</v>
      </c>
      <c r="F1313" s="10" t="n">
        <f aca="false">WEEKNUM(A1313,2) - WEEKNUM(DATE(YEAR(A1313),MONTH(A1313),1),2) + 1</f>
        <v>2</v>
      </c>
      <c r="G1313" s="10"/>
      <c r="H1313" s="11" t="n">
        <v>390</v>
      </c>
      <c r="I1313" s="12" t="s">
        <v>20</v>
      </c>
      <c r="J1313" s="12" t="s">
        <v>49</v>
      </c>
      <c r="K1313" s="12"/>
      <c r="L1313" s="9" t="n">
        <f aca="false">L1312+H1313</f>
        <v>6594.61</v>
      </c>
      <c r="M1313" s="10" t="str">
        <f aca="false">VLOOKUP(J1313,RECATALOGANDO!A:C,2,0)</f>
        <v>SERVICIO DE GROOMING</v>
      </c>
      <c r="N1313" s="12" t="str">
        <f aca="false">VLOOKUP(M1313,RECATALOGANDO!B:C,2,0)</f>
        <v>VENTA DE SERVICIO</v>
      </c>
      <c r="O1313" s="2" t="s">
        <v>39</v>
      </c>
    </row>
    <row r="1314" customFormat="false" ht="13.8" hidden="false" customHeight="false" outlineLevel="0" collapsed="false">
      <c r="A1314" s="8" t="n">
        <v>45784</v>
      </c>
      <c r="B1314" s="9" t="n">
        <f aca="false">DAY(A1314)</f>
        <v>7</v>
      </c>
      <c r="C1314" s="9" t="n">
        <f aca="false">MONTH(A1314)</f>
        <v>5</v>
      </c>
      <c r="D1314" s="9" t="n">
        <f aca="false">YEAR(A1314)</f>
        <v>2025</v>
      </c>
      <c r="E1314" s="9" t="n">
        <f aca="false">WEEKDAY(A1314,2)</f>
        <v>3</v>
      </c>
      <c r="F1314" s="10" t="n">
        <f aca="false">WEEKNUM(A1314,2) - WEEKNUM(DATE(YEAR(A1314),MONTH(A1314),1),2) + 1</f>
        <v>2</v>
      </c>
      <c r="G1314" s="10"/>
      <c r="H1314" s="11" t="n">
        <v>400</v>
      </c>
      <c r="I1314" s="12" t="s">
        <v>20</v>
      </c>
      <c r="J1314" s="12" t="s">
        <v>49</v>
      </c>
      <c r="K1314" s="12"/>
      <c r="L1314" s="9" t="n">
        <f aca="false">L1313+H1314</f>
        <v>6994.61</v>
      </c>
      <c r="M1314" s="10" t="str">
        <f aca="false">VLOOKUP(J1314,RECATALOGANDO!A:C,2,0)</f>
        <v>SERVICIO DE GROOMING</v>
      </c>
      <c r="N1314" s="12" t="str">
        <f aca="false">VLOOKUP(M1314,RECATALOGANDO!B:C,2,0)</f>
        <v>VENTA DE SERVICIO</v>
      </c>
      <c r="O1314" s="2" t="s">
        <v>39</v>
      </c>
    </row>
    <row r="1315" customFormat="false" ht="13.8" hidden="false" customHeight="false" outlineLevel="0" collapsed="false">
      <c r="A1315" s="8" t="n">
        <v>45784</v>
      </c>
      <c r="B1315" s="9" t="n">
        <f aca="false">DAY(A1315)</f>
        <v>7</v>
      </c>
      <c r="C1315" s="9" t="n">
        <f aca="false">MONTH(A1315)</f>
        <v>5</v>
      </c>
      <c r="D1315" s="9" t="n">
        <f aca="false">YEAR(A1315)</f>
        <v>2025</v>
      </c>
      <c r="E1315" s="9" t="n">
        <f aca="false">WEEKDAY(A1315,2)</f>
        <v>3</v>
      </c>
      <c r="F1315" s="10" t="n">
        <f aca="false">WEEKNUM(A1315,2) - WEEKNUM(DATE(YEAR(A1315),MONTH(A1315),1),2) + 1</f>
        <v>2</v>
      </c>
      <c r="G1315" s="10"/>
      <c r="H1315" s="11" t="n">
        <v>650</v>
      </c>
      <c r="I1315" s="12" t="s">
        <v>20</v>
      </c>
      <c r="J1315" s="12" t="s">
        <v>44</v>
      </c>
      <c r="K1315" s="12"/>
      <c r="L1315" s="9" t="n">
        <f aca="false">L1314+H1315</f>
        <v>7644.61</v>
      </c>
      <c r="M1315" s="10" t="str">
        <f aca="false">VLOOKUP(J1315,RECATALOGANDO!A:C,2,0)</f>
        <v>HONORARIOS MEDICOS</v>
      </c>
      <c r="N1315" s="12" t="str">
        <f aca="false">VLOOKUP(M1315,RECATALOGANDO!B:C,2,0)</f>
        <v>VENTA DE SERVICIO</v>
      </c>
      <c r="O1315" s="2" t="s">
        <v>39</v>
      </c>
    </row>
    <row r="1316" customFormat="false" ht="13.8" hidden="false" customHeight="false" outlineLevel="0" collapsed="false">
      <c r="A1316" s="8" t="n">
        <v>45785</v>
      </c>
      <c r="B1316" s="9" t="n">
        <f aca="false">DAY(A1316)</f>
        <v>8</v>
      </c>
      <c r="C1316" s="9" t="n">
        <f aca="false">MONTH(A1316)</f>
        <v>5</v>
      </c>
      <c r="D1316" s="9" t="n">
        <f aca="false">YEAR(A1316)</f>
        <v>2025</v>
      </c>
      <c r="E1316" s="9" t="n">
        <f aca="false">WEEKDAY(A1316,2)</f>
        <v>4</v>
      </c>
      <c r="F1316" s="10" t="n">
        <f aca="false">WEEKNUM(A1316,2) - WEEKNUM(DATE(YEAR(A1316),MONTH(A1316),1),2) + 1</f>
        <v>2</v>
      </c>
      <c r="G1316" s="10"/>
      <c r="H1316" s="11" t="n">
        <v>389</v>
      </c>
      <c r="I1316" s="12" t="s">
        <v>20</v>
      </c>
      <c r="J1316" s="12" t="s">
        <v>51</v>
      </c>
      <c r="K1316" s="12"/>
      <c r="L1316" s="9" t="n">
        <f aca="false">L1315+H1316</f>
        <v>8033.61</v>
      </c>
      <c r="M1316" s="10" t="str">
        <f aca="false">VLOOKUP(J1316,RECATALOGANDO!A:C,2,0)</f>
        <v>VENTA DE ALIMENTO</v>
      </c>
      <c r="N1316" s="12" t="str">
        <f aca="false">VLOOKUP(M1316,RECATALOGANDO!B:C,2,0)</f>
        <v>VENTA DE PRODUCTO</v>
      </c>
      <c r="O1316" s="2" t="s">
        <v>39</v>
      </c>
    </row>
    <row r="1317" customFormat="false" ht="13.8" hidden="false" customHeight="false" outlineLevel="0" collapsed="false">
      <c r="A1317" s="8" t="n">
        <v>45785</v>
      </c>
      <c r="B1317" s="9" t="n">
        <f aca="false">DAY(A1317)</f>
        <v>8</v>
      </c>
      <c r="C1317" s="9" t="n">
        <f aca="false">MONTH(A1317)</f>
        <v>5</v>
      </c>
      <c r="D1317" s="9" t="n">
        <f aca="false">YEAR(A1317)</f>
        <v>2025</v>
      </c>
      <c r="E1317" s="9" t="n">
        <f aca="false">WEEKDAY(A1317,2)</f>
        <v>4</v>
      </c>
      <c r="F1317" s="10" t="n">
        <f aca="false">WEEKNUM(A1317,2) - WEEKNUM(DATE(YEAR(A1317),MONTH(A1317),1),2) + 1</f>
        <v>2</v>
      </c>
      <c r="G1317" s="10"/>
      <c r="H1317" s="11" t="n">
        <v>1393</v>
      </c>
      <c r="I1317" s="12" t="s">
        <v>20</v>
      </c>
      <c r="J1317" s="12" t="s">
        <v>45</v>
      </c>
      <c r="K1317" s="12"/>
      <c r="L1317" s="9" t="n">
        <f aca="false">L1316+H1317</f>
        <v>9426.61</v>
      </c>
      <c r="M1317" s="10" t="str">
        <f aca="false">VLOOKUP(J1317,RECATALOGANDO!A:C,2,0)</f>
        <v>VENTA DE MEDICAMENTO</v>
      </c>
      <c r="N1317" s="12" t="str">
        <f aca="false">VLOOKUP(M1317,RECATALOGANDO!B:C,2,0)</f>
        <v>VENTA DE PRODUCTO</v>
      </c>
      <c r="O1317" s="2" t="s">
        <v>39</v>
      </c>
    </row>
    <row r="1318" customFormat="false" ht="13.8" hidden="false" customHeight="false" outlineLevel="0" collapsed="false">
      <c r="A1318" s="8" t="n">
        <v>45786</v>
      </c>
      <c r="B1318" s="9" t="n">
        <f aca="false">DAY(A1318)</f>
        <v>9</v>
      </c>
      <c r="C1318" s="9" t="n">
        <f aca="false">MONTH(A1318)</f>
        <v>5</v>
      </c>
      <c r="D1318" s="9" t="n">
        <f aca="false">YEAR(A1318)</f>
        <v>2025</v>
      </c>
      <c r="E1318" s="9" t="n">
        <f aca="false">WEEKDAY(A1318,2)</f>
        <v>5</v>
      </c>
      <c r="F1318" s="10" t="n">
        <f aca="false">WEEKNUM(A1318,2) - WEEKNUM(DATE(YEAR(A1318),MONTH(A1318),1),2) + 1</f>
        <v>2</v>
      </c>
      <c r="G1318" s="10"/>
      <c r="H1318" s="11" t="n">
        <v>1885.81</v>
      </c>
      <c r="I1318" s="12" t="s">
        <v>15</v>
      </c>
      <c r="J1318" s="12" t="s">
        <v>45</v>
      </c>
      <c r="K1318" s="12"/>
      <c r="L1318" s="9" t="n">
        <f aca="false">L1317+H1318</f>
        <v>11312.42</v>
      </c>
      <c r="M1318" s="10" t="str">
        <f aca="false">VLOOKUP(J1318,RECATALOGANDO!A:C,2,0)</f>
        <v>VENTA DE MEDICAMENTO</v>
      </c>
      <c r="N1318" s="12" t="str">
        <f aca="false">VLOOKUP(M1318,RECATALOGANDO!B:C,2,0)</f>
        <v>VENTA DE PRODUCTO</v>
      </c>
      <c r="O1318" s="2" t="s">
        <v>39</v>
      </c>
    </row>
    <row r="1319" customFormat="false" ht="13.8" hidden="false" customHeight="false" outlineLevel="0" collapsed="false">
      <c r="A1319" s="8" t="n">
        <v>45786</v>
      </c>
      <c r="B1319" s="9" t="n">
        <f aca="false">DAY(A1319)</f>
        <v>9</v>
      </c>
      <c r="C1319" s="9" t="n">
        <f aca="false">MONTH(A1319)</f>
        <v>5</v>
      </c>
      <c r="D1319" s="9" t="n">
        <f aca="false">YEAR(A1319)</f>
        <v>2025</v>
      </c>
      <c r="E1319" s="9" t="n">
        <f aca="false">WEEKDAY(A1319,2)</f>
        <v>5</v>
      </c>
      <c r="F1319" s="10" t="n">
        <f aca="false">WEEKNUM(A1319,2) - WEEKNUM(DATE(YEAR(A1319),MONTH(A1319),1),2) + 1</f>
        <v>2</v>
      </c>
      <c r="G1319" s="10"/>
      <c r="H1319" s="11" t="n">
        <v>800</v>
      </c>
      <c r="I1319" s="12" t="s">
        <v>20</v>
      </c>
      <c r="J1319" s="12" t="s">
        <v>44</v>
      </c>
      <c r="K1319" s="12"/>
      <c r="L1319" s="9" t="n">
        <f aca="false">L1318+H1319</f>
        <v>12112.42</v>
      </c>
      <c r="M1319" s="10" t="str">
        <f aca="false">VLOOKUP(J1319,RECATALOGANDO!A:C,2,0)</f>
        <v>HONORARIOS MEDICOS</v>
      </c>
      <c r="N1319" s="12" t="str">
        <f aca="false">VLOOKUP(M1319,RECATALOGANDO!B:C,2,0)</f>
        <v>VENTA DE SERVICIO</v>
      </c>
      <c r="O1319" s="2" t="s">
        <v>39</v>
      </c>
    </row>
    <row r="1320" customFormat="false" ht="13.8" hidden="false" customHeight="false" outlineLevel="0" collapsed="false">
      <c r="A1320" s="8" t="n">
        <v>45788</v>
      </c>
      <c r="B1320" s="9" t="n">
        <f aca="false">DAY(A1320)</f>
        <v>11</v>
      </c>
      <c r="C1320" s="9" t="n">
        <f aca="false">MONTH(A1320)</f>
        <v>5</v>
      </c>
      <c r="D1320" s="9" t="n">
        <f aca="false">YEAR(A1320)</f>
        <v>2025</v>
      </c>
      <c r="E1320" s="9" t="n">
        <f aca="false">WEEKDAY(A1320,2)</f>
        <v>7</v>
      </c>
      <c r="F1320" s="10" t="n">
        <f aca="false">WEEKNUM(A1320,2) - WEEKNUM(DATE(YEAR(A1320),MONTH(A1320),1),2) + 1</f>
        <v>2</v>
      </c>
      <c r="G1320" s="10"/>
      <c r="H1320" s="11" t="n">
        <v>200</v>
      </c>
      <c r="I1320" s="12" t="s">
        <v>20</v>
      </c>
      <c r="J1320" s="12" t="s">
        <v>49</v>
      </c>
      <c r="K1320" s="12"/>
      <c r="L1320" s="9" t="n">
        <f aca="false">L1319+H1320</f>
        <v>12312.42</v>
      </c>
      <c r="M1320" s="10" t="str">
        <f aca="false">VLOOKUP(J1320,RECATALOGANDO!A:C,2,0)</f>
        <v>SERVICIO DE GROOMING</v>
      </c>
      <c r="N1320" s="12" t="str">
        <f aca="false">VLOOKUP(M1320,RECATALOGANDO!B:C,2,0)</f>
        <v>VENTA DE SERVICIO</v>
      </c>
      <c r="O1320" s="2" t="s">
        <v>39</v>
      </c>
    </row>
    <row r="1321" customFormat="false" ht="13.8" hidden="false" customHeight="false" outlineLevel="0" collapsed="false">
      <c r="A1321" s="8" t="n">
        <v>45789</v>
      </c>
      <c r="B1321" s="9" t="n">
        <f aca="false">DAY(A1321)</f>
        <v>12</v>
      </c>
      <c r="C1321" s="9" t="n">
        <f aca="false">MONTH(A1321)</f>
        <v>5</v>
      </c>
      <c r="D1321" s="9" t="n">
        <f aca="false">YEAR(A1321)</f>
        <v>2025</v>
      </c>
      <c r="E1321" s="9" t="n">
        <f aca="false">WEEKDAY(A1321,2)</f>
        <v>1</v>
      </c>
      <c r="F1321" s="10" t="n">
        <f aca="false">WEEKNUM(A1321,2) - WEEKNUM(DATE(YEAR(A1321),MONTH(A1321),1),2) + 1</f>
        <v>3</v>
      </c>
      <c r="G1321" s="10"/>
      <c r="H1321" s="11" t="n">
        <v>1560</v>
      </c>
      <c r="I1321" s="12" t="s">
        <v>20</v>
      </c>
      <c r="J1321" s="12" t="s">
        <v>51</v>
      </c>
      <c r="K1321" s="12"/>
      <c r="L1321" s="9" t="n">
        <f aca="false">L1320+H1321</f>
        <v>13872.42</v>
      </c>
      <c r="M1321" s="10" t="str">
        <f aca="false">VLOOKUP(J1321,RECATALOGANDO!A:C,2,0)</f>
        <v>VENTA DE ALIMENTO</v>
      </c>
      <c r="N1321" s="12" t="str">
        <f aca="false">VLOOKUP(M1321,RECATALOGANDO!B:C,2,0)</f>
        <v>VENTA DE PRODUCTO</v>
      </c>
      <c r="O1321" s="2" t="s">
        <v>39</v>
      </c>
    </row>
    <row r="1322" customFormat="false" ht="13.8" hidden="false" customHeight="false" outlineLevel="0" collapsed="false">
      <c r="A1322" s="8" t="n">
        <v>45789</v>
      </c>
      <c r="B1322" s="9" t="n">
        <f aca="false">DAY(A1322)</f>
        <v>12</v>
      </c>
      <c r="C1322" s="9" t="n">
        <f aca="false">MONTH(A1322)</f>
        <v>5</v>
      </c>
      <c r="D1322" s="9" t="n">
        <f aca="false">YEAR(A1322)</f>
        <v>2025</v>
      </c>
      <c r="E1322" s="9" t="n">
        <f aca="false">WEEKDAY(A1322,2)</f>
        <v>1</v>
      </c>
      <c r="F1322" s="10" t="n">
        <f aca="false">WEEKNUM(A1322,2) - WEEKNUM(DATE(YEAR(A1322),MONTH(A1322),1),2) + 1</f>
        <v>3</v>
      </c>
      <c r="G1322" s="10"/>
      <c r="H1322" s="11" t="n">
        <v>170</v>
      </c>
      <c r="I1322" s="12" t="s">
        <v>20</v>
      </c>
      <c r="J1322" s="12" t="s">
        <v>49</v>
      </c>
      <c r="K1322" s="12"/>
      <c r="L1322" s="9" t="n">
        <f aca="false">L1321+H1322</f>
        <v>14042.42</v>
      </c>
      <c r="M1322" s="10" t="str">
        <f aca="false">VLOOKUP(J1322,RECATALOGANDO!A:C,2,0)</f>
        <v>SERVICIO DE GROOMING</v>
      </c>
      <c r="N1322" s="12" t="str">
        <f aca="false">VLOOKUP(M1322,RECATALOGANDO!B:C,2,0)</f>
        <v>VENTA DE SERVICIO</v>
      </c>
      <c r="O1322" s="2" t="s">
        <v>39</v>
      </c>
    </row>
    <row r="1323" customFormat="false" ht="13.8" hidden="false" customHeight="false" outlineLevel="0" collapsed="false">
      <c r="A1323" s="8" t="n">
        <v>45789</v>
      </c>
      <c r="B1323" s="9" t="n">
        <f aca="false">DAY(A1323)</f>
        <v>12</v>
      </c>
      <c r="C1323" s="9" t="n">
        <f aca="false">MONTH(A1323)</f>
        <v>5</v>
      </c>
      <c r="D1323" s="9" t="n">
        <f aca="false">YEAR(A1323)</f>
        <v>2025</v>
      </c>
      <c r="E1323" s="9" t="n">
        <f aca="false">WEEKDAY(A1323,2)</f>
        <v>1</v>
      </c>
      <c r="F1323" s="10" t="n">
        <f aca="false">WEEKNUM(A1323,2) - WEEKNUM(DATE(YEAR(A1323),MONTH(A1323),1),2) + 1</f>
        <v>3</v>
      </c>
      <c r="G1323" s="10"/>
      <c r="H1323" s="11" t="n">
        <v>335</v>
      </c>
      <c r="I1323" s="12" t="s">
        <v>15</v>
      </c>
      <c r="J1323" s="12" t="s">
        <v>44</v>
      </c>
      <c r="K1323" s="12"/>
      <c r="L1323" s="9" t="n">
        <f aca="false">L1322+H1323</f>
        <v>14377.42</v>
      </c>
      <c r="M1323" s="10" t="str">
        <f aca="false">VLOOKUP(J1323,RECATALOGANDO!A:C,2,0)</f>
        <v>HONORARIOS MEDICOS</v>
      </c>
      <c r="N1323" s="12" t="str">
        <f aca="false">VLOOKUP(M1323,RECATALOGANDO!B:C,2,0)</f>
        <v>VENTA DE SERVICIO</v>
      </c>
      <c r="O1323" s="2" t="s">
        <v>39</v>
      </c>
    </row>
    <row r="1324" customFormat="false" ht="13.8" hidden="false" customHeight="false" outlineLevel="0" collapsed="false">
      <c r="A1324" s="8" t="n">
        <v>45793</v>
      </c>
      <c r="B1324" s="9" t="n">
        <f aca="false">DAY(A1324)</f>
        <v>16</v>
      </c>
      <c r="C1324" s="9" t="n">
        <f aca="false">MONTH(A1324)</f>
        <v>5</v>
      </c>
      <c r="D1324" s="9" t="n">
        <f aca="false">YEAR(A1324)</f>
        <v>2025</v>
      </c>
      <c r="E1324" s="9" t="n">
        <f aca="false">WEEKDAY(A1324,2)</f>
        <v>5</v>
      </c>
      <c r="F1324" s="10" t="n">
        <f aca="false">WEEKNUM(A1324,2) - WEEKNUM(DATE(YEAR(A1324),MONTH(A1324),1),2) + 1</f>
        <v>3</v>
      </c>
      <c r="G1324" s="10"/>
      <c r="H1324" s="11" t="n">
        <v>400</v>
      </c>
      <c r="I1324" s="12" t="s">
        <v>15</v>
      </c>
      <c r="J1324" s="12" t="s">
        <v>51</v>
      </c>
      <c r="K1324" s="12"/>
      <c r="L1324" s="9" t="n">
        <f aca="false">L1323+H1324</f>
        <v>14777.42</v>
      </c>
      <c r="M1324" s="10" t="str">
        <f aca="false">VLOOKUP(J1324,RECATALOGANDO!A:C,2,0)</f>
        <v>VENTA DE ALIMENTO</v>
      </c>
      <c r="N1324" s="12" t="str">
        <f aca="false">VLOOKUP(M1324,RECATALOGANDO!B:C,2,0)</f>
        <v>VENTA DE PRODUCTO</v>
      </c>
      <c r="O1324" s="2" t="s">
        <v>39</v>
      </c>
    </row>
    <row r="1325" customFormat="false" ht="13.8" hidden="false" customHeight="false" outlineLevel="0" collapsed="false">
      <c r="A1325" s="8" t="n">
        <v>45793</v>
      </c>
      <c r="B1325" s="9" t="n">
        <f aca="false">DAY(A1325)</f>
        <v>16</v>
      </c>
      <c r="C1325" s="9" t="n">
        <f aca="false">MONTH(A1325)</f>
        <v>5</v>
      </c>
      <c r="D1325" s="9" t="n">
        <f aca="false">YEAR(A1325)</f>
        <v>2025</v>
      </c>
      <c r="E1325" s="9" t="n">
        <f aca="false">WEEKDAY(A1325,2)</f>
        <v>5</v>
      </c>
      <c r="F1325" s="10" t="n">
        <f aca="false">WEEKNUM(A1325,2) - WEEKNUM(DATE(YEAR(A1325),MONTH(A1325),1),2) + 1</f>
        <v>3</v>
      </c>
      <c r="G1325" s="10"/>
      <c r="H1325" s="11" t="n">
        <v>590</v>
      </c>
      <c r="I1325" s="12" t="s">
        <v>20</v>
      </c>
      <c r="J1325" s="12" t="s">
        <v>45</v>
      </c>
      <c r="K1325" s="12"/>
      <c r="L1325" s="9" t="n">
        <f aca="false">L1324+H1325</f>
        <v>15367.42</v>
      </c>
      <c r="M1325" s="10" t="str">
        <f aca="false">VLOOKUP(J1325,RECATALOGANDO!A:C,2,0)</f>
        <v>VENTA DE MEDICAMENTO</v>
      </c>
      <c r="N1325" s="12" t="str">
        <f aca="false">VLOOKUP(M1325,RECATALOGANDO!B:C,2,0)</f>
        <v>VENTA DE PRODUCTO</v>
      </c>
      <c r="O1325" s="2" t="s">
        <v>39</v>
      </c>
    </row>
    <row r="1326" customFormat="false" ht="13.8" hidden="false" customHeight="false" outlineLevel="0" collapsed="false">
      <c r="A1326" s="8" t="n">
        <v>45793</v>
      </c>
      <c r="B1326" s="9" t="n">
        <f aca="false">DAY(A1326)</f>
        <v>16</v>
      </c>
      <c r="C1326" s="9" t="n">
        <f aca="false">MONTH(A1326)</f>
        <v>5</v>
      </c>
      <c r="D1326" s="9" t="n">
        <f aca="false">YEAR(A1326)</f>
        <v>2025</v>
      </c>
      <c r="E1326" s="9" t="n">
        <f aca="false">WEEKDAY(A1326,2)</f>
        <v>5</v>
      </c>
      <c r="F1326" s="10" t="n">
        <f aca="false">WEEKNUM(A1326,2) - WEEKNUM(DATE(YEAR(A1326),MONTH(A1326),1),2) + 1</f>
        <v>3</v>
      </c>
      <c r="G1326" s="10"/>
      <c r="H1326" s="11" t="n">
        <v>1818</v>
      </c>
      <c r="I1326" s="12" t="s">
        <v>20</v>
      </c>
      <c r="J1326" s="12" t="s">
        <v>51</v>
      </c>
      <c r="K1326" s="12"/>
      <c r="L1326" s="9" t="n">
        <f aca="false">L1325+H1326</f>
        <v>17185.42</v>
      </c>
      <c r="M1326" s="10" t="str">
        <f aca="false">VLOOKUP(J1326,RECATALOGANDO!A:C,2,0)</f>
        <v>VENTA DE ALIMENTO</v>
      </c>
      <c r="N1326" s="12" t="str">
        <f aca="false">VLOOKUP(M1326,RECATALOGANDO!B:C,2,0)</f>
        <v>VENTA DE PRODUCTO</v>
      </c>
      <c r="O1326" s="2" t="s">
        <v>39</v>
      </c>
    </row>
    <row r="1327" customFormat="false" ht="13.8" hidden="false" customHeight="false" outlineLevel="0" collapsed="false">
      <c r="A1327" s="8" t="n">
        <v>45793</v>
      </c>
      <c r="B1327" s="9" t="n">
        <f aca="false">DAY(A1327)</f>
        <v>16</v>
      </c>
      <c r="C1327" s="9" t="n">
        <f aca="false">MONTH(A1327)</f>
        <v>5</v>
      </c>
      <c r="D1327" s="9" t="n">
        <f aca="false">YEAR(A1327)</f>
        <v>2025</v>
      </c>
      <c r="E1327" s="9" t="n">
        <f aca="false">WEEKDAY(A1327,2)</f>
        <v>5</v>
      </c>
      <c r="F1327" s="10" t="n">
        <f aca="false">WEEKNUM(A1327,2) - WEEKNUM(DATE(YEAR(A1327),MONTH(A1327),1),2) + 1</f>
        <v>3</v>
      </c>
      <c r="G1327" s="10"/>
      <c r="H1327" s="11" t="n">
        <v>200</v>
      </c>
      <c r="I1327" s="12" t="s">
        <v>15</v>
      </c>
      <c r="J1327" s="12" t="s">
        <v>49</v>
      </c>
      <c r="K1327" s="12"/>
      <c r="L1327" s="9" t="n">
        <f aca="false">L1326+H1327</f>
        <v>17385.42</v>
      </c>
      <c r="M1327" s="10" t="str">
        <f aca="false">VLOOKUP(J1327,RECATALOGANDO!A:C,2,0)</f>
        <v>SERVICIO DE GROOMING</v>
      </c>
      <c r="N1327" s="12" t="str">
        <f aca="false">VLOOKUP(M1327,RECATALOGANDO!B:C,2,0)</f>
        <v>VENTA DE SERVICIO</v>
      </c>
      <c r="O1327" s="2" t="s">
        <v>39</v>
      </c>
    </row>
    <row r="1328" customFormat="false" ht="13.8" hidden="false" customHeight="false" outlineLevel="0" collapsed="false">
      <c r="A1328" s="8" t="n">
        <v>45793</v>
      </c>
      <c r="B1328" s="9" t="n">
        <f aca="false">DAY(A1328)</f>
        <v>16</v>
      </c>
      <c r="C1328" s="9" t="n">
        <f aca="false">MONTH(A1328)</f>
        <v>5</v>
      </c>
      <c r="D1328" s="9" t="n">
        <f aca="false">YEAR(A1328)</f>
        <v>2025</v>
      </c>
      <c r="E1328" s="9" t="n">
        <f aca="false">WEEKDAY(A1328,2)</f>
        <v>5</v>
      </c>
      <c r="F1328" s="10" t="n">
        <f aca="false">WEEKNUM(A1328,2) - WEEKNUM(DATE(YEAR(A1328),MONTH(A1328),1),2) + 1</f>
        <v>3</v>
      </c>
      <c r="G1328" s="10"/>
      <c r="H1328" s="11" t="n">
        <v>240</v>
      </c>
      <c r="I1328" s="12" t="s">
        <v>20</v>
      </c>
      <c r="J1328" s="12" t="s">
        <v>44</v>
      </c>
      <c r="K1328" s="12"/>
      <c r="L1328" s="9" t="n">
        <f aca="false">L1327+H1328</f>
        <v>17625.42</v>
      </c>
      <c r="M1328" s="10" t="str">
        <f aca="false">VLOOKUP(J1328,RECATALOGANDO!A:C,2,0)</f>
        <v>HONORARIOS MEDICOS</v>
      </c>
      <c r="N1328" s="12" t="str">
        <f aca="false">VLOOKUP(M1328,RECATALOGANDO!B:C,2,0)</f>
        <v>VENTA DE SERVICIO</v>
      </c>
      <c r="O1328" s="2" t="s">
        <v>39</v>
      </c>
    </row>
    <row r="1329" customFormat="false" ht="13.8" hidden="false" customHeight="false" outlineLevel="0" collapsed="false">
      <c r="A1329" s="8" t="n">
        <v>45793</v>
      </c>
      <c r="B1329" s="9" t="n">
        <f aca="false">DAY(A1329)</f>
        <v>16</v>
      </c>
      <c r="C1329" s="9" t="n">
        <f aca="false">MONTH(A1329)</f>
        <v>5</v>
      </c>
      <c r="D1329" s="9" t="n">
        <f aca="false">YEAR(A1329)</f>
        <v>2025</v>
      </c>
      <c r="E1329" s="9" t="n">
        <f aca="false">WEEKDAY(A1329,2)</f>
        <v>5</v>
      </c>
      <c r="F1329" s="10" t="n">
        <f aca="false">WEEKNUM(A1329,2) - WEEKNUM(DATE(YEAR(A1329),MONTH(A1329),1),2) + 1</f>
        <v>3</v>
      </c>
      <c r="G1329" s="10"/>
      <c r="H1329" s="11" t="n">
        <v>2200</v>
      </c>
      <c r="I1329" s="12" t="s">
        <v>20</v>
      </c>
      <c r="J1329" s="12" t="s">
        <v>54</v>
      </c>
      <c r="K1329" s="12"/>
      <c r="L1329" s="9" t="n">
        <f aca="false">L1328+H1329</f>
        <v>19825.42</v>
      </c>
      <c r="M1329" s="10" t="str">
        <f aca="false">VLOOKUP(J1329,RECATALOGANDO!A:C,2,0)</f>
        <v>SERVICIO DE LABORATORIO</v>
      </c>
      <c r="N1329" s="12" t="str">
        <f aca="false">VLOOKUP(M1329,RECATALOGANDO!B:C,2,0)</f>
        <v>VENTA DE SERVICIO</v>
      </c>
      <c r="O1329" s="2" t="s">
        <v>39</v>
      </c>
    </row>
    <row r="1330" customFormat="false" ht="13.8" hidden="false" customHeight="false" outlineLevel="0" collapsed="false">
      <c r="A1330" s="8" t="n">
        <v>45796</v>
      </c>
      <c r="B1330" s="9" t="n">
        <f aca="false">DAY(A1330)</f>
        <v>19</v>
      </c>
      <c r="C1330" s="9" t="n">
        <f aca="false">MONTH(A1330)</f>
        <v>5</v>
      </c>
      <c r="D1330" s="9" t="n">
        <f aca="false">YEAR(A1330)</f>
        <v>2025</v>
      </c>
      <c r="E1330" s="9" t="n">
        <f aca="false">WEEKDAY(A1330,2)</f>
        <v>1</v>
      </c>
      <c r="F1330" s="10" t="n">
        <f aca="false">WEEKNUM(A1330,2) - WEEKNUM(DATE(YEAR(A1330),MONTH(A1330),1),2) + 1</f>
        <v>4</v>
      </c>
      <c r="G1330" s="10"/>
      <c r="H1330" s="11" t="n">
        <v>406.3</v>
      </c>
      <c r="I1330" s="12" t="s">
        <v>15</v>
      </c>
      <c r="J1330" s="12" t="s">
        <v>45</v>
      </c>
      <c r="K1330" s="12"/>
      <c r="L1330" s="9" t="n">
        <f aca="false">L1329+H1330</f>
        <v>20231.72</v>
      </c>
      <c r="M1330" s="10" t="str">
        <f aca="false">VLOOKUP(J1330,RECATALOGANDO!A:C,2,0)</f>
        <v>VENTA DE MEDICAMENTO</v>
      </c>
      <c r="N1330" s="12" t="str">
        <f aca="false">VLOOKUP(M1330,RECATALOGANDO!B:C,2,0)</f>
        <v>VENTA DE PRODUCTO</v>
      </c>
      <c r="O1330" s="2" t="s">
        <v>39</v>
      </c>
    </row>
    <row r="1331" customFormat="false" ht="13.8" hidden="false" customHeight="false" outlineLevel="0" collapsed="false">
      <c r="A1331" s="8" t="n">
        <v>45796</v>
      </c>
      <c r="B1331" s="9" t="n">
        <f aca="false">DAY(A1331)</f>
        <v>19</v>
      </c>
      <c r="C1331" s="9" t="n">
        <f aca="false">MONTH(A1331)</f>
        <v>5</v>
      </c>
      <c r="D1331" s="9" t="n">
        <f aca="false">YEAR(A1331)</f>
        <v>2025</v>
      </c>
      <c r="E1331" s="9" t="n">
        <f aca="false">WEEKDAY(A1331,2)</f>
        <v>1</v>
      </c>
      <c r="F1331" s="10" t="n">
        <f aca="false">WEEKNUM(A1331,2) - WEEKNUM(DATE(YEAR(A1331),MONTH(A1331),1),2) + 1</f>
        <v>4</v>
      </c>
      <c r="G1331" s="10"/>
      <c r="H1331" s="11" t="n">
        <v>3840</v>
      </c>
      <c r="I1331" s="12" t="s">
        <v>20</v>
      </c>
      <c r="J1331" s="12" t="s">
        <v>45</v>
      </c>
      <c r="K1331" s="12"/>
      <c r="L1331" s="9" t="n">
        <f aca="false">L1330+H1331</f>
        <v>24071.72</v>
      </c>
      <c r="M1331" s="10" t="str">
        <f aca="false">VLOOKUP(J1331,RECATALOGANDO!A:C,2,0)</f>
        <v>VENTA DE MEDICAMENTO</v>
      </c>
      <c r="N1331" s="12" t="str">
        <f aca="false">VLOOKUP(M1331,RECATALOGANDO!B:C,2,0)</f>
        <v>VENTA DE PRODUCTO</v>
      </c>
      <c r="O1331" s="2" t="s">
        <v>39</v>
      </c>
    </row>
    <row r="1332" customFormat="false" ht="13.8" hidden="false" customHeight="false" outlineLevel="0" collapsed="false">
      <c r="A1332" s="8" t="n">
        <v>45796</v>
      </c>
      <c r="B1332" s="9" t="n">
        <f aca="false">DAY(A1332)</f>
        <v>19</v>
      </c>
      <c r="C1332" s="9" t="n">
        <f aca="false">MONTH(A1332)</f>
        <v>5</v>
      </c>
      <c r="D1332" s="9" t="n">
        <f aca="false">YEAR(A1332)</f>
        <v>2025</v>
      </c>
      <c r="E1332" s="9" t="n">
        <f aca="false">WEEKDAY(A1332,2)</f>
        <v>1</v>
      </c>
      <c r="F1332" s="10" t="n">
        <f aca="false">WEEKNUM(A1332,2) - WEEKNUM(DATE(YEAR(A1332),MONTH(A1332),1),2) + 1</f>
        <v>4</v>
      </c>
      <c r="G1332" s="10"/>
      <c r="H1332" s="11" t="n">
        <v>140</v>
      </c>
      <c r="I1332" s="12" t="s">
        <v>15</v>
      </c>
      <c r="J1332" s="12" t="s">
        <v>44</v>
      </c>
      <c r="K1332" s="12"/>
      <c r="L1332" s="9" t="n">
        <f aca="false">L1331+H1332</f>
        <v>24211.72</v>
      </c>
      <c r="M1332" s="10" t="str">
        <f aca="false">VLOOKUP(J1332,RECATALOGANDO!A:C,2,0)</f>
        <v>HONORARIOS MEDICOS</v>
      </c>
      <c r="N1332" s="12" t="str">
        <f aca="false">VLOOKUP(M1332,RECATALOGANDO!B:C,2,0)</f>
        <v>VENTA DE SERVICIO</v>
      </c>
      <c r="O1332" s="2" t="s">
        <v>39</v>
      </c>
    </row>
    <row r="1333" customFormat="false" ht="13.8" hidden="false" customHeight="false" outlineLevel="0" collapsed="false">
      <c r="A1333" s="8" t="n">
        <v>45796</v>
      </c>
      <c r="B1333" s="9" t="n">
        <f aca="false">DAY(A1333)</f>
        <v>19</v>
      </c>
      <c r="C1333" s="9" t="n">
        <f aca="false">MONTH(A1333)</f>
        <v>5</v>
      </c>
      <c r="D1333" s="9" t="n">
        <f aca="false">YEAR(A1333)</f>
        <v>2025</v>
      </c>
      <c r="E1333" s="9" t="n">
        <f aca="false">WEEKDAY(A1333,2)</f>
        <v>1</v>
      </c>
      <c r="F1333" s="10" t="n">
        <f aca="false">WEEKNUM(A1333,2) - WEEKNUM(DATE(YEAR(A1333),MONTH(A1333),1),2) + 1</f>
        <v>4</v>
      </c>
      <c r="G1333" s="10"/>
      <c r="H1333" s="11" t="n">
        <v>300</v>
      </c>
      <c r="I1333" s="12" t="s">
        <v>15</v>
      </c>
      <c r="J1333" s="12" t="s">
        <v>44</v>
      </c>
      <c r="K1333" s="12"/>
      <c r="L1333" s="9" t="n">
        <f aca="false">L1332+H1333</f>
        <v>24511.72</v>
      </c>
      <c r="M1333" s="10" t="str">
        <f aca="false">VLOOKUP(J1333,RECATALOGANDO!A:C,2,0)</f>
        <v>HONORARIOS MEDICOS</v>
      </c>
      <c r="N1333" s="12" t="str">
        <f aca="false">VLOOKUP(M1333,RECATALOGANDO!B:C,2,0)</f>
        <v>VENTA DE SERVICIO</v>
      </c>
      <c r="O1333" s="2" t="s">
        <v>39</v>
      </c>
    </row>
    <row r="1334" customFormat="false" ht="13.8" hidden="false" customHeight="false" outlineLevel="0" collapsed="false">
      <c r="A1334" s="8" t="n">
        <v>45796</v>
      </c>
      <c r="B1334" s="9" t="n">
        <f aca="false">DAY(A1334)</f>
        <v>19</v>
      </c>
      <c r="C1334" s="9" t="n">
        <f aca="false">MONTH(A1334)</f>
        <v>5</v>
      </c>
      <c r="D1334" s="9" t="n">
        <f aca="false">YEAR(A1334)</f>
        <v>2025</v>
      </c>
      <c r="E1334" s="9" t="n">
        <f aca="false">WEEKDAY(A1334,2)</f>
        <v>1</v>
      </c>
      <c r="F1334" s="10" t="n">
        <f aca="false">WEEKNUM(A1334,2) - WEEKNUM(DATE(YEAR(A1334),MONTH(A1334),1),2) + 1</f>
        <v>4</v>
      </c>
      <c r="G1334" s="10"/>
      <c r="H1334" s="11" t="n">
        <v>1038</v>
      </c>
      <c r="I1334" s="12" t="s">
        <v>20</v>
      </c>
      <c r="J1334" s="12" t="s">
        <v>54</v>
      </c>
      <c r="K1334" s="12"/>
      <c r="L1334" s="9" t="n">
        <f aca="false">L1333+H1334</f>
        <v>25549.72</v>
      </c>
      <c r="M1334" s="10" t="str">
        <f aca="false">VLOOKUP(J1334,RECATALOGANDO!A:C,2,0)</f>
        <v>SERVICIO DE LABORATORIO</v>
      </c>
      <c r="N1334" s="12" t="str">
        <f aca="false">VLOOKUP(M1334,RECATALOGANDO!B:C,2,0)</f>
        <v>VENTA DE SERVICIO</v>
      </c>
      <c r="O1334" s="2" t="s">
        <v>39</v>
      </c>
    </row>
    <row r="1335" customFormat="false" ht="13.8" hidden="false" customHeight="false" outlineLevel="0" collapsed="false">
      <c r="A1335" s="8" t="n">
        <v>45796</v>
      </c>
      <c r="B1335" s="9" t="n">
        <f aca="false">DAY(A1335)</f>
        <v>19</v>
      </c>
      <c r="C1335" s="9" t="n">
        <f aca="false">MONTH(A1335)</f>
        <v>5</v>
      </c>
      <c r="D1335" s="9" t="n">
        <f aca="false">YEAR(A1335)</f>
        <v>2025</v>
      </c>
      <c r="E1335" s="9" t="n">
        <f aca="false">WEEKDAY(A1335,2)</f>
        <v>1</v>
      </c>
      <c r="F1335" s="10" t="n">
        <f aca="false">WEEKNUM(A1335,2) - WEEKNUM(DATE(YEAR(A1335),MONTH(A1335),1),2) + 1</f>
        <v>4</v>
      </c>
      <c r="G1335" s="10"/>
      <c r="H1335" s="11" t="n">
        <v>2130</v>
      </c>
      <c r="I1335" s="12" t="s">
        <v>15</v>
      </c>
      <c r="J1335" s="12" t="s">
        <v>59</v>
      </c>
      <c r="K1335" s="12"/>
      <c r="L1335" s="9" t="n">
        <f aca="false">L1334+H1335</f>
        <v>27679.72</v>
      </c>
      <c r="M1335" s="10" t="str">
        <f aca="false">VLOOKUP(J1335,RECATALOGANDO!A:C,2,0)</f>
        <v>SERVICIO DE PENSION</v>
      </c>
      <c r="N1335" s="12" t="str">
        <f aca="false">VLOOKUP(M1335,RECATALOGANDO!B:C,2,0)</f>
        <v>VENTA DE SERVICIO</v>
      </c>
      <c r="O1335" s="2" t="s">
        <v>39</v>
      </c>
    </row>
    <row r="1336" customFormat="false" ht="13.8" hidden="false" customHeight="false" outlineLevel="0" collapsed="false">
      <c r="A1336" s="8" t="n">
        <v>45797</v>
      </c>
      <c r="B1336" s="9" t="n">
        <f aca="false">DAY(A1336)</f>
        <v>20</v>
      </c>
      <c r="C1336" s="9" t="n">
        <f aca="false">MONTH(A1336)</f>
        <v>5</v>
      </c>
      <c r="D1336" s="9" t="n">
        <f aca="false">YEAR(A1336)</f>
        <v>2025</v>
      </c>
      <c r="E1336" s="9" t="n">
        <f aca="false">WEEKDAY(A1336,2)</f>
        <v>2</v>
      </c>
      <c r="F1336" s="10" t="n">
        <f aca="false">WEEKNUM(A1336,2) - WEEKNUM(DATE(YEAR(A1336),MONTH(A1336),1),2) + 1</f>
        <v>4</v>
      </c>
      <c r="G1336" s="10"/>
      <c r="H1336" s="11" t="n">
        <v>2800</v>
      </c>
      <c r="I1336" s="12" t="s">
        <v>20</v>
      </c>
      <c r="J1336" s="12" t="s">
        <v>45</v>
      </c>
      <c r="K1336" s="12"/>
      <c r="L1336" s="9" t="n">
        <f aca="false">L1335+H1336</f>
        <v>30479.72</v>
      </c>
      <c r="M1336" s="10" t="str">
        <f aca="false">VLOOKUP(J1336,RECATALOGANDO!A:C,2,0)</f>
        <v>VENTA DE MEDICAMENTO</v>
      </c>
      <c r="N1336" s="12" t="str">
        <f aca="false">VLOOKUP(M1336,RECATALOGANDO!B:C,2,0)</f>
        <v>VENTA DE PRODUCTO</v>
      </c>
      <c r="O1336" s="2" t="s">
        <v>39</v>
      </c>
    </row>
    <row r="1337" customFormat="false" ht="13.8" hidden="false" customHeight="false" outlineLevel="0" collapsed="false">
      <c r="A1337" s="8" t="n">
        <v>45797</v>
      </c>
      <c r="B1337" s="9" t="n">
        <f aca="false">DAY(A1337)</f>
        <v>20</v>
      </c>
      <c r="C1337" s="9" t="n">
        <f aca="false">MONTH(A1337)</f>
        <v>5</v>
      </c>
      <c r="D1337" s="9" t="n">
        <f aca="false">YEAR(A1337)</f>
        <v>2025</v>
      </c>
      <c r="E1337" s="9" t="n">
        <f aca="false">WEEKDAY(A1337,2)</f>
        <v>2</v>
      </c>
      <c r="F1337" s="10" t="n">
        <f aca="false">WEEKNUM(A1337,2) - WEEKNUM(DATE(YEAR(A1337),MONTH(A1337),1),2) + 1</f>
        <v>4</v>
      </c>
      <c r="G1337" s="10"/>
      <c r="H1337" s="11" t="n">
        <v>1150</v>
      </c>
      <c r="I1337" s="12" t="s">
        <v>20</v>
      </c>
      <c r="J1337" s="12" t="s">
        <v>57</v>
      </c>
      <c r="K1337" s="12"/>
      <c r="L1337" s="9" t="n">
        <f aca="false">L1336+H1337</f>
        <v>31629.72</v>
      </c>
      <c r="M1337" s="10" t="str">
        <f aca="false">VLOOKUP(J1337,RECATALOGANDO!A:C,2,0)</f>
        <v>SERVICIO DE CREMACION</v>
      </c>
      <c r="N1337" s="12" t="str">
        <f aca="false">VLOOKUP(M1337,RECATALOGANDO!B:C,2,0)</f>
        <v>VENTA DE SERVICIO</v>
      </c>
      <c r="O1337" s="2" t="s">
        <v>39</v>
      </c>
    </row>
    <row r="1338" customFormat="false" ht="13.8" hidden="false" customHeight="false" outlineLevel="0" collapsed="false">
      <c r="A1338" s="8" t="n">
        <v>45798</v>
      </c>
      <c r="B1338" s="9" t="n">
        <f aca="false">DAY(A1338)</f>
        <v>21</v>
      </c>
      <c r="C1338" s="9" t="n">
        <f aca="false">MONTH(A1338)</f>
        <v>5</v>
      </c>
      <c r="D1338" s="9" t="n">
        <f aca="false">YEAR(A1338)</f>
        <v>2025</v>
      </c>
      <c r="E1338" s="9" t="n">
        <f aca="false">WEEKDAY(A1338,2)</f>
        <v>3</v>
      </c>
      <c r="F1338" s="10" t="n">
        <f aca="false">WEEKNUM(A1338,2) - WEEKNUM(DATE(YEAR(A1338),MONTH(A1338),1),2) + 1</f>
        <v>4</v>
      </c>
      <c r="G1338" s="10"/>
      <c r="H1338" s="11" t="n">
        <v>297.05</v>
      </c>
      <c r="I1338" s="12" t="s">
        <v>15</v>
      </c>
      <c r="J1338" s="12" t="s">
        <v>51</v>
      </c>
      <c r="K1338" s="12"/>
      <c r="L1338" s="9" t="n">
        <f aca="false">L1337+H1338</f>
        <v>31926.77</v>
      </c>
      <c r="M1338" s="10" t="str">
        <f aca="false">VLOOKUP(J1338,RECATALOGANDO!A:C,2,0)</f>
        <v>VENTA DE ALIMENTO</v>
      </c>
      <c r="N1338" s="12" t="str">
        <f aca="false">VLOOKUP(M1338,RECATALOGANDO!B:C,2,0)</f>
        <v>VENTA DE PRODUCTO</v>
      </c>
      <c r="O1338" s="2" t="s">
        <v>39</v>
      </c>
    </row>
    <row r="1339" customFormat="false" ht="13.8" hidden="false" customHeight="false" outlineLevel="0" collapsed="false">
      <c r="A1339" s="8" t="n">
        <v>45798</v>
      </c>
      <c r="B1339" s="9" t="n">
        <f aca="false">DAY(A1339)</f>
        <v>21</v>
      </c>
      <c r="C1339" s="9" t="n">
        <f aca="false">MONTH(A1339)</f>
        <v>5</v>
      </c>
      <c r="D1339" s="9" t="n">
        <f aca="false">YEAR(A1339)</f>
        <v>2025</v>
      </c>
      <c r="E1339" s="9" t="n">
        <f aca="false">WEEKDAY(A1339,2)</f>
        <v>3</v>
      </c>
      <c r="F1339" s="10" t="n">
        <f aca="false">WEEKNUM(A1339,2) - WEEKNUM(DATE(YEAR(A1339),MONTH(A1339),1),2) + 1</f>
        <v>4</v>
      </c>
      <c r="G1339" s="10"/>
      <c r="H1339" s="11" t="n">
        <v>750</v>
      </c>
      <c r="I1339" s="12" t="s">
        <v>20</v>
      </c>
      <c r="J1339" s="12" t="s">
        <v>44</v>
      </c>
      <c r="K1339" s="12"/>
      <c r="L1339" s="9" t="n">
        <f aca="false">L1338+H1339</f>
        <v>32676.77</v>
      </c>
      <c r="M1339" s="10" t="str">
        <f aca="false">VLOOKUP(J1339,RECATALOGANDO!A:C,2,0)</f>
        <v>HONORARIOS MEDICOS</v>
      </c>
      <c r="N1339" s="12" t="str">
        <f aca="false">VLOOKUP(M1339,RECATALOGANDO!B:C,2,0)</f>
        <v>VENTA DE SERVICIO</v>
      </c>
      <c r="O1339" s="2" t="s">
        <v>39</v>
      </c>
    </row>
    <row r="1340" customFormat="false" ht="13.8" hidden="false" customHeight="false" outlineLevel="0" collapsed="false">
      <c r="A1340" s="8" t="n">
        <v>45799</v>
      </c>
      <c r="B1340" s="9" t="n">
        <f aca="false">DAY(A1340)</f>
        <v>22</v>
      </c>
      <c r="C1340" s="9" t="n">
        <f aca="false">MONTH(A1340)</f>
        <v>5</v>
      </c>
      <c r="D1340" s="9" t="n">
        <f aca="false">YEAR(A1340)</f>
        <v>2025</v>
      </c>
      <c r="E1340" s="9" t="n">
        <f aca="false">WEEKDAY(A1340,2)</f>
        <v>4</v>
      </c>
      <c r="F1340" s="10" t="n">
        <f aca="false">WEEKNUM(A1340,2) - WEEKNUM(DATE(YEAR(A1340),MONTH(A1340),1),2) + 1</f>
        <v>4</v>
      </c>
      <c r="G1340" s="10"/>
      <c r="H1340" s="11" t="n">
        <v>1135</v>
      </c>
      <c r="I1340" s="12" t="s">
        <v>20</v>
      </c>
      <c r="J1340" s="12" t="s">
        <v>45</v>
      </c>
      <c r="K1340" s="12"/>
      <c r="L1340" s="9" t="n">
        <f aca="false">L1339+H1340</f>
        <v>33811.77</v>
      </c>
      <c r="M1340" s="10" t="str">
        <f aca="false">VLOOKUP(J1340,RECATALOGANDO!A:C,2,0)</f>
        <v>VENTA DE MEDICAMENTO</v>
      </c>
      <c r="N1340" s="12" t="str">
        <f aca="false">VLOOKUP(M1340,RECATALOGANDO!B:C,2,0)</f>
        <v>VENTA DE PRODUCTO</v>
      </c>
      <c r="O1340" s="2" t="s">
        <v>39</v>
      </c>
    </row>
    <row r="1341" customFormat="false" ht="13.8" hidden="false" customHeight="false" outlineLevel="0" collapsed="false">
      <c r="A1341" s="8" t="n">
        <v>45799</v>
      </c>
      <c r="B1341" s="9" t="n">
        <f aca="false">DAY(A1341)</f>
        <v>22</v>
      </c>
      <c r="C1341" s="9" t="n">
        <f aca="false">MONTH(A1341)</f>
        <v>5</v>
      </c>
      <c r="D1341" s="9" t="n">
        <f aca="false">YEAR(A1341)</f>
        <v>2025</v>
      </c>
      <c r="E1341" s="9" t="n">
        <f aca="false">WEEKDAY(A1341,2)</f>
        <v>4</v>
      </c>
      <c r="F1341" s="10" t="n">
        <f aca="false">WEEKNUM(A1341,2) - WEEKNUM(DATE(YEAR(A1341),MONTH(A1341),1),2) + 1</f>
        <v>4</v>
      </c>
      <c r="G1341" s="10"/>
      <c r="H1341" s="11" t="n">
        <v>3452.5</v>
      </c>
      <c r="I1341" s="12" t="s">
        <v>20</v>
      </c>
      <c r="J1341" s="12" t="s">
        <v>45</v>
      </c>
      <c r="K1341" s="12"/>
      <c r="L1341" s="9" t="n">
        <f aca="false">L1340+H1341</f>
        <v>37264.27</v>
      </c>
      <c r="M1341" s="10" t="str">
        <f aca="false">VLOOKUP(J1341,RECATALOGANDO!A:C,2,0)</f>
        <v>VENTA DE MEDICAMENTO</v>
      </c>
      <c r="N1341" s="12" t="str">
        <f aca="false">VLOOKUP(M1341,RECATALOGANDO!B:C,2,0)</f>
        <v>VENTA DE PRODUCTO</v>
      </c>
      <c r="O1341" s="2" t="s">
        <v>39</v>
      </c>
    </row>
    <row r="1342" customFormat="false" ht="13.8" hidden="false" customHeight="false" outlineLevel="0" collapsed="false">
      <c r="A1342" s="8" t="n">
        <v>45799</v>
      </c>
      <c r="B1342" s="9" t="n">
        <f aca="false">DAY(A1342)</f>
        <v>22</v>
      </c>
      <c r="C1342" s="9" t="n">
        <f aca="false">MONTH(A1342)</f>
        <v>5</v>
      </c>
      <c r="D1342" s="9" t="n">
        <f aca="false">YEAR(A1342)</f>
        <v>2025</v>
      </c>
      <c r="E1342" s="9" t="n">
        <f aca="false">WEEKDAY(A1342,2)</f>
        <v>4</v>
      </c>
      <c r="F1342" s="10" t="n">
        <f aca="false">WEEKNUM(A1342,2) - WEEKNUM(DATE(YEAR(A1342),MONTH(A1342),1),2) + 1</f>
        <v>4</v>
      </c>
      <c r="G1342" s="10"/>
      <c r="H1342" s="11" t="n">
        <v>790</v>
      </c>
      <c r="I1342" s="12" t="s">
        <v>20</v>
      </c>
      <c r="J1342" s="12" t="s">
        <v>59</v>
      </c>
      <c r="K1342" s="12"/>
      <c r="L1342" s="9" t="n">
        <f aca="false">L1341+H1342</f>
        <v>38054.27</v>
      </c>
      <c r="M1342" s="10" t="str">
        <f aca="false">VLOOKUP(J1342,RECATALOGANDO!A:C,2,0)</f>
        <v>SERVICIO DE PENSION</v>
      </c>
      <c r="N1342" s="12" t="str">
        <f aca="false">VLOOKUP(M1342,RECATALOGANDO!B:C,2,0)</f>
        <v>VENTA DE SERVICIO</v>
      </c>
      <c r="O1342" s="2" t="s">
        <v>39</v>
      </c>
    </row>
    <row r="1343" customFormat="false" ht="13.8" hidden="false" customHeight="false" outlineLevel="0" collapsed="false">
      <c r="A1343" s="8" t="n">
        <v>45800</v>
      </c>
      <c r="B1343" s="9" t="n">
        <f aca="false">DAY(A1343)</f>
        <v>23</v>
      </c>
      <c r="C1343" s="9" t="n">
        <f aca="false">MONTH(A1343)</f>
        <v>5</v>
      </c>
      <c r="D1343" s="9" t="n">
        <f aca="false">YEAR(A1343)</f>
        <v>2025</v>
      </c>
      <c r="E1343" s="9" t="n">
        <f aca="false">WEEKDAY(A1343,2)</f>
        <v>5</v>
      </c>
      <c r="F1343" s="10" t="n">
        <f aca="false">WEEKNUM(A1343,2) - WEEKNUM(DATE(YEAR(A1343),MONTH(A1343),1),2) + 1</f>
        <v>4</v>
      </c>
      <c r="G1343" s="10"/>
      <c r="H1343" s="11" t="n">
        <v>700</v>
      </c>
      <c r="I1343" s="12" t="s">
        <v>20</v>
      </c>
      <c r="J1343" s="12" t="s">
        <v>45</v>
      </c>
      <c r="K1343" s="12"/>
      <c r="L1343" s="9" t="n">
        <f aca="false">L1342+H1343</f>
        <v>38754.27</v>
      </c>
      <c r="M1343" s="10" t="str">
        <f aca="false">VLOOKUP(J1343,RECATALOGANDO!A:C,2,0)</f>
        <v>VENTA DE MEDICAMENTO</v>
      </c>
      <c r="N1343" s="12" t="str">
        <f aca="false">VLOOKUP(M1343,RECATALOGANDO!B:C,2,0)</f>
        <v>VENTA DE PRODUCTO</v>
      </c>
      <c r="O1343" s="2" t="s">
        <v>39</v>
      </c>
    </row>
    <row r="1344" customFormat="false" ht="13.8" hidden="false" customHeight="false" outlineLevel="0" collapsed="false">
      <c r="A1344" s="8" t="n">
        <v>45800</v>
      </c>
      <c r="B1344" s="9" t="n">
        <f aca="false">DAY(A1344)</f>
        <v>23</v>
      </c>
      <c r="C1344" s="9" t="n">
        <f aca="false">MONTH(A1344)</f>
        <v>5</v>
      </c>
      <c r="D1344" s="9" t="n">
        <f aca="false">YEAR(A1344)</f>
        <v>2025</v>
      </c>
      <c r="E1344" s="9" t="n">
        <f aca="false">WEEKDAY(A1344,2)</f>
        <v>5</v>
      </c>
      <c r="F1344" s="10" t="n">
        <f aca="false">WEEKNUM(A1344,2) - WEEKNUM(DATE(YEAR(A1344),MONTH(A1344),1),2) + 1</f>
        <v>4</v>
      </c>
      <c r="G1344" s="10"/>
      <c r="H1344" s="11" t="n">
        <v>1070</v>
      </c>
      <c r="I1344" s="12" t="s">
        <v>20</v>
      </c>
      <c r="J1344" s="12" t="s">
        <v>45</v>
      </c>
      <c r="K1344" s="12"/>
      <c r="L1344" s="9" t="n">
        <f aca="false">L1343+H1344</f>
        <v>39824.27</v>
      </c>
      <c r="M1344" s="10" t="str">
        <f aca="false">VLOOKUP(J1344,RECATALOGANDO!A:C,2,0)</f>
        <v>VENTA DE MEDICAMENTO</v>
      </c>
      <c r="N1344" s="12" t="str">
        <f aca="false">VLOOKUP(M1344,RECATALOGANDO!B:C,2,0)</f>
        <v>VENTA DE PRODUCTO</v>
      </c>
      <c r="O1344" s="2" t="s">
        <v>39</v>
      </c>
    </row>
    <row r="1345" customFormat="false" ht="13.8" hidden="false" customHeight="false" outlineLevel="0" collapsed="false">
      <c r="A1345" s="8" t="n">
        <v>45800</v>
      </c>
      <c r="B1345" s="9" t="n">
        <f aca="false">DAY(A1345)</f>
        <v>23</v>
      </c>
      <c r="C1345" s="9" t="n">
        <f aca="false">MONTH(A1345)</f>
        <v>5</v>
      </c>
      <c r="D1345" s="9" t="n">
        <f aca="false">YEAR(A1345)</f>
        <v>2025</v>
      </c>
      <c r="E1345" s="9" t="n">
        <f aca="false">WEEKDAY(A1345,2)</f>
        <v>5</v>
      </c>
      <c r="F1345" s="10" t="n">
        <f aca="false">WEEKNUM(A1345,2) - WEEKNUM(DATE(YEAR(A1345),MONTH(A1345),1),2) + 1</f>
        <v>4</v>
      </c>
      <c r="G1345" s="10"/>
      <c r="H1345" s="11" t="n">
        <v>1508</v>
      </c>
      <c r="I1345" s="12" t="s">
        <v>20</v>
      </c>
      <c r="J1345" s="12" t="s">
        <v>57</v>
      </c>
      <c r="K1345" s="12"/>
      <c r="L1345" s="9" t="n">
        <f aca="false">L1344+H1345</f>
        <v>41332.27</v>
      </c>
      <c r="M1345" s="10" t="str">
        <f aca="false">VLOOKUP(J1345,RECATALOGANDO!A:C,2,0)</f>
        <v>SERVICIO DE CREMACION</v>
      </c>
      <c r="N1345" s="12" t="str">
        <f aca="false">VLOOKUP(M1345,RECATALOGANDO!B:C,2,0)</f>
        <v>VENTA DE SERVICIO</v>
      </c>
      <c r="O1345" s="2" t="s">
        <v>39</v>
      </c>
    </row>
    <row r="1346" customFormat="false" ht="13.8" hidden="false" customHeight="false" outlineLevel="0" collapsed="false">
      <c r="A1346" s="8" t="n">
        <v>45803</v>
      </c>
      <c r="B1346" s="9" t="n">
        <f aca="false">DAY(A1346)</f>
        <v>26</v>
      </c>
      <c r="C1346" s="9" t="n">
        <f aca="false">MONTH(A1346)</f>
        <v>5</v>
      </c>
      <c r="D1346" s="9" t="n">
        <f aca="false">YEAR(A1346)</f>
        <v>2025</v>
      </c>
      <c r="E1346" s="9" t="n">
        <f aca="false">WEEKDAY(A1346,2)</f>
        <v>1</v>
      </c>
      <c r="F1346" s="10" t="n">
        <f aca="false">WEEKNUM(A1346,2) - WEEKNUM(DATE(YEAR(A1346),MONTH(A1346),1),2) + 1</f>
        <v>5</v>
      </c>
      <c r="G1346" s="10"/>
      <c r="H1346" s="11" t="n">
        <v>850</v>
      </c>
      <c r="I1346" s="12" t="s">
        <v>15</v>
      </c>
      <c r="J1346" s="12" t="s">
        <v>51</v>
      </c>
      <c r="K1346" s="12"/>
      <c r="L1346" s="9" t="n">
        <f aca="false">L1345+H1346</f>
        <v>42182.27</v>
      </c>
      <c r="M1346" s="10" t="str">
        <f aca="false">VLOOKUP(J1346,RECATALOGANDO!A:C,2,0)</f>
        <v>VENTA DE ALIMENTO</v>
      </c>
      <c r="N1346" s="12" t="str">
        <f aca="false">VLOOKUP(M1346,RECATALOGANDO!B:C,2,0)</f>
        <v>VENTA DE PRODUCTO</v>
      </c>
      <c r="O1346" s="2" t="s">
        <v>39</v>
      </c>
    </row>
    <row r="1347" customFormat="false" ht="13.8" hidden="false" customHeight="false" outlineLevel="0" collapsed="false">
      <c r="A1347" s="8" t="n">
        <v>45803</v>
      </c>
      <c r="B1347" s="9" t="n">
        <f aca="false">DAY(A1347)</f>
        <v>26</v>
      </c>
      <c r="C1347" s="9" t="n">
        <f aca="false">MONTH(A1347)</f>
        <v>5</v>
      </c>
      <c r="D1347" s="9" t="n">
        <f aca="false">YEAR(A1347)</f>
        <v>2025</v>
      </c>
      <c r="E1347" s="9" t="n">
        <f aca="false">WEEKDAY(A1347,2)</f>
        <v>1</v>
      </c>
      <c r="F1347" s="10" t="n">
        <f aca="false">WEEKNUM(A1347,2) - WEEKNUM(DATE(YEAR(A1347),MONTH(A1347),1),2) + 1</f>
        <v>5</v>
      </c>
      <c r="G1347" s="10"/>
      <c r="H1347" s="11" t="n">
        <v>2400</v>
      </c>
      <c r="I1347" s="12" t="s">
        <v>20</v>
      </c>
      <c r="J1347" s="12" t="s">
        <v>57</v>
      </c>
      <c r="K1347" s="12"/>
      <c r="L1347" s="9" t="n">
        <f aca="false">L1346+H1347</f>
        <v>44582.27</v>
      </c>
      <c r="M1347" s="10" t="str">
        <f aca="false">VLOOKUP(J1347,RECATALOGANDO!A:C,2,0)</f>
        <v>SERVICIO DE CREMACION</v>
      </c>
      <c r="N1347" s="12" t="str">
        <f aca="false">VLOOKUP(M1347,RECATALOGANDO!B:C,2,0)</f>
        <v>VENTA DE SERVICIO</v>
      </c>
      <c r="O1347" s="2" t="s">
        <v>39</v>
      </c>
    </row>
    <row r="1348" customFormat="false" ht="13.8" hidden="false" customHeight="false" outlineLevel="0" collapsed="false">
      <c r="A1348" s="8" t="n">
        <v>45803</v>
      </c>
      <c r="B1348" s="9" t="n">
        <f aca="false">DAY(A1348)</f>
        <v>26</v>
      </c>
      <c r="C1348" s="9" t="n">
        <f aca="false">MONTH(A1348)</f>
        <v>5</v>
      </c>
      <c r="D1348" s="9" t="n">
        <f aca="false">YEAR(A1348)</f>
        <v>2025</v>
      </c>
      <c r="E1348" s="9" t="n">
        <f aca="false">WEEKDAY(A1348,2)</f>
        <v>1</v>
      </c>
      <c r="F1348" s="10" t="n">
        <f aca="false">WEEKNUM(A1348,2) - WEEKNUM(DATE(YEAR(A1348),MONTH(A1348),1),2) + 1</f>
        <v>5</v>
      </c>
      <c r="G1348" s="10"/>
      <c r="H1348" s="11" t="n">
        <v>3025</v>
      </c>
      <c r="I1348" s="12" t="s">
        <v>15</v>
      </c>
      <c r="J1348" s="12" t="s">
        <v>44</v>
      </c>
      <c r="K1348" s="12"/>
      <c r="L1348" s="9" t="n">
        <f aca="false">L1347+H1348</f>
        <v>47607.27</v>
      </c>
      <c r="M1348" s="10" t="str">
        <f aca="false">VLOOKUP(J1348,RECATALOGANDO!A:C,2,0)</f>
        <v>HONORARIOS MEDICOS</v>
      </c>
      <c r="N1348" s="12" t="str">
        <f aca="false">VLOOKUP(M1348,RECATALOGANDO!B:C,2,0)</f>
        <v>VENTA DE SERVICIO</v>
      </c>
      <c r="O1348" s="2" t="s">
        <v>39</v>
      </c>
    </row>
    <row r="1349" customFormat="false" ht="13.8" hidden="false" customHeight="false" outlineLevel="0" collapsed="false">
      <c r="A1349" s="8" t="n">
        <v>45805</v>
      </c>
      <c r="B1349" s="9" t="n">
        <f aca="false">DAY(A1349)</f>
        <v>28</v>
      </c>
      <c r="C1349" s="9" t="n">
        <f aca="false">MONTH(A1349)</f>
        <v>5</v>
      </c>
      <c r="D1349" s="9" t="n">
        <f aca="false">YEAR(A1349)</f>
        <v>2025</v>
      </c>
      <c r="E1349" s="9" t="n">
        <f aca="false">WEEKDAY(A1349,2)</f>
        <v>3</v>
      </c>
      <c r="F1349" s="10" t="n">
        <f aca="false">WEEKNUM(A1349,2) - WEEKNUM(DATE(YEAR(A1349),MONTH(A1349),1),2) + 1</f>
        <v>5</v>
      </c>
      <c r="G1349" s="10"/>
      <c r="H1349" s="11" t="n">
        <v>1800</v>
      </c>
      <c r="I1349" s="12" t="s">
        <v>20</v>
      </c>
      <c r="J1349" s="12" t="s">
        <v>44</v>
      </c>
      <c r="K1349" s="12"/>
      <c r="L1349" s="9" t="n">
        <f aca="false">L1348+H1349</f>
        <v>49407.27</v>
      </c>
      <c r="M1349" s="10" t="str">
        <f aca="false">VLOOKUP(J1349,RECATALOGANDO!A:C,2,0)</f>
        <v>HONORARIOS MEDICOS</v>
      </c>
      <c r="N1349" s="12" t="str">
        <f aca="false">VLOOKUP(M1349,RECATALOGANDO!B:C,2,0)</f>
        <v>VENTA DE SERVICIO</v>
      </c>
      <c r="O1349" s="2" t="s">
        <v>39</v>
      </c>
    </row>
    <row r="1350" customFormat="false" ht="13.8" hidden="false" customHeight="false" outlineLevel="0" collapsed="false">
      <c r="A1350" s="8" t="n">
        <v>45806</v>
      </c>
      <c r="B1350" s="9" t="n">
        <f aca="false">DAY(A1350)</f>
        <v>29</v>
      </c>
      <c r="C1350" s="9" t="n">
        <f aca="false">MONTH(A1350)</f>
        <v>5</v>
      </c>
      <c r="D1350" s="9" t="n">
        <f aca="false">YEAR(A1350)</f>
        <v>2025</v>
      </c>
      <c r="E1350" s="9" t="n">
        <f aca="false">WEEKDAY(A1350,2)</f>
        <v>4</v>
      </c>
      <c r="F1350" s="10" t="n">
        <f aca="false">WEEKNUM(A1350,2) - WEEKNUM(DATE(YEAR(A1350),MONTH(A1350),1),2) + 1</f>
        <v>5</v>
      </c>
      <c r="G1350" s="10"/>
      <c r="H1350" s="11" t="n">
        <v>190</v>
      </c>
      <c r="I1350" s="12" t="s">
        <v>20</v>
      </c>
      <c r="J1350" s="12" t="s">
        <v>45</v>
      </c>
      <c r="K1350" s="12"/>
      <c r="L1350" s="9" t="n">
        <f aca="false">L1349+H1350</f>
        <v>49597.27</v>
      </c>
      <c r="M1350" s="10" t="str">
        <f aca="false">VLOOKUP(J1350,RECATALOGANDO!A:C,2,0)</f>
        <v>VENTA DE MEDICAMENTO</v>
      </c>
      <c r="N1350" s="12" t="str">
        <f aca="false">VLOOKUP(M1350,RECATALOGANDO!B:C,2,0)</f>
        <v>VENTA DE PRODUCTO</v>
      </c>
      <c r="O1350" s="2" t="s">
        <v>39</v>
      </c>
    </row>
    <row r="1351" customFormat="false" ht="13.8" hidden="false" customHeight="false" outlineLevel="0" collapsed="false">
      <c r="A1351" s="8" t="n">
        <v>45806</v>
      </c>
      <c r="B1351" s="9" t="n">
        <f aca="false">DAY(A1351)</f>
        <v>29</v>
      </c>
      <c r="C1351" s="9" t="n">
        <f aca="false">MONTH(A1351)</f>
        <v>5</v>
      </c>
      <c r="D1351" s="9" t="n">
        <f aca="false">YEAR(A1351)</f>
        <v>2025</v>
      </c>
      <c r="E1351" s="9" t="n">
        <f aca="false">WEEKDAY(A1351,2)</f>
        <v>4</v>
      </c>
      <c r="F1351" s="10" t="n">
        <f aca="false">WEEKNUM(A1351,2) - WEEKNUM(DATE(YEAR(A1351),MONTH(A1351),1),2) + 1</f>
        <v>5</v>
      </c>
      <c r="G1351" s="10"/>
      <c r="H1351" s="11" t="n">
        <v>478</v>
      </c>
      <c r="I1351" s="12" t="s">
        <v>20</v>
      </c>
      <c r="J1351" s="12" t="s">
        <v>45</v>
      </c>
      <c r="K1351" s="12"/>
      <c r="L1351" s="9" t="n">
        <f aca="false">L1350+H1351</f>
        <v>50075.27</v>
      </c>
      <c r="M1351" s="10" t="str">
        <f aca="false">VLOOKUP(J1351,RECATALOGANDO!A:C,2,0)</f>
        <v>VENTA DE MEDICAMENTO</v>
      </c>
      <c r="N1351" s="12" t="str">
        <f aca="false">VLOOKUP(M1351,RECATALOGANDO!B:C,2,0)</f>
        <v>VENTA DE PRODUCTO</v>
      </c>
      <c r="O1351" s="2" t="s">
        <v>39</v>
      </c>
    </row>
    <row r="1352" customFormat="false" ht="13.8" hidden="false" customHeight="false" outlineLevel="0" collapsed="false">
      <c r="A1352" s="8" t="n">
        <v>45807</v>
      </c>
      <c r="B1352" s="9" t="n">
        <f aca="false">DAY(A1352)</f>
        <v>30</v>
      </c>
      <c r="C1352" s="9" t="n">
        <f aca="false">MONTH(A1352)</f>
        <v>5</v>
      </c>
      <c r="D1352" s="9" t="n">
        <f aca="false">YEAR(A1352)</f>
        <v>2025</v>
      </c>
      <c r="E1352" s="9" t="n">
        <f aca="false">WEEKDAY(A1352,2)</f>
        <v>5</v>
      </c>
      <c r="F1352" s="10" t="n">
        <f aca="false">WEEKNUM(A1352,2) - WEEKNUM(DATE(YEAR(A1352),MONTH(A1352),1),2) + 1</f>
        <v>5</v>
      </c>
      <c r="G1352" s="10" t="n">
        <v>2</v>
      </c>
      <c r="H1352" s="11" t="n">
        <v>4000</v>
      </c>
      <c r="I1352" s="12" t="s">
        <v>20</v>
      </c>
      <c r="J1352" s="12" t="s">
        <v>45</v>
      </c>
      <c r="K1352" s="12"/>
      <c r="L1352" s="9" t="n">
        <f aca="false">L1351+H1352</f>
        <v>54075.27</v>
      </c>
      <c r="M1352" s="10" t="str">
        <f aca="false">VLOOKUP(J1352,RECATALOGANDO!A:C,2,0)</f>
        <v>VENTA DE MEDICAMENTO</v>
      </c>
      <c r="N1352" s="12" t="str">
        <f aca="false">VLOOKUP(M1352,RECATALOGANDO!B:C,2,0)</f>
        <v>VENTA DE PRODUCTO</v>
      </c>
      <c r="O1352" s="2" t="s">
        <v>39</v>
      </c>
    </row>
    <row r="1353" customFormat="false" ht="13.8" hidden="false" customHeight="false" outlineLevel="0" collapsed="false">
      <c r="A1353" s="8" t="n">
        <v>45807</v>
      </c>
      <c r="B1353" s="9" t="n">
        <f aca="false">DAY(A1353)</f>
        <v>30</v>
      </c>
      <c r="C1353" s="9" t="n">
        <f aca="false">MONTH(A1353)</f>
        <v>5</v>
      </c>
      <c r="D1353" s="9" t="n">
        <f aca="false">YEAR(A1353)</f>
        <v>2025</v>
      </c>
      <c r="E1353" s="9" t="n">
        <f aca="false">WEEKDAY(A1353,2)</f>
        <v>5</v>
      </c>
      <c r="F1353" s="10" t="n">
        <f aca="false">WEEKNUM(A1353,2) - WEEKNUM(DATE(YEAR(A1353),MONTH(A1353),1),2) + 1</f>
        <v>5</v>
      </c>
      <c r="G1353" s="10" t="n">
        <v>2</v>
      </c>
      <c r="H1353" s="11" t="n">
        <v>140</v>
      </c>
      <c r="I1353" s="12" t="s">
        <v>20</v>
      </c>
      <c r="J1353" s="12" t="s">
        <v>49</v>
      </c>
      <c r="K1353" s="12"/>
      <c r="L1353" s="9" t="n">
        <f aca="false">L1352+H1353</f>
        <v>54215.27</v>
      </c>
      <c r="M1353" s="10" t="str">
        <f aca="false">VLOOKUP(J1353,RECATALOGANDO!A:C,2,0)</f>
        <v>SERVICIO DE GROOMING</v>
      </c>
      <c r="N1353" s="12" t="str">
        <f aca="false">VLOOKUP(M1353,RECATALOGANDO!B:C,2,0)</f>
        <v>VENTA DE SERVICIO</v>
      </c>
      <c r="O1353" s="2" t="s">
        <v>39</v>
      </c>
    </row>
    <row r="1354" customFormat="false" ht="13.8" hidden="false" customHeight="false" outlineLevel="0" collapsed="false">
      <c r="A1354" s="8" t="n">
        <v>45807</v>
      </c>
      <c r="B1354" s="9" t="n">
        <f aca="false">DAY(A1354)</f>
        <v>30</v>
      </c>
      <c r="C1354" s="9" t="n">
        <f aca="false">MONTH(A1354)</f>
        <v>5</v>
      </c>
      <c r="D1354" s="9" t="n">
        <f aca="false">YEAR(A1354)</f>
        <v>2025</v>
      </c>
      <c r="E1354" s="9" t="n">
        <f aca="false">WEEKDAY(A1354,2)</f>
        <v>5</v>
      </c>
      <c r="F1354" s="10" t="n">
        <f aca="false">WEEKNUM(A1354,2) - WEEKNUM(DATE(YEAR(A1354),MONTH(A1354),1),2) + 1</f>
        <v>5</v>
      </c>
      <c r="G1354" s="10" t="n">
        <v>2</v>
      </c>
      <c r="H1354" s="11" t="n">
        <v>1800</v>
      </c>
      <c r="I1354" s="12" t="s">
        <v>20</v>
      </c>
      <c r="J1354" s="12" t="s">
        <v>57</v>
      </c>
      <c r="K1354" s="12"/>
      <c r="L1354" s="9" t="n">
        <f aca="false">L1353+H1354</f>
        <v>56015.27</v>
      </c>
      <c r="M1354" s="10" t="str">
        <f aca="false">VLOOKUP(J1354,RECATALOGANDO!A:C,2,0)</f>
        <v>SERVICIO DE CREMACION</v>
      </c>
      <c r="N1354" s="12" t="str">
        <f aca="false">VLOOKUP(M1354,RECATALOGANDO!B:C,2,0)</f>
        <v>VENTA DE SERVICIO</v>
      </c>
      <c r="O1354" s="2" t="s">
        <v>39</v>
      </c>
    </row>
    <row r="1355" customFormat="false" ht="13.8" hidden="false" customHeight="false" outlineLevel="0" collapsed="false">
      <c r="A1355" s="8" t="n">
        <v>45814</v>
      </c>
      <c r="B1355" s="9" t="n">
        <f aca="false">DAY(A1355)</f>
        <v>6</v>
      </c>
      <c r="C1355" s="9" t="n">
        <f aca="false">MONTH(A1355)</f>
        <v>6</v>
      </c>
      <c r="D1355" s="9" t="n">
        <f aca="false">YEAR(A1355)</f>
        <v>2025</v>
      </c>
      <c r="E1355" s="9" t="n">
        <f aca="false">WEEKDAY(A1355,2)</f>
        <v>5</v>
      </c>
      <c r="F1355" s="10" t="n">
        <f aca="false">WEEKNUM(A1355,2) - WEEKNUM(DATE(YEAR(A1355),MONTH(A1355),1),2) + 1</f>
        <v>2</v>
      </c>
      <c r="G1355" s="10"/>
      <c r="H1355" s="11" t="n">
        <v>3083.61</v>
      </c>
      <c r="I1355" s="38" t="s">
        <v>15</v>
      </c>
      <c r="J1355" s="38" t="s">
        <v>51</v>
      </c>
      <c r="K1355" s="12"/>
      <c r="L1355" s="9" t="n">
        <f aca="false">H1355</f>
        <v>3083.61</v>
      </c>
      <c r="M1355" s="10" t="str">
        <f aca="false">VLOOKUP(J1355,RECATALOGANDO!A:C,2,0)</f>
        <v>VENTA DE ALIMENTO</v>
      </c>
      <c r="N1355" s="12" t="str">
        <f aca="false">VLOOKUP(M1355,RECATALOGANDO!B:C,2,0)</f>
        <v>VENTA DE PRODUCTO</v>
      </c>
      <c r="O1355" s="2" t="s">
        <v>39</v>
      </c>
    </row>
    <row r="1356" customFormat="false" ht="13.8" hidden="false" customHeight="false" outlineLevel="0" collapsed="false">
      <c r="A1356" s="8" t="n">
        <v>45816</v>
      </c>
      <c r="B1356" s="9" t="n">
        <f aca="false">DAY(A1356)</f>
        <v>8</v>
      </c>
      <c r="C1356" s="9" t="n">
        <f aca="false">MONTH(A1356)</f>
        <v>6</v>
      </c>
      <c r="D1356" s="9" t="n">
        <f aca="false">YEAR(A1356)</f>
        <v>2025</v>
      </c>
      <c r="E1356" s="9" t="n">
        <f aca="false">WEEKDAY(A1356,2)</f>
        <v>7</v>
      </c>
      <c r="F1356" s="10" t="n">
        <f aca="false">WEEKNUM(A1356,2) - WEEKNUM(DATE(YEAR(A1356),MONTH(A1356),1),2) + 1</f>
        <v>2</v>
      </c>
      <c r="G1356" s="10"/>
      <c r="H1356" s="11" t="n">
        <v>380.42</v>
      </c>
      <c r="I1356" s="38" t="s">
        <v>15</v>
      </c>
      <c r="J1356" s="38" t="s">
        <v>45</v>
      </c>
      <c r="K1356" s="12"/>
      <c r="L1356" s="9" t="n">
        <f aca="false">L1355+H1356</f>
        <v>3464.03</v>
      </c>
      <c r="M1356" s="10" t="str">
        <f aca="false">VLOOKUP(J1356,RECATALOGANDO!A:C,2,0)</f>
        <v>VENTA DE MEDICAMENTO</v>
      </c>
      <c r="N1356" s="12" t="str">
        <f aca="false">VLOOKUP(M1356,RECATALOGANDO!B:C,2,0)</f>
        <v>VENTA DE PRODUCTO</v>
      </c>
      <c r="O1356" s="2" t="s">
        <v>39</v>
      </c>
    </row>
    <row r="1357" customFormat="false" ht="13.8" hidden="false" customHeight="false" outlineLevel="0" collapsed="false">
      <c r="A1357" s="8" t="n">
        <v>45817</v>
      </c>
      <c r="B1357" s="9" t="n">
        <f aca="false">DAY(A1357)</f>
        <v>9</v>
      </c>
      <c r="C1357" s="9" t="n">
        <f aca="false">MONTH(A1357)</f>
        <v>6</v>
      </c>
      <c r="D1357" s="9" t="n">
        <f aca="false">YEAR(A1357)</f>
        <v>2025</v>
      </c>
      <c r="E1357" s="9" t="n">
        <f aca="false">WEEKDAY(A1357,2)</f>
        <v>1</v>
      </c>
      <c r="F1357" s="10" t="n">
        <f aca="false">WEEKNUM(A1357,2) - WEEKNUM(DATE(YEAR(A1357),MONTH(A1357),1),2) + 1</f>
        <v>3</v>
      </c>
      <c r="G1357" s="10"/>
      <c r="H1357" s="11" t="n">
        <v>460</v>
      </c>
      <c r="I1357" s="38" t="s">
        <v>20</v>
      </c>
      <c r="J1357" s="38" t="s">
        <v>45</v>
      </c>
      <c r="K1357" s="12"/>
      <c r="L1357" s="9" t="n">
        <f aca="false">L1356+H1357</f>
        <v>3924.03</v>
      </c>
      <c r="M1357" s="10" t="str">
        <f aca="false">VLOOKUP(J1357,RECATALOGANDO!A:C,2,0)</f>
        <v>VENTA DE MEDICAMENTO</v>
      </c>
      <c r="N1357" s="12" t="str">
        <f aca="false">VLOOKUP(M1357,RECATALOGANDO!B:C,2,0)</f>
        <v>VENTA DE PRODUCTO</v>
      </c>
      <c r="O1357" s="2" t="s">
        <v>39</v>
      </c>
    </row>
    <row r="1358" customFormat="false" ht="13.8" hidden="false" customHeight="false" outlineLevel="0" collapsed="false">
      <c r="A1358" s="8" t="n">
        <v>45817</v>
      </c>
      <c r="B1358" s="9" t="n">
        <f aca="false">DAY(A1358)</f>
        <v>9</v>
      </c>
      <c r="C1358" s="9" t="n">
        <f aca="false">MONTH(A1358)</f>
        <v>6</v>
      </c>
      <c r="D1358" s="9" t="n">
        <f aca="false">YEAR(A1358)</f>
        <v>2025</v>
      </c>
      <c r="E1358" s="9" t="n">
        <f aca="false">WEEKDAY(A1358,2)</f>
        <v>1</v>
      </c>
      <c r="F1358" s="10" t="n">
        <f aca="false">WEEKNUM(A1358,2) - WEEKNUM(DATE(YEAR(A1358),MONTH(A1358),1),2) + 1</f>
        <v>3</v>
      </c>
      <c r="G1358" s="10"/>
      <c r="H1358" s="11" t="n">
        <v>3043</v>
      </c>
      <c r="I1358" s="38" t="s">
        <v>20</v>
      </c>
      <c r="J1358" s="38" t="s">
        <v>51</v>
      </c>
      <c r="K1358" s="12"/>
      <c r="L1358" s="9" t="n">
        <f aca="false">L1357+H1358</f>
        <v>6967.03</v>
      </c>
      <c r="M1358" s="10" t="str">
        <f aca="false">VLOOKUP(J1358,RECATALOGANDO!A:C,2,0)</f>
        <v>VENTA DE ALIMENTO</v>
      </c>
      <c r="N1358" s="12" t="str">
        <f aca="false">VLOOKUP(M1358,RECATALOGANDO!B:C,2,0)</f>
        <v>VENTA DE PRODUCTO</v>
      </c>
      <c r="O1358" s="2" t="s">
        <v>39</v>
      </c>
    </row>
    <row r="1359" customFormat="false" ht="13.8" hidden="false" customHeight="false" outlineLevel="0" collapsed="false">
      <c r="A1359" s="8" t="n">
        <v>45817</v>
      </c>
      <c r="B1359" s="9" t="n">
        <f aca="false">DAY(A1359)</f>
        <v>9</v>
      </c>
      <c r="C1359" s="9" t="n">
        <f aca="false">MONTH(A1359)</f>
        <v>6</v>
      </c>
      <c r="D1359" s="9" t="n">
        <f aca="false">YEAR(A1359)</f>
        <v>2025</v>
      </c>
      <c r="E1359" s="9" t="n">
        <f aca="false">WEEKDAY(A1359,2)</f>
        <v>1</v>
      </c>
      <c r="F1359" s="10" t="n">
        <f aca="false">WEEKNUM(A1359,2) - WEEKNUM(DATE(YEAR(A1359),MONTH(A1359),1),2) + 1</f>
        <v>3</v>
      </c>
      <c r="G1359" s="10"/>
      <c r="H1359" s="11" t="n">
        <v>3340</v>
      </c>
      <c r="I1359" s="38" t="s">
        <v>20</v>
      </c>
      <c r="J1359" s="38" t="s">
        <v>45</v>
      </c>
      <c r="K1359" s="12"/>
      <c r="L1359" s="9" t="n">
        <f aca="false">L1358+H1359</f>
        <v>10307.03</v>
      </c>
      <c r="M1359" s="10" t="str">
        <f aca="false">VLOOKUP(J1359,RECATALOGANDO!A:C,2,0)</f>
        <v>VENTA DE MEDICAMENTO</v>
      </c>
      <c r="N1359" s="12" t="str">
        <f aca="false">VLOOKUP(M1359,RECATALOGANDO!B:C,2,0)</f>
        <v>VENTA DE PRODUCTO</v>
      </c>
      <c r="O1359" s="2" t="s">
        <v>39</v>
      </c>
    </row>
    <row r="1360" customFormat="false" ht="13.8" hidden="false" customHeight="false" outlineLevel="0" collapsed="false">
      <c r="A1360" s="8" t="n">
        <v>45819</v>
      </c>
      <c r="B1360" s="9" t="n">
        <f aca="false">DAY(A1360)</f>
        <v>11</v>
      </c>
      <c r="C1360" s="9" t="n">
        <f aca="false">MONTH(A1360)</f>
        <v>6</v>
      </c>
      <c r="D1360" s="9" t="n">
        <f aca="false">YEAR(A1360)</f>
        <v>2025</v>
      </c>
      <c r="E1360" s="9" t="n">
        <f aca="false">WEEKDAY(A1360,2)</f>
        <v>3</v>
      </c>
      <c r="F1360" s="10" t="n">
        <f aca="false">WEEKNUM(A1360,2) - WEEKNUM(DATE(YEAR(A1360),MONTH(A1360),1),2) + 1</f>
        <v>3</v>
      </c>
      <c r="G1360" s="10"/>
      <c r="H1360" s="11" t="n">
        <v>508</v>
      </c>
      <c r="I1360" s="38" t="s">
        <v>15</v>
      </c>
      <c r="J1360" s="38" t="s">
        <v>44</v>
      </c>
      <c r="K1360" s="12"/>
      <c r="L1360" s="9" t="n">
        <f aca="false">L1359+H1360</f>
        <v>10815.03</v>
      </c>
      <c r="M1360" s="10" t="str">
        <f aca="false">VLOOKUP(J1360,RECATALOGANDO!A:C,2,0)</f>
        <v>HONORARIOS MEDICOS</v>
      </c>
      <c r="N1360" s="12" t="str">
        <f aca="false">VLOOKUP(M1360,RECATALOGANDO!B:C,2,0)</f>
        <v>VENTA DE SERVICIO</v>
      </c>
      <c r="O1360" s="2" t="s">
        <v>39</v>
      </c>
    </row>
    <row r="1361" customFormat="false" ht="13.8" hidden="false" customHeight="false" outlineLevel="0" collapsed="false">
      <c r="A1361" s="8" t="n">
        <v>45819</v>
      </c>
      <c r="B1361" s="9" t="n">
        <f aca="false">DAY(A1361)</f>
        <v>11</v>
      </c>
      <c r="C1361" s="9" t="n">
        <f aca="false">MONTH(A1361)</f>
        <v>6</v>
      </c>
      <c r="D1361" s="9" t="n">
        <f aca="false">YEAR(A1361)</f>
        <v>2025</v>
      </c>
      <c r="E1361" s="9" t="n">
        <f aca="false">WEEKDAY(A1361,2)</f>
        <v>3</v>
      </c>
      <c r="F1361" s="10" t="n">
        <f aca="false">WEEKNUM(A1361,2) - WEEKNUM(DATE(YEAR(A1361),MONTH(A1361),1),2) + 1</f>
        <v>3</v>
      </c>
      <c r="G1361" s="10"/>
      <c r="H1361" s="11" t="n">
        <v>1978</v>
      </c>
      <c r="I1361" s="38" t="s">
        <v>15</v>
      </c>
      <c r="J1361" s="38" t="s">
        <v>54</v>
      </c>
      <c r="K1361" s="12"/>
      <c r="L1361" s="9" t="n">
        <f aca="false">L1360+H1361</f>
        <v>12793.03</v>
      </c>
      <c r="M1361" s="10" t="str">
        <f aca="false">VLOOKUP(J1361,RECATALOGANDO!A:C,2,0)</f>
        <v>SERVICIO DE LABORATORIO</v>
      </c>
      <c r="N1361" s="12" t="str">
        <f aca="false">VLOOKUP(M1361,RECATALOGANDO!B:C,2,0)</f>
        <v>VENTA DE SERVICIO</v>
      </c>
      <c r="O1361" s="2" t="s">
        <v>39</v>
      </c>
    </row>
    <row r="1362" customFormat="false" ht="13.8" hidden="false" customHeight="false" outlineLevel="0" collapsed="false">
      <c r="A1362" s="8" t="n">
        <v>45820</v>
      </c>
      <c r="B1362" s="9" t="n">
        <f aca="false">DAY(A1362)</f>
        <v>12</v>
      </c>
      <c r="C1362" s="9" t="n">
        <f aca="false">MONTH(A1362)</f>
        <v>6</v>
      </c>
      <c r="D1362" s="9" t="n">
        <f aca="false">YEAR(A1362)</f>
        <v>2025</v>
      </c>
      <c r="E1362" s="9" t="n">
        <f aca="false">WEEKDAY(A1362,2)</f>
        <v>4</v>
      </c>
      <c r="F1362" s="10" t="n">
        <f aca="false">WEEKNUM(A1362,2) - WEEKNUM(DATE(YEAR(A1362),MONTH(A1362),1),2) + 1</f>
        <v>3</v>
      </c>
      <c r="G1362" s="10"/>
      <c r="H1362" s="11" t="n">
        <v>1420</v>
      </c>
      <c r="I1362" s="38" t="s">
        <v>20</v>
      </c>
      <c r="J1362" s="38" t="s">
        <v>54</v>
      </c>
      <c r="K1362" s="12"/>
      <c r="L1362" s="9" t="n">
        <f aca="false">L1361+H1362</f>
        <v>14213.03</v>
      </c>
      <c r="M1362" s="10" t="str">
        <f aca="false">VLOOKUP(J1362,RECATALOGANDO!A:C,2,0)</f>
        <v>SERVICIO DE LABORATORIO</v>
      </c>
      <c r="N1362" s="12" t="str">
        <f aca="false">VLOOKUP(M1362,RECATALOGANDO!B:C,2,0)</f>
        <v>VENTA DE SERVICIO</v>
      </c>
      <c r="O1362" s="2" t="s">
        <v>39</v>
      </c>
    </row>
    <row r="1363" customFormat="false" ht="13.8" hidden="false" customHeight="false" outlineLevel="0" collapsed="false">
      <c r="A1363" s="8" t="n">
        <v>45820</v>
      </c>
      <c r="B1363" s="9" t="n">
        <f aca="false">DAY(A1363)</f>
        <v>12</v>
      </c>
      <c r="C1363" s="9" t="n">
        <f aca="false">MONTH(A1363)</f>
        <v>6</v>
      </c>
      <c r="D1363" s="9" t="n">
        <f aca="false">YEAR(A1363)</f>
        <v>2025</v>
      </c>
      <c r="E1363" s="9" t="n">
        <f aca="false">WEEKDAY(A1363,2)</f>
        <v>4</v>
      </c>
      <c r="F1363" s="10" t="n">
        <f aca="false">WEEKNUM(A1363,2) - WEEKNUM(DATE(YEAR(A1363),MONTH(A1363),1),2) + 1</f>
        <v>3</v>
      </c>
      <c r="G1363" s="10"/>
      <c r="H1363" s="11" t="n">
        <v>2570</v>
      </c>
      <c r="I1363" s="38" t="s">
        <v>20</v>
      </c>
      <c r="J1363" s="38" t="s">
        <v>49</v>
      </c>
      <c r="K1363" s="12"/>
      <c r="L1363" s="9" t="n">
        <f aca="false">L1362+H1363</f>
        <v>16783.03</v>
      </c>
      <c r="M1363" s="10" t="str">
        <f aca="false">VLOOKUP(J1363,RECATALOGANDO!A:C,2,0)</f>
        <v>SERVICIO DE GROOMING</v>
      </c>
      <c r="N1363" s="12" t="str">
        <f aca="false">VLOOKUP(M1363,RECATALOGANDO!B:C,2,0)</f>
        <v>VENTA DE SERVICIO</v>
      </c>
      <c r="O1363" s="2" t="s">
        <v>39</v>
      </c>
    </row>
    <row r="1364" customFormat="false" ht="13.8" hidden="false" customHeight="false" outlineLevel="0" collapsed="false">
      <c r="A1364" s="8" t="n">
        <v>45821</v>
      </c>
      <c r="B1364" s="9" t="n">
        <f aca="false">DAY(A1364)</f>
        <v>13</v>
      </c>
      <c r="C1364" s="9" t="n">
        <f aca="false">MONTH(A1364)</f>
        <v>6</v>
      </c>
      <c r="D1364" s="9" t="n">
        <f aca="false">YEAR(A1364)</f>
        <v>2025</v>
      </c>
      <c r="E1364" s="9" t="n">
        <f aca="false">WEEKDAY(A1364,2)</f>
        <v>5</v>
      </c>
      <c r="F1364" s="10" t="n">
        <f aca="false">WEEKNUM(A1364,2) - WEEKNUM(DATE(YEAR(A1364),MONTH(A1364),1),2) + 1</f>
        <v>3</v>
      </c>
      <c r="G1364" s="10" t="n">
        <v>1</v>
      </c>
      <c r="H1364" s="11" t="n">
        <v>400</v>
      </c>
      <c r="I1364" s="38" t="s">
        <v>20</v>
      </c>
      <c r="J1364" s="38" t="s">
        <v>45</v>
      </c>
      <c r="K1364" s="12"/>
      <c r="L1364" s="9" t="n">
        <f aca="false">L1363+H1364</f>
        <v>17183.03</v>
      </c>
      <c r="M1364" s="10" t="str">
        <f aca="false">VLOOKUP(J1364,RECATALOGANDO!A:C,2,0)</f>
        <v>VENTA DE MEDICAMENTO</v>
      </c>
      <c r="N1364" s="12" t="str">
        <f aca="false">VLOOKUP(M1364,RECATALOGANDO!B:C,2,0)</f>
        <v>VENTA DE PRODUCTO</v>
      </c>
      <c r="O1364" s="2" t="s">
        <v>39</v>
      </c>
    </row>
    <row r="1365" customFormat="false" ht="13.8" hidden="false" customHeight="false" outlineLevel="0" collapsed="false">
      <c r="A1365" s="8" t="n">
        <v>45821</v>
      </c>
      <c r="B1365" s="9" t="n">
        <f aca="false">DAY(A1365)</f>
        <v>13</v>
      </c>
      <c r="C1365" s="9" t="n">
        <f aca="false">MONTH(A1365)</f>
        <v>6</v>
      </c>
      <c r="D1365" s="9" t="n">
        <f aca="false">YEAR(A1365)</f>
        <v>2025</v>
      </c>
      <c r="E1365" s="9" t="n">
        <f aca="false">WEEKDAY(A1365,2)</f>
        <v>5</v>
      </c>
      <c r="F1365" s="10" t="n">
        <f aca="false">WEEKNUM(A1365,2) - WEEKNUM(DATE(YEAR(A1365),MONTH(A1365),1),2) + 1</f>
        <v>3</v>
      </c>
      <c r="G1365" s="10" t="n">
        <v>1</v>
      </c>
      <c r="H1365" s="11" t="n">
        <v>400</v>
      </c>
      <c r="I1365" s="38" t="s">
        <v>20</v>
      </c>
      <c r="J1365" s="38" t="s">
        <v>45</v>
      </c>
      <c r="K1365" s="12"/>
      <c r="L1365" s="9" t="n">
        <f aca="false">L1364+H1365</f>
        <v>17583.03</v>
      </c>
      <c r="M1365" s="10" t="str">
        <f aca="false">VLOOKUP(J1365,RECATALOGANDO!A:C,2,0)</f>
        <v>VENTA DE MEDICAMENTO</v>
      </c>
      <c r="N1365" s="12" t="str">
        <f aca="false">VLOOKUP(M1365,RECATALOGANDO!B:C,2,0)</f>
        <v>VENTA DE PRODUCTO</v>
      </c>
      <c r="O1365" s="2" t="s">
        <v>39</v>
      </c>
    </row>
    <row r="1366" customFormat="false" ht="13.8" hidden="false" customHeight="false" outlineLevel="0" collapsed="false">
      <c r="A1366" s="8" t="n">
        <v>45821</v>
      </c>
      <c r="B1366" s="9" t="n">
        <f aca="false">DAY(A1366)</f>
        <v>13</v>
      </c>
      <c r="C1366" s="9" t="n">
        <f aca="false">MONTH(A1366)</f>
        <v>6</v>
      </c>
      <c r="D1366" s="9" t="n">
        <f aca="false">YEAR(A1366)</f>
        <v>2025</v>
      </c>
      <c r="E1366" s="9" t="n">
        <f aca="false">WEEKDAY(A1366,2)</f>
        <v>5</v>
      </c>
      <c r="F1366" s="10" t="n">
        <f aca="false">WEEKNUM(A1366,2) - WEEKNUM(DATE(YEAR(A1366),MONTH(A1366),1),2) + 1</f>
        <v>3</v>
      </c>
      <c r="G1366" s="10" t="n">
        <v>1</v>
      </c>
      <c r="H1366" s="11" t="n">
        <v>540</v>
      </c>
      <c r="I1366" s="38" t="s">
        <v>20</v>
      </c>
      <c r="J1366" s="38" t="s">
        <v>44</v>
      </c>
      <c r="K1366" s="12"/>
      <c r="L1366" s="9" t="n">
        <f aca="false">L1365+H1366</f>
        <v>18123.03</v>
      </c>
      <c r="M1366" s="10" t="str">
        <f aca="false">VLOOKUP(J1366,RECATALOGANDO!A:C,2,0)</f>
        <v>HONORARIOS MEDICOS</v>
      </c>
      <c r="N1366" s="12" t="str">
        <f aca="false">VLOOKUP(M1366,RECATALOGANDO!B:C,2,0)</f>
        <v>VENTA DE SERVICIO</v>
      </c>
      <c r="O1366" s="2" t="s">
        <v>39</v>
      </c>
    </row>
    <row r="1367" customFormat="false" ht="13.8" hidden="false" customHeight="false" outlineLevel="0" collapsed="false">
      <c r="A1367" s="8" t="n">
        <v>45823</v>
      </c>
      <c r="B1367" s="9" t="n">
        <f aca="false">DAY(A1367)</f>
        <v>15</v>
      </c>
      <c r="C1367" s="9" t="n">
        <f aca="false">MONTH(A1367)</f>
        <v>6</v>
      </c>
      <c r="D1367" s="9" t="n">
        <f aca="false">YEAR(A1367)</f>
        <v>2025</v>
      </c>
      <c r="E1367" s="9" t="n">
        <f aca="false">WEEKDAY(A1367,2)</f>
        <v>7</v>
      </c>
      <c r="F1367" s="10" t="n">
        <f aca="false">WEEKNUM(A1367,2) - WEEKNUM(DATE(YEAR(A1367),MONTH(A1367),1),2) + 1</f>
        <v>3</v>
      </c>
      <c r="G1367" s="10"/>
      <c r="H1367" s="11" t="n">
        <v>2077.46</v>
      </c>
      <c r="I1367" s="38" t="s">
        <v>15</v>
      </c>
      <c r="J1367" s="38" t="s">
        <v>45</v>
      </c>
      <c r="K1367" s="12"/>
      <c r="L1367" s="9" t="n">
        <f aca="false">L1366+H1367</f>
        <v>20200.49</v>
      </c>
      <c r="M1367" s="10" t="str">
        <f aca="false">VLOOKUP(J1367,RECATALOGANDO!A:C,2,0)</f>
        <v>VENTA DE MEDICAMENTO</v>
      </c>
      <c r="N1367" s="12" t="str">
        <f aca="false">VLOOKUP(M1367,RECATALOGANDO!B:C,2,0)</f>
        <v>VENTA DE PRODUCTO</v>
      </c>
      <c r="O1367" s="2" t="s">
        <v>39</v>
      </c>
    </row>
    <row r="1368" customFormat="false" ht="13.8" hidden="false" customHeight="false" outlineLevel="0" collapsed="false">
      <c r="A1368" s="8" t="n">
        <v>45824</v>
      </c>
      <c r="B1368" s="9" t="n">
        <f aca="false">DAY(A1368)</f>
        <v>16</v>
      </c>
      <c r="C1368" s="9" t="n">
        <f aca="false">MONTH(A1368)</f>
        <v>6</v>
      </c>
      <c r="D1368" s="9" t="n">
        <f aca="false">YEAR(A1368)</f>
        <v>2025</v>
      </c>
      <c r="E1368" s="9" t="n">
        <f aca="false">WEEKDAY(A1368,2)</f>
        <v>1</v>
      </c>
      <c r="F1368" s="10" t="n">
        <f aca="false">WEEKNUM(A1368,2) - WEEKNUM(DATE(YEAR(A1368),MONTH(A1368),1),2) + 1</f>
        <v>4</v>
      </c>
      <c r="G1368" s="10"/>
      <c r="H1368" s="11" t="n">
        <v>280</v>
      </c>
      <c r="I1368" s="38" t="s">
        <v>20</v>
      </c>
      <c r="J1368" s="38" t="s">
        <v>45</v>
      </c>
      <c r="K1368" s="12"/>
      <c r="L1368" s="9" t="n">
        <f aca="false">L1367+H1368</f>
        <v>20480.49</v>
      </c>
      <c r="M1368" s="10" t="str">
        <f aca="false">VLOOKUP(J1368,RECATALOGANDO!A:C,2,0)</f>
        <v>VENTA DE MEDICAMENTO</v>
      </c>
      <c r="N1368" s="12" t="str">
        <f aca="false">VLOOKUP(M1368,RECATALOGANDO!B:C,2,0)</f>
        <v>VENTA DE PRODUCTO</v>
      </c>
      <c r="O1368" s="2" t="s">
        <v>39</v>
      </c>
    </row>
    <row r="1369" customFormat="false" ht="13.8" hidden="false" customHeight="false" outlineLevel="0" collapsed="false">
      <c r="A1369" s="8" t="n">
        <v>45824</v>
      </c>
      <c r="B1369" s="9" t="n">
        <f aca="false">DAY(A1369)</f>
        <v>16</v>
      </c>
      <c r="C1369" s="9" t="n">
        <f aca="false">MONTH(A1369)</f>
        <v>6</v>
      </c>
      <c r="D1369" s="9" t="n">
        <f aca="false">YEAR(A1369)</f>
        <v>2025</v>
      </c>
      <c r="E1369" s="9" t="n">
        <f aca="false">WEEKDAY(A1369,2)</f>
        <v>1</v>
      </c>
      <c r="F1369" s="10" t="n">
        <f aca="false">WEEKNUM(A1369,2) - WEEKNUM(DATE(YEAR(A1369),MONTH(A1369),1),2) + 1</f>
        <v>4</v>
      </c>
      <c r="G1369" s="10"/>
      <c r="H1369" s="11" t="n">
        <v>3500</v>
      </c>
      <c r="I1369" s="38" t="s">
        <v>20</v>
      </c>
      <c r="J1369" s="38" t="s">
        <v>51</v>
      </c>
      <c r="K1369" s="12"/>
      <c r="L1369" s="9" t="n">
        <f aca="false">L1368+H1369</f>
        <v>23980.49</v>
      </c>
      <c r="M1369" s="10" t="str">
        <f aca="false">VLOOKUP(J1369,RECATALOGANDO!A:C,2,0)</f>
        <v>VENTA DE ALIMENTO</v>
      </c>
      <c r="N1369" s="12" t="str">
        <f aca="false">VLOOKUP(M1369,RECATALOGANDO!B:C,2,0)</f>
        <v>VENTA DE PRODUCTO</v>
      </c>
      <c r="O1369" s="2" t="s">
        <v>39</v>
      </c>
    </row>
    <row r="1370" customFormat="false" ht="13.8" hidden="false" customHeight="false" outlineLevel="0" collapsed="false">
      <c r="A1370" s="8" t="n">
        <v>45824</v>
      </c>
      <c r="B1370" s="9" t="n">
        <f aca="false">DAY(A1370)</f>
        <v>16</v>
      </c>
      <c r="C1370" s="9" t="n">
        <f aca="false">MONTH(A1370)</f>
        <v>6</v>
      </c>
      <c r="D1370" s="9" t="n">
        <f aca="false">YEAR(A1370)</f>
        <v>2025</v>
      </c>
      <c r="E1370" s="9" t="n">
        <f aca="false">WEEKDAY(A1370,2)</f>
        <v>1</v>
      </c>
      <c r="F1370" s="10" t="n">
        <f aca="false">WEEKNUM(A1370,2) - WEEKNUM(DATE(YEAR(A1370),MONTH(A1370),1),2) + 1</f>
        <v>4</v>
      </c>
      <c r="G1370" s="10"/>
      <c r="H1370" s="11" t="n">
        <v>140</v>
      </c>
      <c r="I1370" s="38" t="s">
        <v>15</v>
      </c>
      <c r="J1370" s="38" t="s">
        <v>49</v>
      </c>
      <c r="K1370" s="12"/>
      <c r="L1370" s="9" t="n">
        <f aca="false">L1369+H1370</f>
        <v>24120.49</v>
      </c>
      <c r="M1370" s="10" t="str">
        <f aca="false">VLOOKUP(J1370,RECATALOGANDO!A:C,2,0)</f>
        <v>SERVICIO DE GROOMING</v>
      </c>
      <c r="N1370" s="12" t="str">
        <f aca="false">VLOOKUP(M1370,RECATALOGANDO!B:C,2,0)</f>
        <v>VENTA DE SERVICIO</v>
      </c>
      <c r="O1370" s="2" t="s">
        <v>39</v>
      </c>
    </row>
    <row r="1371" customFormat="false" ht="13.8" hidden="false" customHeight="false" outlineLevel="0" collapsed="false">
      <c r="A1371" s="8" t="n">
        <v>45824</v>
      </c>
      <c r="B1371" s="9" t="n">
        <f aca="false">DAY(A1371)</f>
        <v>16</v>
      </c>
      <c r="C1371" s="9" t="n">
        <f aca="false">MONTH(A1371)</f>
        <v>6</v>
      </c>
      <c r="D1371" s="9" t="n">
        <f aca="false">YEAR(A1371)</f>
        <v>2025</v>
      </c>
      <c r="E1371" s="9" t="n">
        <f aca="false">WEEKDAY(A1371,2)</f>
        <v>1</v>
      </c>
      <c r="F1371" s="10" t="n">
        <f aca="false">WEEKNUM(A1371,2) - WEEKNUM(DATE(YEAR(A1371),MONTH(A1371),1),2) + 1</f>
        <v>4</v>
      </c>
      <c r="G1371" s="10"/>
      <c r="H1371" s="11" t="n">
        <v>2136</v>
      </c>
      <c r="I1371" s="38" t="s">
        <v>20</v>
      </c>
      <c r="J1371" s="38" t="s">
        <v>44</v>
      </c>
      <c r="K1371" s="12"/>
      <c r="L1371" s="9" t="n">
        <f aca="false">L1370+H1371</f>
        <v>26256.49</v>
      </c>
      <c r="M1371" s="10" t="str">
        <f aca="false">VLOOKUP(J1371,RECATALOGANDO!A:C,2,0)</f>
        <v>HONORARIOS MEDICOS</v>
      </c>
      <c r="N1371" s="12" t="str">
        <f aca="false">VLOOKUP(M1371,RECATALOGANDO!B:C,2,0)</f>
        <v>VENTA DE SERVICIO</v>
      </c>
      <c r="O1371" s="2" t="s">
        <v>39</v>
      </c>
    </row>
    <row r="1372" customFormat="false" ht="13.8" hidden="false" customHeight="false" outlineLevel="0" collapsed="false">
      <c r="A1372" s="8" t="n">
        <v>45825</v>
      </c>
      <c r="B1372" s="9" t="n">
        <f aca="false">DAY(A1372)</f>
        <v>17</v>
      </c>
      <c r="C1372" s="9" t="n">
        <f aca="false">MONTH(A1372)</f>
        <v>6</v>
      </c>
      <c r="D1372" s="9" t="n">
        <f aca="false">YEAR(A1372)</f>
        <v>2025</v>
      </c>
      <c r="E1372" s="9" t="n">
        <f aca="false">WEEKDAY(A1372,2)</f>
        <v>2</v>
      </c>
      <c r="F1372" s="10" t="n">
        <f aca="false">WEEKNUM(A1372,2) - WEEKNUM(DATE(YEAR(A1372),MONTH(A1372),1),2) + 1</f>
        <v>4</v>
      </c>
      <c r="G1372" s="10"/>
      <c r="H1372" s="11" t="n">
        <v>840</v>
      </c>
      <c r="I1372" s="38" t="s">
        <v>15</v>
      </c>
      <c r="J1372" s="38" t="s">
        <v>45</v>
      </c>
      <c r="K1372" s="12"/>
      <c r="L1372" s="9" t="n">
        <f aca="false">L1371+H1372</f>
        <v>27096.49</v>
      </c>
      <c r="M1372" s="10" t="str">
        <f aca="false">VLOOKUP(J1372,RECATALOGANDO!A:C,2,0)</f>
        <v>VENTA DE MEDICAMENTO</v>
      </c>
      <c r="N1372" s="12" t="str">
        <f aca="false">VLOOKUP(M1372,RECATALOGANDO!B:C,2,0)</f>
        <v>VENTA DE PRODUCTO</v>
      </c>
      <c r="O1372" s="2" t="s">
        <v>39</v>
      </c>
    </row>
    <row r="1373" customFormat="false" ht="13.8" hidden="false" customHeight="false" outlineLevel="0" collapsed="false">
      <c r="A1373" s="8" t="n">
        <v>45826</v>
      </c>
      <c r="B1373" s="9" t="n">
        <f aca="false">DAY(A1373)</f>
        <v>18</v>
      </c>
      <c r="C1373" s="9" t="n">
        <f aca="false">MONTH(A1373)</f>
        <v>6</v>
      </c>
      <c r="D1373" s="9" t="n">
        <f aca="false">YEAR(A1373)</f>
        <v>2025</v>
      </c>
      <c r="E1373" s="9" t="n">
        <f aca="false">WEEKDAY(A1373,2)</f>
        <v>3</v>
      </c>
      <c r="F1373" s="10" t="n">
        <f aca="false">WEEKNUM(A1373,2) - WEEKNUM(DATE(YEAR(A1373),MONTH(A1373),1),2) + 1</f>
        <v>4</v>
      </c>
      <c r="G1373" s="10"/>
      <c r="H1373" s="11" t="n">
        <v>1600</v>
      </c>
      <c r="I1373" s="38" t="s">
        <v>20</v>
      </c>
      <c r="J1373" s="38" t="s">
        <v>45</v>
      </c>
      <c r="K1373" s="12"/>
      <c r="L1373" s="9" t="n">
        <f aca="false">L1372+H1373</f>
        <v>28696.49</v>
      </c>
      <c r="M1373" s="10" t="str">
        <f aca="false">VLOOKUP(J1373,RECATALOGANDO!A:C,2,0)</f>
        <v>VENTA DE MEDICAMENTO</v>
      </c>
      <c r="N1373" s="12" t="str">
        <f aca="false">VLOOKUP(M1373,RECATALOGANDO!B:C,2,0)</f>
        <v>VENTA DE PRODUCTO</v>
      </c>
      <c r="O1373" s="2" t="s">
        <v>39</v>
      </c>
    </row>
    <row r="1374" customFormat="false" ht="13.8" hidden="false" customHeight="false" outlineLevel="0" collapsed="false">
      <c r="A1374" s="8" t="n">
        <v>45827</v>
      </c>
      <c r="B1374" s="9" t="n">
        <f aca="false">DAY(A1374)</f>
        <v>19</v>
      </c>
      <c r="C1374" s="9" t="n">
        <f aca="false">MONTH(A1374)</f>
        <v>6</v>
      </c>
      <c r="D1374" s="9" t="n">
        <f aca="false">YEAR(A1374)</f>
        <v>2025</v>
      </c>
      <c r="E1374" s="9" t="n">
        <f aca="false">WEEKDAY(A1374,2)</f>
        <v>4</v>
      </c>
      <c r="F1374" s="10" t="n">
        <f aca="false">WEEKNUM(A1374,2) - WEEKNUM(DATE(YEAR(A1374),MONTH(A1374),1),2) + 1</f>
        <v>4</v>
      </c>
      <c r="G1374" s="10"/>
      <c r="H1374" s="11" t="n">
        <v>690</v>
      </c>
      <c r="I1374" s="38" t="s">
        <v>20</v>
      </c>
      <c r="J1374" s="38" t="s">
        <v>45</v>
      </c>
      <c r="K1374" s="12"/>
      <c r="L1374" s="9" t="n">
        <f aca="false">L1373+H1374</f>
        <v>29386.49</v>
      </c>
      <c r="M1374" s="10" t="str">
        <f aca="false">VLOOKUP(J1374,RECATALOGANDO!A:C,2,0)</f>
        <v>VENTA DE MEDICAMENTO</v>
      </c>
      <c r="N1374" s="12" t="str">
        <f aca="false">VLOOKUP(M1374,RECATALOGANDO!B:C,2,0)</f>
        <v>VENTA DE PRODUCTO</v>
      </c>
      <c r="O1374" s="2" t="s">
        <v>39</v>
      </c>
    </row>
    <row r="1375" customFormat="false" ht="13.8" hidden="false" customHeight="false" outlineLevel="0" collapsed="false">
      <c r="A1375" s="8" t="n">
        <v>45827</v>
      </c>
      <c r="B1375" s="9" t="n">
        <f aca="false">DAY(A1375)</f>
        <v>19</v>
      </c>
      <c r="C1375" s="9" t="n">
        <f aca="false">MONTH(A1375)</f>
        <v>6</v>
      </c>
      <c r="D1375" s="9" t="n">
        <f aca="false">YEAR(A1375)</f>
        <v>2025</v>
      </c>
      <c r="E1375" s="9" t="n">
        <f aca="false">WEEKDAY(A1375,2)</f>
        <v>4</v>
      </c>
      <c r="F1375" s="10" t="n">
        <f aca="false">WEEKNUM(A1375,2) - WEEKNUM(DATE(YEAR(A1375),MONTH(A1375),1),2) + 1</f>
        <v>4</v>
      </c>
      <c r="G1375" s="10"/>
      <c r="H1375" s="11" t="n">
        <v>2013.43</v>
      </c>
      <c r="I1375" s="38" t="s">
        <v>15</v>
      </c>
      <c r="J1375" s="38" t="s">
        <v>45</v>
      </c>
      <c r="K1375" s="12"/>
      <c r="L1375" s="9" t="n">
        <f aca="false">L1374+H1375</f>
        <v>31399.92</v>
      </c>
      <c r="M1375" s="10" t="str">
        <f aca="false">VLOOKUP(J1375,RECATALOGANDO!A:C,2,0)</f>
        <v>VENTA DE MEDICAMENTO</v>
      </c>
      <c r="N1375" s="12" t="str">
        <f aca="false">VLOOKUP(M1375,RECATALOGANDO!B:C,2,0)</f>
        <v>VENTA DE PRODUCTO</v>
      </c>
      <c r="O1375" s="2" t="s">
        <v>39</v>
      </c>
    </row>
    <row r="1376" customFormat="false" ht="13.8" hidden="false" customHeight="false" outlineLevel="0" collapsed="false">
      <c r="A1376" s="8" t="n">
        <v>45828</v>
      </c>
      <c r="B1376" s="9" t="n">
        <f aca="false">DAY(A1376)</f>
        <v>20</v>
      </c>
      <c r="C1376" s="9" t="n">
        <f aca="false">MONTH(A1376)</f>
        <v>6</v>
      </c>
      <c r="D1376" s="9" t="n">
        <f aca="false">YEAR(A1376)</f>
        <v>2025</v>
      </c>
      <c r="E1376" s="9" t="n">
        <f aca="false">WEEKDAY(A1376,2)</f>
        <v>5</v>
      </c>
      <c r="F1376" s="10" t="n">
        <f aca="false">WEEKNUM(A1376,2) - WEEKNUM(DATE(YEAR(A1376),MONTH(A1376),1),2) + 1</f>
        <v>4</v>
      </c>
      <c r="G1376" s="10"/>
      <c r="H1376" s="11" t="n">
        <v>820</v>
      </c>
      <c r="I1376" s="38" t="s">
        <v>20</v>
      </c>
      <c r="J1376" s="38" t="s">
        <v>45</v>
      </c>
      <c r="K1376" s="12"/>
      <c r="L1376" s="9" t="n">
        <f aca="false">L1375+H1376</f>
        <v>32219.92</v>
      </c>
      <c r="M1376" s="10" t="str">
        <f aca="false">VLOOKUP(J1376,RECATALOGANDO!A:C,2,0)</f>
        <v>VENTA DE MEDICAMENTO</v>
      </c>
      <c r="N1376" s="12" t="str">
        <f aca="false">VLOOKUP(M1376,RECATALOGANDO!B:C,2,0)</f>
        <v>VENTA DE PRODUCTO</v>
      </c>
      <c r="O1376" s="2" t="s">
        <v>39</v>
      </c>
    </row>
    <row r="1377" customFormat="false" ht="13.8" hidden="false" customHeight="false" outlineLevel="0" collapsed="false">
      <c r="A1377" s="8" t="n">
        <v>45828</v>
      </c>
      <c r="B1377" s="9" t="n">
        <f aca="false">DAY(A1377)</f>
        <v>20</v>
      </c>
      <c r="C1377" s="9" t="n">
        <f aca="false">MONTH(A1377)</f>
        <v>6</v>
      </c>
      <c r="D1377" s="9" t="n">
        <f aca="false">YEAR(A1377)</f>
        <v>2025</v>
      </c>
      <c r="E1377" s="9" t="n">
        <f aca="false">WEEKDAY(A1377,2)</f>
        <v>5</v>
      </c>
      <c r="F1377" s="10" t="n">
        <f aca="false">WEEKNUM(A1377,2) - WEEKNUM(DATE(YEAR(A1377),MONTH(A1377),1),2) + 1</f>
        <v>4</v>
      </c>
      <c r="G1377" s="10"/>
      <c r="H1377" s="11" t="n">
        <v>158.11</v>
      </c>
      <c r="I1377" s="38" t="s">
        <v>15</v>
      </c>
      <c r="J1377" s="38" t="s">
        <v>49</v>
      </c>
      <c r="K1377" s="12"/>
      <c r="L1377" s="9" t="n">
        <f aca="false">L1376+H1377</f>
        <v>32378.03</v>
      </c>
      <c r="M1377" s="10" t="str">
        <f aca="false">VLOOKUP(J1377,RECATALOGANDO!A:C,2,0)</f>
        <v>SERVICIO DE GROOMING</v>
      </c>
      <c r="N1377" s="12" t="str">
        <f aca="false">VLOOKUP(M1377,RECATALOGANDO!B:C,2,0)</f>
        <v>VENTA DE SERVICIO</v>
      </c>
      <c r="O1377" s="2" t="s">
        <v>39</v>
      </c>
    </row>
    <row r="1378" customFormat="false" ht="13.8" hidden="false" customHeight="false" outlineLevel="0" collapsed="false">
      <c r="A1378" s="8" t="n">
        <v>45831</v>
      </c>
      <c r="B1378" s="9" t="n">
        <f aca="false">DAY(A1378)</f>
        <v>23</v>
      </c>
      <c r="C1378" s="9" t="n">
        <f aca="false">MONTH(A1378)</f>
        <v>6</v>
      </c>
      <c r="D1378" s="9" t="n">
        <f aca="false">YEAR(A1378)</f>
        <v>2025</v>
      </c>
      <c r="E1378" s="9" t="n">
        <f aca="false">WEEKDAY(A1378,2)</f>
        <v>1</v>
      </c>
      <c r="F1378" s="10" t="n">
        <f aca="false">WEEKNUM(A1378,2) - WEEKNUM(DATE(YEAR(A1378),MONTH(A1378),1),2) + 1</f>
        <v>5</v>
      </c>
      <c r="G1378" s="10"/>
      <c r="H1378" s="11" t="n">
        <v>1890</v>
      </c>
      <c r="I1378" s="38" t="s">
        <v>20</v>
      </c>
      <c r="J1378" s="38" t="s">
        <v>51</v>
      </c>
      <c r="K1378" s="12"/>
      <c r="L1378" s="9" t="n">
        <f aca="false">L1377+H1378</f>
        <v>34268.03</v>
      </c>
      <c r="M1378" s="10" t="str">
        <f aca="false">VLOOKUP(J1378,RECATALOGANDO!A:C,2,0)</f>
        <v>VENTA DE ALIMENTO</v>
      </c>
      <c r="N1378" s="12" t="str">
        <f aca="false">VLOOKUP(M1378,RECATALOGANDO!B:C,2,0)</f>
        <v>VENTA DE PRODUCTO</v>
      </c>
      <c r="O1378" s="2" t="s">
        <v>39</v>
      </c>
    </row>
    <row r="1379" customFormat="false" ht="13.8" hidden="false" customHeight="false" outlineLevel="0" collapsed="false">
      <c r="A1379" s="8" t="n">
        <v>45831</v>
      </c>
      <c r="B1379" s="9" t="n">
        <f aca="false">DAY(A1379)</f>
        <v>23</v>
      </c>
      <c r="C1379" s="9" t="n">
        <f aca="false">MONTH(A1379)</f>
        <v>6</v>
      </c>
      <c r="D1379" s="9" t="n">
        <f aca="false">YEAR(A1379)</f>
        <v>2025</v>
      </c>
      <c r="E1379" s="9" t="n">
        <f aca="false">WEEKDAY(A1379,2)</f>
        <v>1</v>
      </c>
      <c r="F1379" s="10" t="n">
        <f aca="false">WEEKNUM(A1379,2) - WEEKNUM(DATE(YEAR(A1379),MONTH(A1379),1),2) + 1</f>
        <v>5</v>
      </c>
      <c r="G1379" s="10"/>
      <c r="H1379" s="11" t="n">
        <v>3900</v>
      </c>
      <c r="I1379" s="38" t="s">
        <v>20</v>
      </c>
      <c r="J1379" s="38" t="s">
        <v>45</v>
      </c>
      <c r="K1379" s="12"/>
      <c r="L1379" s="9" t="n">
        <f aca="false">L1378+H1379</f>
        <v>38168.03</v>
      </c>
      <c r="M1379" s="10" t="str">
        <f aca="false">VLOOKUP(J1379,RECATALOGANDO!A:C,2,0)</f>
        <v>VENTA DE MEDICAMENTO</v>
      </c>
      <c r="N1379" s="12" t="str">
        <f aca="false">VLOOKUP(M1379,RECATALOGANDO!B:C,2,0)</f>
        <v>VENTA DE PRODUCTO</v>
      </c>
      <c r="O1379" s="2" t="s">
        <v>39</v>
      </c>
    </row>
    <row r="1380" customFormat="false" ht="13.8" hidden="false" customHeight="false" outlineLevel="0" collapsed="false">
      <c r="A1380" s="8" t="n">
        <v>45831</v>
      </c>
      <c r="B1380" s="9" t="n">
        <f aca="false">DAY(A1380)</f>
        <v>23</v>
      </c>
      <c r="C1380" s="9" t="n">
        <f aca="false">MONTH(A1380)</f>
        <v>6</v>
      </c>
      <c r="D1380" s="9" t="n">
        <f aca="false">YEAR(A1380)</f>
        <v>2025</v>
      </c>
      <c r="E1380" s="9" t="n">
        <f aca="false">WEEKDAY(A1380,2)</f>
        <v>1</v>
      </c>
      <c r="F1380" s="10" t="n">
        <f aca="false">WEEKNUM(A1380,2) - WEEKNUM(DATE(YEAR(A1380),MONTH(A1380),1),2) + 1</f>
        <v>5</v>
      </c>
      <c r="G1380" s="10"/>
      <c r="H1380" s="11" t="n">
        <v>660</v>
      </c>
      <c r="I1380" s="38" t="s">
        <v>20</v>
      </c>
      <c r="J1380" s="38" t="s">
        <v>49</v>
      </c>
      <c r="K1380" s="12"/>
      <c r="L1380" s="9" t="n">
        <f aca="false">L1379+H1380</f>
        <v>38828.03</v>
      </c>
      <c r="M1380" s="10" t="str">
        <f aca="false">VLOOKUP(J1380,RECATALOGANDO!A:C,2,0)</f>
        <v>SERVICIO DE GROOMING</v>
      </c>
      <c r="N1380" s="12" t="str">
        <f aca="false">VLOOKUP(M1380,RECATALOGANDO!B:C,2,0)</f>
        <v>VENTA DE SERVICIO</v>
      </c>
      <c r="O1380" s="2" t="s">
        <v>39</v>
      </c>
    </row>
    <row r="1381" customFormat="false" ht="13.8" hidden="false" customHeight="false" outlineLevel="0" collapsed="false">
      <c r="A1381" s="8" t="n">
        <v>45833</v>
      </c>
      <c r="B1381" s="9" t="n">
        <f aca="false">DAY(A1381)</f>
        <v>25</v>
      </c>
      <c r="C1381" s="9" t="n">
        <f aca="false">MONTH(A1381)</f>
        <v>6</v>
      </c>
      <c r="D1381" s="9" t="n">
        <f aca="false">YEAR(A1381)</f>
        <v>2025</v>
      </c>
      <c r="E1381" s="9" t="n">
        <f aca="false">WEEKDAY(A1381,2)</f>
        <v>3</v>
      </c>
      <c r="F1381" s="10" t="n">
        <f aca="false">WEEKNUM(A1381,2) - WEEKNUM(DATE(YEAR(A1381),MONTH(A1381),1),2) + 1</f>
        <v>5</v>
      </c>
      <c r="G1381" s="10"/>
      <c r="H1381" s="11" t="n">
        <v>3626</v>
      </c>
      <c r="I1381" s="38" t="s">
        <v>20</v>
      </c>
      <c r="J1381" s="38" t="s">
        <v>45</v>
      </c>
      <c r="K1381" s="12"/>
      <c r="L1381" s="9" t="n">
        <f aca="false">L1380+H1381</f>
        <v>42454.03</v>
      </c>
      <c r="M1381" s="10" t="str">
        <f aca="false">VLOOKUP(J1381,RECATALOGANDO!A:C,2,0)</f>
        <v>VENTA DE MEDICAMENTO</v>
      </c>
      <c r="N1381" s="12" t="str">
        <f aca="false">VLOOKUP(M1381,RECATALOGANDO!B:C,2,0)</f>
        <v>VENTA DE PRODUCTO</v>
      </c>
      <c r="O1381" s="2" t="s">
        <v>39</v>
      </c>
    </row>
    <row r="1382" customFormat="false" ht="13.8" hidden="false" customHeight="false" outlineLevel="0" collapsed="false">
      <c r="A1382" s="8" t="n">
        <v>45837</v>
      </c>
      <c r="B1382" s="9" t="n">
        <f aca="false">DAY(A1382)</f>
        <v>29</v>
      </c>
      <c r="C1382" s="9" t="n">
        <f aca="false">MONTH(A1382)</f>
        <v>6</v>
      </c>
      <c r="D1382" s="9" t="n">
        <f aca="false">YEAR(A1382)</f>
        <v>2025</v>
      </c>
      <c r="E1382" s="9" t="n">
        <f aca="false">WEEKDAY(A1382,2)</f>
        <v>7</v>
      </c>
      <c r="F1382" s="10" t="n">
        <f aca="false">WEEKNUM(A1382,2) - WEEKNUM(DATE(YEAR(A1382),MONTH(A1382),1),2) + 1</f>
        <v>5</v>
      </c>
      <c r="G1382" s="10"/>
      <c r="H1382" s="11" t="n">
        <v>460.91</v>
      </c>
      <c r="I1382" s="38" t="s">
        <v>15</v>
      </c>
      <c r="J1382" s="38" t="s">
        <v>51</v>
      </c>
      <c r="K1382" s="12"/>
      <c r="L1382" s="9" t="n">
        <f aca="false">L1381+H1382</f>
        <v>42914.94</v>
      </c>
      <c r="M1382" s="10" t="str">
        <f aca="false">VLOOKUP(J1382,RECATALOGANDO!A:C,2,0)</f>
        <v>VENTA DE ALIMENTO</v>
      </c>
      <c r="N1382" s="12" t="str">
        <f aca="false">VLOOKUP(M1382,RECATALOGANDO!B:C,2,0)</f>
        <v>VENTA DE PRODUCTO</v>
      </c>
      <c r="O1382" s="2" t="s">
        <v>39</v>
      </c>
    </row>
    <row r="1383" customFormat="false" ht="13.8" hidden="false" customHeight="false" outlineLevel="0" collapsed="false">
      <c r="A1383" s="8" t="n">
        <v>45837</v>
      </c>
      <c r="B1383" s="9" t="n">
        <f aca="false">DAY(A1383)</f>
        <v>29</v>
      </c>
      <c r="C1383" s="9" t="n">
        <f aca="false">MONTH(A1383)</f>
        <v>6</v>
      </c>
      <c r="D1383" s="9" t="n">
        <f aca="false">YEAR(A1383)</f>
        <v>2025</v>
      </c>
      <c r="E1383" s="9" t="n">
        <f aca="false">WEEKDAY(A1383,2)</f>
        <v>7</v>
      </c>
      <c r="F1383" s="10" t="n">
        <f aca="false">WEEKNUM(A1383,2) - WEEKNUM(DATE(YEAR(A1383),MONTH(A1383),1),2) + 1</f>
        <v>5</v>
      </c>
      <c r="G1383" s="10"/>
      <c r="H1383" s="11" t="n">
        <v>4450</v>
      </c>
      <c r="I1383" s="38" t="s">
        <v>15</v>
      </c>
      <c r="J1383" s="38" t="s">
        <v>51</v>
      </c>
      <c r="K1383" s="12"/>
      <c r="L1383" s="9" t="n">
        <f aca="false">L1382+H1383</f>
        <v>47364.94</v>
      </c>
      <c r="M1383" s="10" t="str">
        <f aca="false">VLOOKUP(J1383,RECATALOGANDO!A:C,2,0)</f>
        <v>VENTA DE ALIMENTO</v>
      </c>
      <c r="N1383" s="12" t="str">
        <f aca="false">VLOOKUP(M1383,RECATALOGANDO!B:C,2,0)</f>
        <v>VENTA DE PRODUCTO</v>
      </c>
      <c r="O1383" s="2" t="s">
        <v>39</v>
      </c>
    </row>
    <row r="1384" customFormat="false" ht="13.8" hidden="false" customHeight="false" outlineLevel="0" collapsed="false">
      <c r="A1384" s="8" t="n">
        <v>45838</v>
      </c>
      <c r="B1384" s="9" t="n">
        <f aca="false">DAY(A1384)</f>
        <v>30</v>
      </c>
      <c r="C1384" s="9" t="n">
        <f aca="false">MONTH(A1384)</f>
        <v>6</v>
      </c>
      <c r="D1384" s="9" t="n">
        <f aca="false">YEAR(A1384)</f>
        <v>2025</v>
      </c>
      <c r="E1384" s="9" t="n">
        <f aca="false">WEEKDAY(A1384,2)</f>
        <v>1</v>
      </c>
      <c r="F1384" s="10" t="n">
        <f aca="false">WEEKNUM(A1384,2) - WEEKNUM(DATE(YEAR(A1384),MONTH(A1384),1),2) + 1</f>
        <v>6</v>
      </c>
      <c r="G1384" s="10"/>
      <c r="H1384" s="11" t="n">
        <v>1510</v>
      </c>
      <c r="I1384" s="38" t="s">
        <v>15</v>
      </c>
      <c r="J1384" s="38" t="s">
        <v>44</v>
      </c>
      <c r="K1384" s="12"/>
      <c r="L1384" s="9" t="n">
        <f aca="false">L1383+H1384</f>
        <v>48874.94</v>
      </c>
      <c r="M1384" s="10" t="str">
        <f aca="false">VLOOKUP(J1384,RECATALOGANDO!A:C,2,0)</f>
        <v>HONORARIOS MEDICOS</v>
      </c>
      <c r="N1384" s="12" t="str">
        <f aca="false">VLOOKUP(M1384,RECATALOGANDO!B:C,2,0)</f>
        <v>VENTA DE SERVICIO</v>
      </c>
      <c r="O1384" s="2" t="s">
        <v>39</v>
      </c>
    </row>
    <row r="1385" customFormat="false" ht="13.8" hidden="false" customHeight="false" outlineLevel="0" collapsed="false">
      <c r="A1385" s="1" t="n">
        <v>45293</v>
      </c>
      <c r="B1385" s="9" t="n">
        <f aca="false">DAY(A1385)</f>
        <v>2</v>
      </c>
      <c r="C1385" s="9" t="n">
        <f aca="false">MONTH(A1385)</f>
        <v>1</v>
      </c>
      <c r="D1385" s="9" t="n">
        <f aca="false">YEAR(A1385)</f>
        <v>2024</v>
      </c>
      <c r="E1385" s="9" t="n">
        <f aca="false">WEEKDAY(A1385,2)</f>
        <v>2</v>
      </c>
      <c r="F1385" s="10" t="n">
        <f aca="false">WEEKNUM(A1385,2) - WEEKNUM(DATE(YEAR(A1385),MONTH(A1385),1),2) + 1</f>
        <v>1</v>
      </c>
      <c r="G1385" s="10"/>
      <c r="H1385" s="40" t="n">
        <v>360</v>
      </c>
      <c r="I1385" s="41" t="s">
        <v>20</v>
      </c>
      <c r="J1385" s="41" t="s">
        <v>51</v>
      </c>
      <c r="L1385" s="42" t="n">
        <f aca="false">H1385</f>
        <v>360</v>
      </c>
      <c r="M1385" s="10" t="str">
        <f aca="false">VLOOKUP(J1385,RECATALOGANDO!A:C,2,0)</f>
        <v>VENTA DE ALIMENTO</v>
      </c>
      <c r="N1385" s="12" t="str">
        <f aca="false">VLOOKUP(M1385,RECATALOGANDO!B:C,2,0)</f>
        <v>VENTA DE PRODUCTO</v>
      </c>
      <c r="O1385" s="2" t="s">
        <v>39</v>
      </c>
    </row>
    <row r="1386" customFormat="false" ht="13.8" hidden="false" customHeight="false" outlineLevel="0" collapsed="false">
      <c r="A1386" s="43" t="n">
        <v>45293</v>
      </c>
      <c r="B1386" s="9" t="n">
        <f aca="false">DAY(A1386)</f>
        <v>2</v>
      </c>
      <c r="C1386" s="9" t="n">
        <f aca="false">MONTH(A1386)</f>
        <v>1</v>
      </c>
      <c r="D1386" s="9" t="n">
        <f aca="false">YEAR(A1386)</f>
        <v>2024</v>
      </c>
      <c r="E1386" s="9" t="n">
        <f aca="false">WEEKDAY(A1386,2)</f>
        <v>2</v>
      </c>
      <c r="F1386" s="10" t="n">
        <f aca="false">WEEKNUM(A1386,2) - WEEKNUM(DATE(YEAR(A1386),MONTH(A1386),1),2) + 1</f>
        <v>1</v>
      </c>
      <c r="G1386" s="10"/>
      <c r="H1386" s="44" t="n">
        <v>1000</v>
      </c>
      <c r="I1386" s="45" t="s">
        <v>20</v>
      </c>
      <c r="J1386" s="45" t="s">
        <v>34</v>
      </c>
      <c r="L1386" s="9" t="n">
        <f aca="false">L1385+H1386</f>
        <v>1360</v>
      </c>
      <c r="M1386" s="10" t="str">
        <f aca="false">VLOOKUP(J1386,RECATALOGANDO!A:C,2,0)</f>
        <v>TRANSFERENCIA FAMILIAR</v>
      </c>
      <c r="N1386" s="12" t="str">
        <f aca="false">VLOOKUP(M1386,RECATALOGANDO!B:C,2,0)</f>
        <v>TRANSFERENCIAS</v>
      </c>
      <c r="O1386" s="2" t="s">
        <v>31</v>
      </c>
    </row>
    <row r="1387" customFormat="false" ht="13.8" hidden="false" customHeight="false" outlineLevel="0" collapsed="false">
      <c r="A1387" s="1" t="n">
        <v>45293</v>
      </c>
      <c r="B1387" s="9" t="n">
        <f aca="false">DAY(A1387)</f>
        <v>2</v>
      </c>
      <c r="C1387" s="9" t="n">
        <f aca="false">MONTH(A1387)</f>
        <v>1</v>
      </c>
      <c r="D1387" s="9" t="n">
        <f aca="false">YEAR(A1387)</f>
        <v>2024</v>
      </c>
      <c r="E1387" s="9" t="n">
        <f aca="false">WEEKDAY(A1387,2)</f>
        <v>2</v>
      </c>
      <c r="F1387" s="10" t="n">
        <f aca="false">WEEKNUM(A1387,2) - WEEKNUM(DATE(YEAR(A1387),MONTH(A1387),1),2) + 1</f>
        <v>1</v>
      </c>
      <c r="G1387" s="10"/>
      <c r="H1387" s="40" t="n">
        <v>560</v>
      </c>
      <c r="I1387" s="41" t="s">
        <v>20</v>
      </c>
      <c r="J1387" s="41" t="s">
        <v>45</v>
      </c>
      <c r="L1387" s="9" t="n">
        <f aca="false">L1386+H1387</f>
        <v>1920</v>
      </c>
      <c r="M1387" s="10" t="str">
        <f aca="false">VLOOKUP(J1387,RECATALOGANDO!A:C,2,0)</f>
        <v>VENTA DE MEDICAMENTO</v>
      </c>
      <c r="N1387" s="12" t="str">
        <f aca="false">VLOOKUP(M1387,RECATALOGANDO!B:C,2,0)</f>
        <v>VENTA DE PRODUCTO</v>
      </c>
      <c r="O1387" s="2" t="s">
        <v>39</v>
      </c>
    </row>
    <row r="1388" customFormat="false" ht="13.8" hidden="false" customHeight="false" outlineLevel="0" collapsed="false">
      <c r="A1388" s="1" t="n">
        <v>45293</v>
      </c>
      <c r="B1388" s="9" t="n">
        <f aca="false">DAY(A1388)</f>
        <v>2</v>
      </c>
      <c r="C1388" s="9" t="n">
        <f aca="false">MONTH(A1388)</f>
        <v>1</v>
      </c>
      <c r="D1388" s="9" t="n">
        <f aca="false">YEAR(A1388)</f>
        <v>2024</v>
      </c>
      <c r="E1388" s="9" t="n">
        <f aca="false">WEEKDAY(A1388,2)</f>
        <v>2</v>
      </c>
      <c r="F1388" s="10" t="n">
        <f aca="false">WEEKNUM(A1388,2) - WEEKNUM(DATE(YEAR(A1388),MONTH(A1388),1),2) + 1</f>
        <v>1</v>
      </c>
      <c r="G1388" s="10"/>
      <c r="H1388" s="40" t="n">
        <v>350</v>
      </c>
      <c r="I1388" s="41" t="s">
        <v>20</v>
      </c>
      <c r="J1388" s="41" t="s">
        <v>34</v>
      </c>
      <c r="L1388" s="9" t="n">
        <f aca="false">L1387+H1388</f>
        <v>2270</v>
      </c>
      <c r="M1388" s="10" t="str">
        <f aca="false">VLOOKUP(J1388,RECATALOGANDO!A:C,2,0)</f>
        <v>TRANSFERENCIA FAMILIAR</v>
      </c>
      <c r="N1388" s="12" t="str">
        <f aca="false">VLOOKUP(M1388,RECATALOGANDO!B:C,2,0)</f>
        <v>TRANSFERENCIAS</v>
      </c>
      <c r="O1388" s="2" t="s">
        <v>31</v>
      </c>
    </row>
    <row r="1389" customFormat="false" ht="13.8" hidden="false" customHeight="false" outlineLevel="0" collapsed="false">
      <c r="A1389" s="1" t="n">
        <v>45294</v>
      </c>
      <c r="B1389" s="9" t="n">
        <f aca="false">DAY(A1389)</f>
        <v>3</v>
      </c>
      <c r="C1389" s="9" t="n">
        <f aca="false">MONTH(A1389)</f>
        <v>1</v>
      </c>
      <c r="D1389" s="9" t="n">
        <f aca="false">YEAR(A1389)</f>
        <v>2024</v>
      </c>
      <c r="E1389" s="9" t="n">
        <f aca="false">WEEKDAY(A1389,2)</f>
        <v>3</v>
      </c>
      <c r="F1389" s="10" t="n">
        <f aca="false">WEEKNUM(A1389,2) - WEEKNUM(DATE(YEAR(A1389),MONTH(A1389),1),2) + 1</f>
        <v>1</v>
      </c>
      <c r="G1389" s="10"/>
      <c r="H1389" s="40" t="n">
        <v>1200</v>
      </c>
      <c r="I1389" s="41" t="s">
        <v>20</v>
      </c>
      <c r="J1389" s="41" t="s">
        <v>45</v>
      </c>
      <c r="L1389" s="9" t="n">
        <f aca="false">L1388+H1389</f>
        <v>3470</v>
      </c>
      <c r="M1389" s="10" t="str">
        <f aca="false">VLOOKUP(J1389,RECATALOGANDO!A:C,2,0)</f>
        <v>VENTA DE MEDICAMENTO</v>
      </c>
      <c r="N1389" s="12" t="str">
        <f aca="false">VLOOKUP(M1389,RECATALOGANDO!B:C,2,0)</f>
        <v>VENTA DE PRODUCTO</v>
      </c>
      <c r="O1389" s="2" t="s">
        <v>39</v>
      </c>
    </row>
    <row r="1390" customFormat="false" ht="13.8" hidden="false" customHeight="false" outlineLevel="0" collapsed="false">
      <c r="A1390" s="1" t="n">
        <v>45294</v>
      </c>
      <c r="B1390" s="9" t="n">
        <f aca="false">DAY(A1390)</f>
        <v>3</v>
      </c>
      <c r="C1390" s="9" t="n">
        <f aca="false">MONTH(A1390)</f>
        <v>1</v>
      </c>
      <c r="D1390" s="9" t="n">
        <f aca="false">YEAR(A1390)</f>
        <v>2024</v>
      </c>
      <c r="E1390" s="9" t="n">
        <f aca="false">WEEKDAY(A1390,2)</f>
        <v>3</v>
      </c>
      <c r="F1390" s="10" t="n">
        <f aca="false">WEEKNUM(A1390,2) - WEEKNUM(DATE(YEAR(A1390),MONTH(A1390),1),2) + 1</f>
        <v>1</v>
      </c>
      <c r="G1390" s="10"/>
      <c r="H1390" s="40" t="n">
        <v>655</v>
      </c>
      <c r="I1390" s="41" t="s">
        <v>15</v>
      </c>
      <c r="J1390" s="41" t="s">
        <v>58</v>
      </c>
      <c r="L1390" s="9" t="n">
        <f aca="false">L1389+H1390</f>
        <v>4125</v>
      </c>
      <c r="M1390" s="10" t="str">
        <f aca="false">VLOOKUP(J1390,RECATALOGANDO!A:C,2,0)</f>
        <v>SERVICIO DE LABORATORIO</v>
      </c>
      <c r="N1390" s="12" t="str">
        <f aca="false">VLOOKUP(M1390,RECATALOGANDO!B:C,2,0)</f>
        <v>VENTA DE SERVICIO</v>
      </c>
      <c r="O1390" s="2" t="s">
        <v>39</v>
      </c>
    </row>
    <row r="1391" customFormat="false" ht="13.8" hidden="false" customHeight="false" outlineLevel="0" collapsed="false">
      <c r="A1391" s="1" t="n">
        <v>45294</v>
      </c>
      <c r="B1391" s="9" t="n">
        <f aca="false">DAY(A1391)</f>
        <v>3</v>
      </c>
      <c r="C1391" s="9" t="n">
        <f aca="false">MONTH(A1391)</f>
        <v>1</v>
      </c>
      <c r="D1391" s="9" t="n">
        <f aca="false">YEAR(A1391)</f>
        <v>2024</v>
      </c>
      <c r="E1391" s="9" t="n">
        <f aca="false">WEEKDAY(A1391,2)</f>
        <v>3</v>
      </c>
      <c r="F1391" s="10" t="n">
        <f aca="false">WEEKNUM(A1391,2) - WEEKNUM(DATE(YEAR(A1391),MONTH(A1391),1),2) + 1</f>
        <v>1</v>
      </c>
      <c r="G1391" s="10"/>
      <c r="H1391" s="40" t="n">
        <v>4138.64</v>
      </c>
      <c r="I1391" s="41" t="s">
        <v>15</v>
      </c>
      <c r="J1391" s="41" t="s">
        <v>64</v>
      </c>
      <c r="L1391" s="9" t="n">
        <f aca="false">L1390+H1391</f>
        <v>8263.64</v>
      </c>
      <c r="M1391" s="10" t="str">
        <f aca="false">VLOOKUP(J1391,RECATALOGANDO!A:C,2,0)</f>
        <v>HONORARIOS QUIRURGICOS</v>
      </c>
      <c r="N1391" s="12" t="str">
        <f aca="false">VLOOKUP(M1391,RECATALOGANDO!B:C,2,0)</f>
        <v>VENTA DE SERVICIO</v>
      </c>
      <c r="O1391" s="2" t="s">
        <v>39</v>
      </c>
    </row>
    <row r="1392" customFormat="false" ht="13.8" hidden="false" customHeight="false" outlineLevel="0" collapsed="false">
      <c r="A1392" s="1" t="n">
        <v>45294</v>
      </c>
      <c r="B1392" s="9" t="n">
        <f aca="false">DAY(A1392)</f>
        <v>3</v>
      </c>
      <c r="C1392" s="9" t="n">
        <f aca="false">MONTH(A1392)</f>
        <v>1</v>
      </c>
      <c r="D1392" s="9" t="n">
        <f aca="false">YEAR(A1392)</f>
        <v>2024</v>
      </c>
      <c r="E1392" s="9" t="n">
        <f aca="false">WEEKDAY(A1392,2)</f>
        <v>3</v>
      </c>
      <c r="F1392" s="10" t="n">
        <f aca="false">WEEKNUM(A1392,2) - WEEKNUM(DATE(YEAR(A1392),MONTH(A1392),1),2) + 1</f>
        <v>1</v>
      </c>
      <c r="G1392" s="10"/>
      <c r="H1392" s="40" t="n">
        <v>210</v>
      </c>
      <c r="I1392" s="41" t="s">
        <v>20</v>
      </c>
      <c r="J1392" s="41" t="s">
        <v>49</v>
      </c>
      <c r="L1392" s="9" t="n">
        <f aca="false">L1391+H1392</f>
        <v>8473.64</v>
      </c>
      <c r="M1392" s="10" t="str">
        <f aca="false">VLOOKUP(J1392,RECATALOGANDO!A:C,2,0)</f>
        <v>SERVICIO DE GROOMING</v>
      </c>
      <c r="N1392" s="12" t="str">
        <f aca="false">VLOOKUP(M1392,RECATALOGANDO!B:C,2,0)</f>
        <v>VENTA DE SERVICIO</v>
      </c>
      <c r="O1392" s="2" t="s">
        <v>39</v>
      </c>
    </row>
    <row r="1393" customFormat="false" ht="13.8" hidden="false" customHeight="false" outlineLevel="0" collapsed="false">
      <c r="A1393" s="1" t="n">
        <v>45294</v>
      </c>
      <c r="B1393" s="9" t="n">
        <f aca="false">DAY(A1393)</f>
        <v>3</v>
      </c>
      <c r="C1393" s="9" t="n">
        <f aca="false">MONTH(A1393)</f>
        <v>1</v>
      </c>
      <c r="D1393" s="9" t="n">
        <f aca="false">YEAR(A1393)</f>
        <v>2024</v>
      </c>
      <c r="E1393" s="9" t="n">
        <f aca="false">WEEKDAY(A1393,2)</f>
        <v>3</v>
      </c>
      <c r="F1393" s="10" t="n">
        <f aca="false">WEEKNUM(A1393,2) - WEEKNUM(DATE(YEAR(A1393),MONTH(A1393),1),2) + 1</f>
        <v>1</v>
      </c>
      <c r="G1393" s="10"/>
      <c r="H1393" s="40" t="n">
        <v>1228</v>
      </c>
      <c r="I1393" s="41" t="s">
        <v>20</v>
      </c>
      <c r="J1393" s="41" t="s">
        <v>45</v>
      </c>
      <c r="L1393" s="9" t="n">
        <f aca="false">L1392+H1393</f>
        <v>9701.64</v>
      </c>
      <c r="M1393" s="10" t="str">
        <f aca="false">VLOOKUP(J1393,RECATALOGANDO!A:C,2,0)</f>
        <v>VENTA DE MEDICAMENTO</v>
      </c>
      <c r="N1393" s="12" t="str">
        <f aca="false">VLOOKUP(M1393,RECATALOGANDO!B:C,2,0)</f>
        <v>VENTA DE PRODUCTO</v>
      </c>
      <c r="O1393" s="2" t="s">
        <v>39</v>
      </c>
    </row>
    <row r="1394" customFormat="false" ht="13.8" hidden="false" customHeight="false" outlineLevel="0" collapsed="false">
      <c r="A1394" s="1" t="n">
        <v>45295</v>
      </c>
      <c r="B1394" s="9" t="n">
        <f aca="false">DAY(A1394)</f>
        <v>4</v>
      </c>
      <c r="C1394" s="9" t="n">
        <f aca="false">MONTH(A1394)</f>
        <v>1</v>
      </c>
      <c r="D1394" s="9" t="n">
        <f aca="false">YEAR(A1394)</f>
        <v>2024</v>
      </c>
      <c r="E1394" s="9" t="n">
        <f aca="false">WEEKDAY(A1394,2)</f>
        <v>4</v>
      </c>
      <c r="F1394" s="10" t="n">
        <f aca="false">WEEKNUM(A1394,2) - WEEKNUM(DATE(YEAR(A1394),MONTH(A1394),1),2) + 1</f>
        <v>1</v>
      </c>
      <c r="G1394" s="10"/>
      <c r="H1394" s="40" t="n">
        <v>1494</v>
      </c>
      <c r="I1394" s="41" t="s">
        <v>15</v>
      </c>
      <c r="J1394" s="41" t="s">
        <v>67</v>
      </c>
      <c r="L1394" s="9" t="n">
        <f aca="false">L1393+H1394</f>
        <v>11195.64</v>
      </c>
      <c r="M1394" s="10" t="str">
        <f aca="false">VLOOKUP(J1394,RECATALOGANDO!A:C,2,0)</f>
        <v>SERVICIO DE PENSION</v>
      </c>
      <c r="N1394" s="12" t="str">
        <f aca="false">VLOOKUP(M1394,RECATALOGANDO!B:C,2,0)</f>
        <v>VENTA DE SERVICIO</v>
      </c>
      <c r="O1394" s="2" t="s">
        <v>39</v>
      </c>
    </row>
    <row r="1395" customFormat="false" ht="13.8" hidden="false" customHeight="false" outlineLevel="0" collapsed="false">
      <c r="A1395" s="43" t="n">
        <v>45326</v>
      </c>
      <c r="B1395" s="9" t="n">
        <f aca="false">DAY(A1395)</f>
        <v>4</v>
      </c>
      <c r="C1395" s="9" t="n">
        <f aca="false">MONTH(A1395)</f>
        <v>2</v>
      </c>
      <c r="D1395" s="9" t="n">
        <f aca="false">YEAR(A1395)</f>
        <v>2024</v>
      </c>
      <c r="E1395" s="9" t="n">
        <f aca="false">WEEKDAY(A1395,2)</f>
        <v>7</v>
      </c>
      <c r="F1395" s="10" t="n">
        <f aca="false">WEEKNUM(A1395,2) - WEEKNUM(DATE(YEAR(A1395),MONTH(A1395),1),2) + 1</f>
        <v>1</v>
      </c>
      <c r="G1395" s="10"/>
      <c r="H1395" s="44" t="n">
        <v>2000</v>
      </c>
      <c r="I1395" s="45" t="s">
        <v>20</v>
      </c>
      <c r="J1395" s="45" t="s">
        <v>34</v>
      </c>
      <c r="L1395" s="9" t="n">
        <f aca="false">L1394+H1395</f>
        <v>13195.64</v>
      </c>
      <c r="M1395" s="10" t="str">
        <f aca="false">VLOOKUP(J1395,RECATALOGANDO!A:C,2,0)</f>
        <v>TRANSFERENCIA FAMILIAR</v>
      </c>
      <c r="N1395" s="12" t="str">
        <f aca="false">VLOOKUP(M1395,RECATALOGANDO!B:C,2,0)</f>
        <v>TRANSFERENCIAS</v>
      </c>
      <c r="O1395" s="2" t="s">
        <v>31</v>
      </c>
    </row>
    <row r="1396" customFormat="false" ht="13.8" hidden="false" customHeight="false" outlineLevel="0" collapsed="false">
      <c r="A1396" s="1" t="n">
        <v>45326</v>
      </c>
      <c r="B1396" s="9" t="n">
        <f aca="false">DAY(A1396)</f>
        <v>4</v>
      </c>
      <c r="C1396" s="9" t="n">
        <f aca="false">MONTH(A1396)</f>
        <v>2</v>
      </c>
      <c r="D1396" s="9" t="n">
        <f aca="false">YEAR(A1396)</f>
        <v>2024</v>
      </c>
      <c r="E1396" s="9" t="n">
        <f aca="false">WEEKDAY(A1396,2)</f>
        <v>7</v>
      </c>
      <c r="F1396" s="10" t="n">
        <f aca="false">WEEKNUM(A1396,2) - WEEKNUM(DATE(YEAR(A1396),MONTH(A1396),1),2) + 1</f>
        <v>1</v>
      </c>
      <c r="G1396" s="10"/>
      <c r="H1396" s="40" t="n">
        <v>150</v>
      </c>
      <c r="I1396" s="41" t="s">
        <v>20</v>
      </c>
      <c r="J1396" s="41" t="s">
        <v>49</v>
      </c>
      <c r="L1396" s="9" t="n">
        <f aca="false">L1395+H1396</f>
        <v>13345.64</v>
      </c>
      <c r="M1396" s="10" t="str">
        <f aca="false">VLOOKUP(J1396,RECATALOGANDO!A:C,2,0)</f>
        <v>SERVICIO DE GROOMING</v>
      </c>
      <c r="N1396" s="12" t="str">
        <f aca="false">VLOOKUP(M1396,RECATALOGANDO!B:C,2,0)</f>
        <v>VENTA DE SERVICIO</v>
      </c>
      <c r="O1396" s="2" t="s">
        <v>39</v>
      </c>
    </row>
    <row r="1397" customFormat="false" ht="13.8" hidden="false" customHeight="false" outlineLevel="0" collapsed="false">
      <c r="A1397" s="1" t="n">
        <v>45326</v>
      </c>
      <c r="B1397" s="9" t="n">
        <f aca="false">DAY(A1397)</f>
        <v>4</v>
      </c>
      <c r="C1397" s="9" t="n">
        <f aca="false">MONTH(A1397)</f>
        <v>2</v>
      </c>
      <c r="D1397" s="9" t="n">
        <f aca="false">YEAR(A1397)</f>
        <v>2024</v>
      </c>
      <c r="E1397" s="9" t="n">
        <f aca="false">WEEKDAY(A1397,2)</f>
        <v>7</v>
      </c>
      <c r="F1397" s="10" t="n">
        <f aca="false">WEEKNUM(A1397,2) - WEEKNUM(DATE(YEAR(A1397),MONTH(A1397),1),2) + 1</f>
        <v>1</v>
      </c>
      <c r="G1397" s="10"/>
      <c r="H1397" s="40" t="n">
        <v>1280</v>
      </c>
      <c r="I1397" s="41" t="s">
        <v>20</v>
      </c>
      <c r="J1397" s="41" t="s">
        <v>76</v>
      </c>
      <c r="L1397" s="9" t="n">
        <f aca="false">L1396+H1397</f>
        <v>14625.64</v>
      </c>
      <c r="M1397" s="10" t="s">
        <v>44</v>
      </c>
      <c r="N1397" s="12" t="str">
        <f aca="false">VLOOKUP(M1397,RECATALOGANDO!B:C,2,0)</f>
        <v>VENTA DE SERVICIO</v>
      </c>
      <c r="O1397" s="2" t="s">
        <v>39</v>
      </c>
    </row>
    <row r="1398" customFormat="false" ht="13.8" hidden="false" customHeight="false" outlineLevel="0" collapsed="false">
      <c r="A1398" s="1" t="n">
        <v>45326</v>
      </c>
      <c r="B1398" s="9" t="n">
        <f aca="false">DAY(A1398)</f>
        <v>4</v>
      </c>
      <c r="C1398" s="9" t="n">
        <f aca="false">MONTH(A1398)</f>
        <v>2</v>
      </c>
      <c r="D1398" s="9" t="n">
        <f aca="false">YEAR(A1398)</f>
        <v>2024</v>
      </c>
      <c r="E1398" s="9" t="n">
        <f aca="false">WEEKDAY(A1398,2)</f>
        <v>7</v>
      </c>
      <c r="F1398" s="10" t="n">
        <f aca="false">WEEKNUM(A1398,2) - WEEKNUM(DATE(YEAR(A1398),MONTH(A1398),1),2) + 1</f>
        <v>1</v>
      </c>
      <c r="G1398" s="10"/>
      <c r="H1398" s="40" t="n">
        <v>160</v>
      </c>
      <c r="I1398" s="41" t="s">
        <v>20</v>
      </c>
      <c r="J1398" s="41" t="s">
        <v>49</v>
      </c>
      <c r="L1398" s="9" t="n">
        <f aca="false">L1397+H1398</f>
        <v>14785.64</v>
      </c>
      <c r="M1398" s="10" t="str">
        <f aca="false">VLOOKUP(J1398,RECATALOGANDO!A:C,2,0)</f>
        <v>SERVICIO DE GROOMING</v>
      </c>
      <c r="N1398" s="12" t="str">
        <f aca="false">VLOOKUP(M1398,RECATALOGANDO!B:C,2,0)</f>
        <v>VENTA DE SERVICIO</v>
      </c>
      <c r="O1398" s="2" t="s">
        <v>39</v>
      </c>
    </row>
    <row r="1399" customFormat="false" ht="13.8" hidden="false" customHeight="false" outlineLevel="0" collapsed="false">
      <c r="A1399" s="1" t="n">
        <v>45298</v>
      </c>
      <c r="B1399" s="9" t="n">
        <f aca="false">DAY(A1399)</f>
        <v>7</v>
      </c>
      <c r="C1399" s="9" t="n">
        <f aca="false">MONTH(A1399)</f>
        <v>1</v>
      </c>
      <c r="D1399" s="9" t="n">
        <f aca="false">YEAR(A1399)</f>
        <v>2024</v>
      </c>
      <c r="E1399" s="9" t="n">
        <f aca="false">WEEKDAY(A1399,2)</f>
        <v>7</v>
      </c>
      <c r="F1399" s="10" t="n">
        <f aca="false">WEEKNUM(A1399,2) - WEEKNUM(DATE(YEAR(A1399),MONTH(A1399),1),2) + 1</f>
        <v>1</v>
      </c>
      <c r="G1399" s="10"/>
      <c r="H1399" s="40" t="n">
        <v>1100</v>
      </c>
      <c r="I1399" s="41" t="s">
        <v>15</v>
      </c>
      <c r="J1399" s="41" t="s">
        <v>51</v>
      </c>
      <c r="L1399" s="9" t="n">
        <f aca="false">L1398+H1399</f>
        <v>15885.64</v>
      </c>
      <c r="M1399" s="10" t="str">
        <f aca="false">VLOOKUP(J1399,RECATALOGANDO!A:C,2,0)</f>
        <v>VENTA DE ALIMENTO</v>
      </c>
      <c r="N1399" s="12" t="str">
        <f aca="false">VLOOKUP(M1399,RECATALOGANDO!B:C,2,0)</f>
        <v>VENTA DE PRODUCTO</v>
      </c>
      <c r="O1399" s="2" t="s">
        <v>39</v>
      </c>
    </row>
    <row r="1400" customFormat="false" ht="13.8" hidden="false" customHeight="false" outlineLevel="0" collapsed="false">
      <c r="A1400" s="1" t="n">
        <v>45299</v>
      </c>
      <c r="B1400" s="9" t="n">
        <f aca="false">DAY(A1400)</f>
        <v>8</v>
      </c>
      <c r="C1400" s="9" t="n">
        <f aca="false">MONTH(A1400)</f>
        <v>1</v>
      </c>
      <c r="D1400" s="9" t="n">
        <f aca="false">YEAR(A1400)</f>
        <v>2024</v>
      </c>
      <c r="E1400" s="9" t="n">
        <f aca="false">WEEKDAY(A1400,2)</f>
        <v>1</v>
      </c>
      <c r="F1400" s="10" t="n">
        <f aca="false">WEEKNUM(A1400,2) - WEEKNUM(DATE(YEAR(A1400),MONTH(A1400),1),2) + 1</f>
        <v>2</v>
      </c>
      <c r="G1400" s="10"/>
      <c r="H1400" s="40" t="n">
        <v>190</v>
      </c>
      <c r="I1400" s="41" t="s">
        <v>20</v>
      </c>
      <c r="J1400" s="41" t="s">
        <v>49</v>
      </c>
      <c r="L1400" s="9" t="n">
        <f aca="false">L1399+H1400</f>
        <v>16075.64</v>
      </c>
      <c r="M1400" s="10" t="str">
        <f aca="false">VLOOKUP(J1400,RECATALOGANDO!A:C,2,0)</f>
        <v>SERVICIO DE GROOMING</v>
      </c>
      <c r="N1400" s="12" t="str">
        <f aca="false">VLOOKUP(M1400,RECATALOGANDO!B:C,2,0)</f>
        <v>VENTA DE SERVICIO</v>
      </c>
      <c r="O1400" s="2" t="s">
        <v>39</v>
      </c>
    </row>
    <row r="1401" customFormat="false" ht="13.8" hidden="false" customHeight="false" outlineLevel="0" collapsed="false">
      <c r="A1401" s="1" t="n">
        <v>45299</v>
      </c>
      <c r="B1401" s="9" t="n">
        <f aca="false">DAY(A1401)</f>
        <v>8</v>
      </c>
      <c r="C1401" s="9" t="n">
        <f aca="false">MONTH(A1401)</f>
        <v>1</v>
      </c>
      <c r="D1401" s="9" t="n">
        <f aca="false">YEAR(A1401)</f>
        <v>2024</v>
      </c>
      <c r="E1401" s="9" t="n">
        <f aca="false">WEEKDAY(A1401,2)</f>
        <v>1</v>
      </c>
      <c r="F1401" s="10" t="n">
        <f aca="false">WEEKNUM(A1401,2) - WEEKNUM(DATE(YEAR(A1401),MONTH(A1401),1),2) + 1</f>
        <v>2</v>
      </c>
      <c r="G1401" s="10"/>
      <c r="H1401" s="40" t="n">
        <v>350</v>
      </c>
      <c r="I1401" s="41" t="s">
        <v>20</v>
      </c>
      <c r="J1401" s="41" t="s">
        <v>58</v>
      </c>
      <c r="L1401" s="9" t="n">
        <f aca="false">L1400+H1401</f>
        <v>16425.64</v>
      </c>
      <c r="M1401" s="10" t="str">
        <f aca="false">VLOOKUP(J1401,RECATALOGANDO!A:C,2,0)</f>
        <v>SERVICIO DE LABORATORIO</v>
      </c>
      <c r="N1401" s="12" t="str">
        <f aca="false">VLOOKUP(M1401,RECATALOGANDO!B:C,2,0)</f>
        <v>VENTA DE SERVICIO</v>
      </c>
      <c r="O1401" s="2" t="s">
        <v>39</v>
      </c>
    </row>
    <row r="1402" customFormat="false" ht="13.8" hidden="false" customHeight="false" outlineLevel="0" collapsed="false">
      <c r="A1402" s="1" t="n">
        <v>45299</v>
      </c>
      <c r="B1402" s="9" t="n">
        <f aca="false">DAY(A1402)</f>
        <v>8</v>
      </c>
      <c r="C1402" s="9" t="n">
        <f aca="false">MONTH(A1402)</f>
        <v>1</v>
      </c>
      <c r="D1402" s="9" t="n">
        <f aca="false">YEAR(A1402)</f>
        <v>2024</v>
      </c>
      <c r="E1402" s="9" t="n">
        <f aca="false">WEEKDAY(A1402,2)</f>
        <v>1</v>
      </c>
      <c r="F1402" s="10" t="n">
        <f aca="false">WEEKNUM(A1402,2) - WEEKNUM(DATE(YEAR(A1402),MONTH(A1402),1),2) + 1</f>
        <v>2</v>
      </c>
      <c r="G1402" s="10"/>
      <c r="H1402" s="40" t="n">
        <v>877</v>
      </c>
      <c r="I1402" s="41" t="s">
        <v>15</v>
      </c>
      <c r="J1402" s="41" t="s">
        <v>45</v>
      </c>
      <c r="L1402" s="9" t="n">
        <f aca="false">L1401+H1402</f>
        <v>17302.64</v>
      </c>
      <c r="M1402" s="10" t="str">
        <f aca="false">VLOOKUP(J1402,RECATALOGANDO!A:C,2,0)</f>
        <v>VENTA DE MEDICAMENTO</v>
      </c>
      <c r="N1402" s="12" t="str">
        <f aca="false">VLOOKUP(M1402,RECATALOGANDO!B:C,2,0)</f>
        <v>VENTA DE PRODUCTO</v>
      </c>
      <c r="O1402" s="2" t="s">
        <v>39</v>
      </c>
    </row>
    <row r="1403" customFormat="false" ht="13.8" hidden="false" customHeight="false" outlineLevel="0" collapsed="false">
      <c r="A1403" s="46" t="n">
        <v>45299</v>
      </c>
      <c r="B1403" s="9" t="n">
        <f aca="false">DAY(A1403)</f>
        <v>8</v>
      </c>
      <c r="C1403" s="9" t="n">
        <f aca="false">MONTH(A1403)</f>
        <v>1</v>
      </c>
      <c r="D1403" s="9" t="n">
        <f aca="false">YEAR(A1403)</f>
        <v>2024</v>
      </c>
      <c r="E1403" s="9" t="n">
        <f aca="false">WEEKDAY(A1403,2)</f>
        <v>1</v>
      </c>
      <c r="F1403" s="10" t="n">
        <f aca="false">WEEKNUM(A1403,2) - WEEKNUM(DATE(YEAR(A1403),MONTH(A1403),1),2) + 1</f>
        <v>2</v>
      </c>
      <c r="G1403" s="10"/>
      <c r="H1403" s="47" t="n">
        <v>900</v>
      </c>
      <c r="I1403" s="48" t="s">
        <v>15</v>
      </c>
      <c r="J1403" s="48" t="s">
        <v>35</v>
      </c>
      <c r="L1403" s="9" t="n">
        <f aca="false">L1402+H1403</f>
        <v>18202.64</v>
      </c>
      <c r="M1403" s="10" t="str">
        <f aca="false">VLOOKUP(J1403,RECATALOGANDO!A:C,2,0)</f>
        <v>TRANSFERENCIA ENTRE CUENTAS</v>
      </c>
      <c r="N1403" s="12" t="str">
        <f aca="false">VLOOKUP(M1403,RECATALOGANDO!B:C,2,0)</f>
        <v>TRANSFERENCIAS</v>
      </c>
      <c r="O1403" s="2" t="s">
        <v>31</v>
      </c>
    </row>
    <row r="1404" customFormat="false" ht="13.8" hidden="false" customHeight="false" outlineLevel="0" collapsed="false">
      <c r="A1404" s="1" t="n">
        <v>45299</v>
      </c>
      <c r="B1404" s="9" t="n">
        <f aca="false">DAY(A1404)</f>
        <v>8</v>
      </c>
      <c r="C1404" s="9" t="n">
        <f aca="false">MONTH(A1404)</f>
        <v>1</v>
      </c>
      <c r="D1404" s="9" t="n">
        <f aca="false">YEAR(A1404)</f>
        <v>2024</v>
      </c>
      <c r="E1404" s="9" t="n">
        <f aca="false">WEEKDAY(A1404,2)</f>
        <v>1</v>
      </c>
      <c r="F1404" s="10" t="n">
        <f aca="false">WEEKNUM(A1404,2) - WEEKNUM(DATE(YEAR(A1404),MONTH(A1404),1),2) + 1</f>
        <v>2</v>
      </c>
      <c r="G1404" s="10"/>
      <c r="H1404" s="40" t="n">
        <v>1380</v>
      </c>
      <c r="I1404" s="41" t="s">
        <v>15</v>
      </c>
      <c r="J1404" s="41" t="s">
        <v>44</v>
      </c>
      <c r="L1404" s="9" t="n">
        <f aca="false">L1403+H1404</f>
        <v>19582.64</v>
      </c>
      <c r="M1404" s="10" t="str">
        <f aca="false">VLOOKUP(J1404,RECATALOGANDO!A:C,2,0)</f>
        <v>HONORARIOS MEDICOS</v>
      </c>
      <c r="N1404" s="12" t="str">
        <f aca="false">VLOOKUP(M1404,RECATALOGANDO!B:C,2,0)</f>
        <v>VENTA DE SERVICIO</v>
      </c>
      <c r="O1404" s="2" t="s">
        <v>39</v>
      </c>
    </row>
    <row r="1405" customFormat="false" ht="13.8" hidden="false" customHeight="false" outlineLevel="0" collapsed="false">
      <c r="A1405" s="1" t="n">
        <v>45299</v>
      </c>
      <c r="B1405" s="9" t="n">
        <f aca="false">DAY(A1405)</f>
        <v>8</v>
      </c>
      <c r="C1405" s="9" t="n">
        <f aca="false">MONTH(A1405)</f>
        <v>1</v>
      </c>
      <c r="D1405" s="9" t="n">
        <f aca="false">YEAR(A1405)</f>
        <v>2024</v>
      </c>
      <c r="E1405" s="9" t="n">
        <f aca="false">WEEKDAY(A1405,2)</f>
        <v>1</v>
      </c>
      <c r="F1405" s="10" t="n">
        <f aca="false">WEEKNUM(A1405,2) - WEEKNUM(DATE(YEAR(A1405),MONTH(A1405),1),2) + 1</f>
        <v>2</v>
      </c>
      <c r="G1405" s="10"/>
      <c r="H1405" s="40" t="n">
        <v>1300</v>
      </c>
      <c r="I1405" s="41" t="s">
        <v>20</v>
      </c>
      <c r="J1405" s="41" t="s">
        <v>44</v>
      </c>
      <c r="L1405" s="9" t="n">
        <f aca="false">L1404+H1405</f>
        <v>20882.64</v>
      </c>
      <c r="M1405" s="10" t="str">
        <f aca="false">VLOOKUP(J1405,RECATALOGANDO!A:C,2,0)</f>
        <v>HONORARIOS MEDICOS</v>
      </c>
      <c r="N1405" s="12" t="str">
        <f aca="false">VLOOKUP(M1405,RECATALOGANDO!B:C,2,0)</f>
        <v>VENTA DE SERVICIO</v>
      </c>
      <c r="O1405" s="2" t="s">
        <v>39</v>
      </c>
    </row>
    <row r="1406" customFormat="false" ht="13.8" hidden="false" customHeight="false" outlineLevel="0" collapsed="false">
      <c r="A1406" s="1" t="n">
        <v>45299</v>
      </c>
      <c r="B1406" s="9" t="n">
        <f aca="false">DAY(A1406)</f>
        <v>8</v>
      </c>
      <c r="C1406" s="9" t="n">
        <f aca="false">MONTH(A1406)</f>
        <v>1</v>
      </c>
      <c r="D1406" s="9" t="n">
        <f aca="false">YEAR(A1406)</f>
        <v>2024</v>
      </c>
      <c r="E1406" s="9" t="n">
        <f aca="false">WEEKDAY(A1406,2)</f>
        <v>1</v>
      </c>
      <c r="F1406" s="10" t="n">
        <f aca="false">WEEKNUM(A1406,2) - WEEKNUM(DATE(YEAR(A1406),MONTH(A1406),1),2) + 1</f>
        <v>2</v>
      </c>
      <c r="G1406" s="10"/>
      <c r="H1406" s="40" t="n">
        <v>910</v>
      </c>
      <c r="I1406" s="41" t="s">
        <v>20</v>
      </c>
      <c r="J1406" s="41" t="s">
        <v>67</v>
      </c>
      <c r="L1406" s="9" t="n">
        <f aca="false">L1405+H1406</f>
        <v>21792.64</v>
      </c>
      <c r="M1406" s="10" t="str">
        <f aca="false">VLOOKUP(J1406,RECATALOGANDO!A:C,2,0)</f>
        <v>SERVICIO DE PENSION</v>
      </c>
      <c r="N1406" s="12" t="str">
        <f aca="false">VLOOKUP(M1406,RECATALOGANDO!B:C,2,0)</f>
        <v>VENTA DE SERVICIO</v>
      </c>
      <c r="O1406" s="2" t="s">
        <v>39</v>
      </c>
    </row>
    <row r="1407" customFormat="false" ht="13.8" hidden="false" customHeight="false" outlineLevel="0" collapsed="false">
      <c r="A1407" s="1" t="n">
        <v>45300</v>
      </c>
      <c r="B1407" s="9" t="n">
        <f aca="false">DAY(A1407)</f>
        <v>9</v>
      </c>
      <c r="C1407" s="9" t="n">
        <f aca="false">MONTH(A1407)</f>
        <v>1</v>
      </c>
      <c r="D1407" s="9" t="n">
        <f aca="false">YEAR(A1407)</f>
        <v>2024</v>
      </c>
      <c r="E1407" s="9" t="n">
        <f aca="false">WEEKDAY(A1407,2)</f>
        <v>2</v>
      </c>
      <c r="F1407" s="10" t="n">
        <f aca="false">WEEKNUM(A1407,2) - WEEKNUM(DATE(YEAR(A1407),MONTH(A1407),1),2) + 1</f>
        <v>2</v>
      </c>
      <c r="G1407" s="10"/>
      <c r="H1407" s="40" t="n">
        <v>1865</v>
      </c>
      <c r="I1407" s="41" t="s">
        <v>20</v>
      </c>
      <c r="J1407" s="41" t="s">
        <v>45</v>
      </c>
      <c r="L1407" s="9" t="n">
        <f aca="false">L1406+H1407</f>
        <v>23657.64</v>
      </c>
      <c r="M1407" s="10" t="str">
        <f aca="false">VLOOKUP(J1407,RECATALOGANDO!A:C,2,0)</f>
        <v>VENTA DE MEDICAMENTO</v>
      </c>
      <c r="N1407" s="12" t="str">
        <f aca="false">VLOOKUP(M1407,RECATALOGANDO!B:C,2,0)</f>
        <v>VENTA DE PRODUCTO</v>
      </c>
      <c r="O1407" s="2" t="s">
        <v>39</v>
      </c>
    </row>
    <row r="1408" customFormat="false" ht="13.8" hidden="false" customHeight="false" outlineLevel="0" collapsed="false">
      <c r="A1408" s="1" t="n">
        <v>45300</v>
      </c>
      <c r="B1408" s="9" t="n">
        <f aca="false">DAY(A1408)</f>
        <v>9</v>
      </c>
      <c r="C1408" s="9" t="n">
        <f aca="false">MONTH(A1408)</f>
        <v>1</v>
      </c>
      <c r="D1408" s="9" t="n">
        <f aca="false">YEAR(A1408)</f>
        <v>2024</v>
      </c>
      <c r="E1408" s="9" t="n">
        <f aca="false">WEEKDAY(A1408,2)</f>
        <v>2</v>
      </c>
      <c r="F1408" s="10" t="n">
        <f aca="false">WEEKNUM(A1408,2) - WEEKNUM(DATE(YEAR(A1408),MONTH(A1408),1),2) + 1</f>
        <v>2</v>
      </c>
      <c r="G1408" s="10"/>
      <c r="H1408" s="40" t="n">
        <v>440</v>
      </c>
      <c r="I1408" s="41" t="s">
        <v>20</v>
      </c>
      <c r="J1408" s="41" t="s">
        <v>44</v>
      </c>
      <c r="L1408" s="9" t="n">
        <f aca="false">L1407+H1408</f>
        <v>24097.64</v>
      </c>
      <c r="M1408" s="10" t="str">
        <f aca="false">VLOOKUP(J1408,RECATALOGANDO!A:C,2,0)</f>
        <v>HONORARIOS MEDICOS</v>
      </c>
      <c r="N1408" s="12" t="str">
        <f aca="false">VLOOKUP(M1408,RECATALOGANDO!B:C,2,0)</f>
        <v>VENTA DE SERVICIO</v>
      </c>
      <c r="O1408" s="2" t="s">
        <v>39</v>
      </c>
    </row>
    <row r="1409" customFormat="false" ht="13.8" hidden="false" customHeight="false" outlineLevel="0" collapsed="false">
      <c r="A1409" s="1" t="n">
        <v>45300</v>
      </c>
      <c r="B1409" s="9" t="n">
        <f aca="false">DAY(A1409)</f>
        <v>9</v>
      </c>
      <c r="C1409" s="9" t="n">
        <f aca="false">MONTH(A1409)</f>
        <v>1</v>
      </c>
      <c r="D1409" s="9" t="n">
        <f aca="false">YEAR(A1409)</f>
        <v>2024</v>
      </c>
      <c r="E1409" s="9" t="n">
        <f aca="false">WEEKDAY(A1409,2)</f>
        <v>2</v>
      </c>
      <c r="F1409" s="10" t="n">
        <f aca="false">WEEKNUM(A1409,2) - WEEKNUM(DATE(YEAR(A1409),MONTH(A1409),1),2) + 1</f>
        <v>2</v>
      </c>
      <c r="G1409" s="10"/>
      <c r="H1409" s="40" t="n">
        <v>495</v>
      </c>
      <c r="I1409" s="41" t="s">
        <v>20</v>
      </c>
      <c r="J1409" s="41" t="s">
        <v>51</v>
      </c>
      <c r="L1409" s="9" t="n">
        <f aca="false">L1408+H1409</f>
        <v>24592.64</v>
      </c>
      <c r="M1409" s="10" t="str">
        <f aca="false">VLOOKUP(J1409,RECATALOGANDO!A:C,2,0)</f>
        <v>VENTA DE ALIMENTO</v>
      </c>
      <c r="N1409" s="12" t="str">
        <f aca="false">VLOOKUP(M1409,RECATALOGANDO!B:C,2,0)</f>
        <v>VENTA DE PRODUCTO</v>
      </c>
      <c r="O1409" s="2" t="s">
        <v>39</v>
      </c>
    </row>
    <row r="1410" customFormat="false" ht="13.8" hidden="false" customHeight="false" outlineLevel="0" collapsed="false">
      <c r="A1410" s="1" t="n">
        <v>45300</v>
      </c>
      <c r="B1410" s="9" t="n">
        <f aca="false">DAY(A1410)</f>
        <v>9</v>
      </c>
      <c r="C1410" s="9" t="n">
        <f aca="false">MONTH(A1410)</f>
        <v>1</v>
      </c>
      <c r="D1410" s="9" t="n">
        <f aca="false">YEAR(A1410)</f>
        <v>2024</v>
      </c>
      <c r="E1410" s="9" t="n">
        <f aca="false">WEEKDAY(A1410,2)</f>
        <v>2</v>
      </c>
      <c r="F1410" s="10" t="n">
        <f aca="false">WEEKNUM(A1410,2) - WEEKNUM(DATE(YEAR(A1410),MONTH(A1410),1),2) + 1</f>
        <v>2</v>
      </c>
      <c r="G1410" s="10"/>
      <c r="H1410" s="40" t="n">
        <v>270</v>
      </c>
      <c r="I1410" s="41" t="s">
        <v>15</v>
      </c>
      <c r="J1410" s="41" t="s">
        <v>49</v>
      </c>
      <c r="L1410" s="9" t="n">
        <f aca="false">L1409+H1410</f>
        <v>24862.64</v>
      </c>
      <c r="M1410" s="10" t="str">
        <f aca="false">VLOOKUP(J1410,RECATALOGANDO!A:C,2,0)</f>
        <v>SERVICIO DE GROOMING</v>
      </c>
      <c r="N1410" s="12" t="str">
        <f aca="false">VLOOKUP(M1410,RECATALOGANDO!B:C,2,0)</f>
        <v>VENTA DE SERVICIO</v>
      </c>
      <c r="O1410" s="2" t="s">
        <v>39</v>
      </c>
    </row>
    <row r="1411" customFormat="false" ht="13.8" hidden="false" customHeight="false" outlineLevel="0" collapsed="false">
      <c r="A1411" s="1" t="n">
        <v>45300</v>
      </c>
      <c r="B1411" s="9" t="n">
        <f aca="false">DAY(A1411)</f>
        <v>9</v>
      </c>
      <c r="C1411" s="9" t="n">
        <f aca="false">MONTH(A1411)</f>
        <v>1</v>
      </c>
      <c r="D1411" s="9" t="n">
        <f aca="false">YEAR(A1411)</f>
        <v>2024</v>
      </c>
      <c r="E1411" s="9" t="n">
        <f aca="false">WEEKDAY(A1411,2)</f>
        <v>2</v>
      </c>
      <c r="F1411" s="10" t="n">
        <f aca="false">WEEKNUM(A1411,2) - WEEKNUM(DATE(YEAR(A1411),MONTH(A1411),1),2) + 1</f>
        <v>2</v>
      </c>
      <c r="G1411" s="10"/>
      <c r="H1411" s="40" t="n">
        <v>629</v>
      </c>
      <c r="I1411" s="41" t="s">
        <v>20</v>
      </c>
      <c r="J1411" s="41" t="s">
        <v>45</v>
      </c>
      <c r="L1411" s="9" t="n">
        <f aca="false">L1410+H1411</f>
        <v>25491.64</v>
      </c>
      <c r="M1411" s="10" t="str">
        <f aca="false">VLOOKUP(J1411,RECATALOGANDO!A:C,2,0)</f>
        <v>VENTA DE MEDICAMENTO</v>
      </c>
      <c r="N1411" s="12" t="str">
        <f aca="false">VLOOKUP(M1411,RECATALOGANDO!B:C,2,0)</f>
        <v>VENTA DE PRODUCTO</v>
      </c>
      <c r="O1411" s="2" t="s">
        <v>39</v>
      </c>
    </row>
    <row r="1412" customFormat="false" ht="13.8" hidden="false" customHeight="false" outlineLevel="0" collapsed="false">
      <c r="A1412" s="1" t="n">
        <v>45300</v>
      </c>
      <c r="B1412" s="9" t="n">
        <f aca="false">DAY(A1412)</f>
        <v>9</v>
      </c>
      <c r="C1412" s="9" t="n">
        <f aca="false">MONTH(A1412)</f>
        <v>1</v>
      </c>
      <c r="D1412" s="9" t="n">
        <f aca="false">YEAR(A1412)</f>
        <v>2024</v>
      </c>
      <c r="E1412" s="9" t="n">
        <f aca="false">WEEKDAY(A1412,2)</f>
        <v>2</v>
      </c>
      <c r="F1412" s="10" t="n">
        <f aca="false">WEEKNUM(A1412,2) - WEEKNUM(DATE(YEAR(A1412),MONTH(A1412),1),2) + 1</f>
        <v>2</v>
      </c>
      <c r="G1412" s="10"/>
      <c r="H1412" s="40" t="n">
        <v>1090</v>
      </c>
      <c r="I1412" s="41" t="s">
        <v>20</v>
      </c>
      <c r="J1412" s="41" t="s">
        <v>44</v>
      </c>
      <c r="L1412" s="9" t="n">
        <f aca="false">L1411+H1412</f>
        <v>26581.64</v>
      </c>
      <c r="M1412" s="10" t="str">
        <f aca="false">VLOOKUP(J1412,RECATALOGANDO!A:C,2,0)</f>
        <v>HONORARIOS MEDICOS</v>
      </c>
      <c r="N1412" s="12" t="str">
        <f aca="false">VLOOKUP(M1412,RECATALOGANDO!B:C,2,0)</f>
        <v>VENTA DE SERVICIO</v>
      </c>
      <c r="O1412" s="2" t="s">
        <v>39</v>
      </c>
    </row>
    <row r="1413" customFormat="false" ht="13.8" hidden="false" customHeight="false" outlineLevel="0" collapsed="false">
      <c r="A1413" s="1" t="n">
        <v>45300</v>
      </c>
      <c r="B1413" s="9" t="n">
        <f aca="false">DAY(A1413)</f>
        <v>9</v>
      </c>
      <c r="C1413" s="9" t="n">
        <f aca="false">MONTH(A1413)</f>
        <v>1</v>
      </c>
      <c r="D1413" s="9" t="n">
        <f aca="false">YEAR(A1413)</f>
        <v>2024</v>
      </c>
      <c r="E1413" s="9" t="n">
        <f aca="false">WEEKDAY(A1413,2)</f>
        <v>2</v>
      </c>
      <c r="F1413" s="10" t="n">
        <f aca="false">WEEKNUM(A1413,2) - WEEKNUM(DATE(YEAR(A1413),MONTH(A1413),1),2) + 1</f>
        <v>2</v>
      </c>
      <c r="G1413" s="10"/>
      <c r="H1413" s="40" t="n">
        <v>4690</v>
      </c>
      <c r="I1413" s="41" t="s">
        <v>20</v>
      </c>
      <c r="J1413" s="41" t="s">
        <v>58</v>
      </c>
      <c r="L1413" s="9" t="n">
        <f aca="false">L1412+H1413</f>
        <v>31271.64</v>
      </c>
      <c r="M1413" s="10" t="str">
        <f aca="false">VLOOKUP(J1413,RECATALOGANDO!A:C,2,0)</f>
        <v>SERVICIO DE LABORATORIO</v>
      </c>
      <c r="N1413" s="12" t="str">
        <f aca="false">VLOOKUP(M1413,RECATALOGANDO!B:C,2,0)</f>
        <v>VENTA DE SERVICIO</v>
      </c>
      <c r="O1413" s="2" t="s">
        <v>39</v>
      </c>
    </row>
    <row r="1414" customFormat="false" ht="13.8" hidden="false" customHeight="false" outlineLevel="0" collapsed="false">
      <c r="A1414" s="43" t="n">
        <v>45301</v>
      </c>
      <c r="B1414" s="9" t="n">
        <f aca="false">DAY(A1414)</f>
        <v>10</v>
      </c>
      <c r="C1414" s="9" t="n">
        <f aca="false">MONTH(A1414)</f>
        <v>1</v>
      </c>
      <c r="D1414" s="9" t="n">
        <f aca="false">YEAR(A1414)</f>
        <v>2024</v>
      </c>
      <c r="E1414" s="9" t="n">
        <f aca="false">WEEKDAY(A1414,2)</f>
        <v>3</v>
      </c>
      <c r="F1414" s="10" t="n">
        <f aca="false">WEEKNUM(A1414,2) - WEEKNUM(DATE(YEAR(A1414),MONTH(A1414),1),2) + 1</f>
        <v>2</v>
      </c>
      <c r="G1414" s="10"/>
      <c r="H1414" s="44" t="n">
        <v>7000</v>
      </c>
      <c r="I1414" s="45" t="s">
        <v>15</v>
      </c>
      <c r="J1414" s="45" t="s">
        <v>34</v>
      </c>
      <c r="L1414" s="9" t="n">
        <f aca="false">L1413+H1414</f>
        <v>38271.64</v>
      </c>
      <c r="M1414" s="10" t="str">
        <f aca="false">VLOOKUP(J1414,RECATALOGANDO!A:C,2,0)</f>
        <v>TRANSFERENCIA FAMILIAR</v>
      </c>
      <c r="N1414" s="12" t="str">
        <f aca="false">VLOOKUP(M1414,RECATALOGANDO!B:C,2,0)</f>
        <v>TRANSFERENCIAS</v>
      </c>
      <c r="O1414" s="2" t="s">
        <v>31</v>
      </c>
    </row>
    <row r="1415" customFormat="false" ht="13.8" hidden="false" customHeight="false" outlineLevel="0" collapsed="false">
      <c r="A1415" s="1" t="n">
        <v>45301</v>
      </c>
      <c r="B1415" s="9" t="n">
        <f aca="false">DAY(A1415)</f>
        <v>10</v>
      </c>
      <c r="C1415" s="9" t="n">
        <f aca="false">MONTH(A1415)</f>
        <v>1</v>
      </c>
      <c r="D1415" s="9" t="n">
        <f aca="false">YEAR(A1415)</f>
        <v>2024</v>
      </c>
      <c r="E1415" s="9" t="n">
        <f aca="false">WEEKDAY(A1415,2)</f>
        <v>3</v>
      </c>
      <c r="F1415" s="10" t="n">
        <f aca="false">WEEKNUM(A1415,2) - WEEKNUM(DATE(YEAR(A1415),MONTH(A1415),1),2) + 1</f>
        <v>2</v>
      </c>
      <c r="G1415" s="10"/>
      <c r="H1415" s="40" t="n">
        <v>270</v>
      </c>
      <c r="I1415" s="41" t="s">
        <v>15</v>
      </c>
      <c r="J1415" s="41" t="s">
        <v>49</v>
      </c>
      <c r="L1415" s="9" t="n">
        <f aca="false">L1414+H1415</f>
        <v>38541.64</v>
      </c>
      <c r="M1415" s="10" t="str">
        <f aca="false">VLOOKUP(J1415,RECATALOGANDO!A:C,2,0)</f>
        <v>SERVICIO DE GROOMING</v>
      </c>
      <c r="N1415" s="12" t="str">
        <f aca="false">VLOOKUP(M1415,RECATALOGANDO!B:C,2,0)</f>
        <v>VENTA DE SERVICIO</v>
      </c>
      <c r="O1415" s="2" t="s">
        <v>39</v>
      </c>
    </row>
    <row r="1416" customFormat="false" ht="13.8" hidden="false" customHeight="false" outlineLevel="0" collapsed="false">
      <c r="A1416" s="1" t="n">
        <v>45301</v>
      </c>
      <c r="B1416" s="9" t="n">
        <f aca="false">DAY(A1416)</f>
        <v>10</v>
      </c>
      <c r="C1416" s="9" t="n">
        <f aca="false">MONTH(A1416)</f>
        <v>1</v>
      </c>
      <c r="D1416" s="9" t="n">
        <f aca="false">YEAR(A1416)</f>
        <v>2024</v>
      </c>
      <c r="E1416" s="9" t="n">
        <f aca="false">WEEKDAY(A1416,2)</f>
        <v>3</v>
      </c>
      <c r="F1416" s="10" t="n">
        <f aca="false">WEEKNUM(A1416,2) - WEEKNUM(DATE(YEAR(A1416),MONTH(A1416),1),2) + 1</f>
        <v>2</v>
      </c>
      <c r="G1416" s="10"/>
      <c r="H1416" s="40" t="n">
        <v>2314</v>
      </c>
      <c r="I1416" s="41" t="s">
        <v>20</v>
      </c>
      <c r="J1416" s="41" t="s">
        <v>45</v>
      </c>
      <c r="L1416" s="9" t="n">
        <f aca="false">L1415+H1416</f>
        <v>40855.64</v>
      </c>
      <c r="M1416" s="10" t="str">
        <f aca="false">VLOOKUP(J1416,RECATALOGANDO!A:C,2,0)</f>
        <v>VENTA DE MEDICAMENTO</v>
      </c>
      <c r="N1416" s="12" t="str">
        <f aca="false">VLOOKUP(M1416,RECATALOGANDO!B:C,2,0)</f>
        <v>VENTA DE PRODUCTO</v>
      </c>
      <c r="O1416" s="2" t="s">
        <v>39</v>
      </c>
    </row>
    <row r="1417" customFormat="false" ht="13.8" hidden="false" customHeight="false" outlineLevel="0" collapsed="false">
      <c r="A1417" s="1" t="n">
        <v>45302</v>
      </c>
      <c r="B1417" s="9" t="n">
        <f aca="false">DAY(A1417)</f>
        <v>11</v>
      </c>
      <c r="C1417" s="9" t="n">
        <f aca="false">MONTH(A1417)</f>
        <v>1</v>
      </c>
      <c r="D1417" s="9" t="n">
        <f aca="false">YEAR(A1417)</f>
        <v>2024</v>
      </c>
      <c r="E1417" s="9" t="n">
        <f aca="false">WEEKDAY(A1417,2)</f>
        <v>4</v>
      </c>
      <c r="F1417" s="10" t="n">
        <f aca="false">WEEKNUM(A1417,2) - WEEKNUM(DATE(YEAR(A1417),MONTH(A1417),1),2) + 1</f>
        <v>2</v>
      </c>
      <c r="G1417" s="10"/>
      <c r="H1417" s="40" t="n">
        <v>650</v>
      </c>
      <c r="I1417" s="41" t="s">
        <v>20</v>
      </c>
      <c r="J1417" s="41" t="s">
        <v>58</v>
      </c>
      <c r="L1417" s="9" t="n">
        <f aca="false">L1416+H1417</f>
        <v>41505.64</v>
      </c>
      <c r="M1417" s="10" t="str">
        <f aca="false">VLOOKUP(J1417,RECATALOGANDO!A:C,2,0)</f>
        <v>SERVICIO DE LABORATORIO</v>
      </c>
      <c r="N1417" s="12" t="str">
        <f aca="false">VLOOKUP(M1417,RECATALOGANDO!B:C,2,0)</f>
        <v>VENTA DE SERVICIO</v>
      </c>
      <c r="O1417" s="2" t="s">
        <v>39</v>
      </c>
    </row>
    <row r="1418" customFormat="false" ht="13.8" hidden="false" customHeight="false" outlineLevel="0" collapsed="false">
      <c r="A1418" s="1" t="n">
        <v>45302</v>
      </c>
      <c r="B1418" s="9" t="n">
        <f aca="false">DAY(A1418)</f>
        <v>11</v>
      </c>
      <c r="C1418" s="9" t="n">
        <f aca="false">MONTH(A1418)</f>
        <v>1</v>
      </c>
      <c r="D1418" s="9" t="n">
        <f aca="false">YEAR(A1418)</f>
        <v>2024</v>
      </c>
      <c r="E1418" s="9" t="n">
        <f aca="false">WEEKDAY(A1418,2)</f>
        <v>4</v>
      </c>
      <c r="F1418" s="10" t="n">
        <f aca="false">WEEKNUM(A1418,2) - WEEKNUM(DATE(YEAR(A1418),MONTH(A1418),1),2) + 1</f>
        <v>2</v>
      </c>
      <c r="G1418" s="10"/>
      <c r="H1418" s="40" t="n">
        <v>1450</v>
      </c>
      <c r="I1418" s="41" t="s">
        <v>20</v>
      </c>
      <c r="J1418" s="41" t="s">
        <v>51</v>
      </c>
      <c r="L1418" s="9" t="n">
        <f aca="false">L1417+H1418</f>
        <v>42955.64</v>
      </c>
      <c r="M1418" s="10" t="str">
        <f aca="false">VLOOKUP(J1418,RECATALOGANDO!A:C,2,0)</f>
        <v>VENTA DE ALIMENTO</v>
      </c>
      <c r="N1418" s="12" t="str">
        <f aca="false">VLOOKUP(M1418,RECATALOGANDO!B:C,2,0)</f>
        <v>VENTA DE PRODUCTO</v>
      </c>
      <c r="O1418" s="2" t="s">
        <v>39</v>
      </c>
    </row>
    <row r="1419" customFormat="false" ht="13.8" hidden="false" customHeight="false" outlineLevel="0" collapsed="false">
      <c r="A1419" s="1" t="n">
        <v>45303</v>
      </c>
      <c r="B1419" s="9" t="n">
        <f aca="false">DAY(A1419)</f>
        <v>12</v>
      </c>
      <c r="C1419" s="9" t="n">
        <f aca="false">MONTH(A1419)</f>
        <v>1</v>
      </c>
      <c r="D1419" s="9" t="n">
        <f aca="false">YEAR(A1419)</f>
        <v>2024</v>
      </c>
      <c r="E1419" s="9" t="n">
        <f aca="false">WEEKDAY(A1419,2)</f>
        <v>5</v>
      </c>
      <c r="F1419" s="10" t="n">
        <f aca="false">WEEKNUM(A1419,2) - WEEKNUM(DATE(YEAR(A1419),MONTH(A1419),1),2) + 1</f>
        <v>2</v>
      </c>
      <c r="G1419" s="10"/>
      <c r="H1419" s="40" t="n">
        <v>587</v>
      </c>
      <c r="I1419" s="41" t="s">
        <v>20</v>
      </c>
      <c r="J1419" s="41" t="s">
        <v>77</v>
      </c>
      <c r="L1419" s="9" t="n">
        <f aca="false">L1418+H1419</f>
        <v>43542.64</v>
      </c>
      <c r="M1419" s="10" t="s">
        <v>23</v>
      </c>
      <c r="N1419" s="12" t="str">
        <f aca="false">VLOOKUP(M1419,RECATALOGANDO!B:C,2,0)</f>
        <v>DINERO DEVUELTO A ORIGEN</v>
      </c>
      <c r="O1419" s="2" t="s">
        <v>18</v>
      </c>
    </row>
    <row r="1420" customFormat="false" ht="13.8" hidden="false" customHeight="false" outlineLevel="0" collapsed="false">
      <c r="A1420" s="1" t="n">
        <v>44940</v>
      </c>
      <c r="B1420" s="9" t="n">
        <f aca="false">DAY(A1420)</f>
        <v>14</v>
      </c>
      <c r="C1420" s="9" t="n">
        <f aca="false">MONTH(A1420)</f>
        <v>1</v>
      </c>
      <c r="D1420" s="9" t="n">
        <f aca="false">YEAR(A1420)</f>
        <v>2023</v>
      </c>
      <c r="E1420" s="9" t="n">
        <f aca="false">WEEKDAY(A1420,2)</f>
        <v>6</v>
      </c>
      <c r="F1420" s="10" t="n">
        <f aca="false">WEEKNUM(A1420,2) - WEEKNUM(DATE(YEAR(A1420),MONTH(A1420),1),2) + 1</f>
        <v>3</v>
      </c>
      <c r="G1420" s="10"/>
      <c r="H1420" s="40" t="n">
        <v>282</v>
      </c>
      <c r="I1420" s="41" t="s">
        <v>15</v>
      </c>
      <c r="J1420" s="41" t="s">
        <v>49</v>
      </c>
      <c r="L1420" s="9" t="n">
        <f aca="false">L1419+H1420</f>
        <v>43824.64</v>
      </c>
      <c r="M1420" s="10" t="str">
        <f aca="false">VLOOKUP(J1420,RECATALOGANDO!A:C,2,0)</f>
        <v>SERVICIO DE GROOMING</v>
      </c>
      <c r="N1420" s="12" t="str">
        <f aca="false">VLOOKUP(M1420,RECATALOGANDO!B:C,2,0)</f>
        <v>VENTA DE SERVICIO</v>
      </c>
      <c r="O1420" s="2" t="s">
        <v>39</v>
      </c>
    </row>
    <row r="1421" customFormat="false" ht="13.8" hidden="false" customHeight="false" outlineLevel="0" collapsed="false">
      <c r="A1421" s="43" t="n">
        <v>45306</v>
      </c>
      <c r="B1421" s="9" t="n">
        <f aca="false">DAY(A1421)</f>
        <v>15</v>
      </c>
      <c r="C1421" s="9" t="n">
        <f aca="false">MONTH(A1421)</f>
        <v>1</v>
      </c>
      <c r="D1421" s="9" t="n">
        <f aca="false">YEAR(A1421)</f>
        <v>2024</v>
      </c>
      <c r="E1421" s="9" t="n">
        <f aca="false">WEEKDAY(A1421,2)</f>
        <v>1</v>
      </c>
      <c r="F1421" s="10" t="n">
        <f aca="false">WEEKNUM(A1421,2) - WEEKNUM(DATE(YEAR(A1421),MONTH(A1421),1),2) + 1</f>
        <v>3</v>
      </c>
      <c r="G1421" s="10"/>
      <c r="H1421" s="44" t="n">
        <v>2790</v>
      </c>
      <c r="I1421" s="45" t="s">
        <v>15</v>
      </c>
      <c r="J1421" s="45" t="s">
        <v>34</v>
      </c>
      <c r="L1421" s="9" t="n">
        <f aca="false">L1420+H1421</f>
        <v>46614.64</v>
      </c>
      <c r="M1421" s="10" t="str">
        <f aca="false">VLOOKUP(J1421,RECATALOGANDO!A:C,2,0)</f>
        <v>TRANSFERENCIA FAMILIAR</v>
      </c>
      <c r="N1421" s="12" t="str">
        <f aca="false">VLOOKUP(M1421,RECATALOGANDO!B:C,2,0)</f>
        <v>TRANSFERENCIAS</v>
      </c>
      <c r="O1421" s="2" t="s">
        <v>31</v>
      </c>
    </row>
    <row r="1422" customFormat="false" ht="13.8" hidden="false" customHeight="false" outlineLevel="0" collapsed="false">
      <c r="A1422" s="1" t="n">
        <v>45306</v>
      </c>
      <c r="B1422" s="9" t="n">
        <f aca="false">DAY(A1422)</f>
        <v>15</v>
      </c>
      <c r="C1422" s="9" t="n">
        <f aca="false">MONTH(A1422)</f>
        <v>1</v>
      </c>
      <c r="D1422" s="9" t="n">
        <f aca="false">YEAR(A1422)</f>
        <v>2024</v>
      </c>
      <c r="E1422" s="9" t="n">
        <f aca="false">WEEKDAY(A1422,2)</f>
        <v>1</v>
      </c>
      <c r="F1422" s="10" t="n">
        <f aca="false">WEEKNUM(A1422,2) - WEEKNUM(DATE(YEAR(A1422),MONTH(A1422),1),2) + 1</f>
        <v>3</v>
      </c>
      <c r="G1422" s="10"/>
      <c r="H1422" s="40" t="n">
        <v>769</v>
      </c>
      <c r="I1422" s="41" t="s">
        <v>20</v>
      </c>
      <c r="J1422" s="41" t="s">
        <v>51</v>
      </c>
      <c r="L1422" s="9" t="n">
        <f aca="false">L1421+H1422</f>
        <v>47383.64</v>
      </c>
      <c r="M1422" s="10" t="str">
        <f aca="false">VLOOKUP(J1422,RECATALOGANDO!A:C,2,0)</f>
        <v>VENTA DE ALIMENTO</v>
      </c>
      <c r="N1422" s="12" t="str">
        <f aca="false">VLOOKUP(M1422,RECATALOGANDO!B:C,2,0)</f>
        <v>VENTA DE PRODUCTO</v>
      </c>
      <c r="O1422" s="2" t="s">
        <v>39</v>
      </c>
    </row>
    <row r="1423" customFormat="false" ht="13.8" hidden="false" customHeight="false" outlineLevel="0" collapsed="false">
      <c r="A1423" s="43" t="n">
        <v>45306</v>
      </c>
      <c r="B1423" s="9" t="n">
        <f aca="false">DAY(A1423)</f>
        <v>15</v>
      </c>
      <c r="C1423" s="9" t="n">
        <f aca="false">MONTH(A1423)</f>
        <v>1</v>
      </c>
      <c r="D1423" s="9" t="n">
        <f aca="false">YEAR(A1423)</f>
        <v>2024</v>
      </c>
      <c r="E1423" s="9" t="n">
        <f aca="false">WEEKDAY(A1423,2)</f>
        <v>1</v>
      </c>
      <c r="F1423" s="10" t="n">
        <f aca="false">WEEKNUM(A1423,2) - WEEKNUM(DATE(YEAR(A1423),MONTH(A1423),1),2) + 1</f>
        <v>3</v>
      </c>
      <c r="G1423" s="10"/>
      <c r="H1423" s="44" t="n">
        <v>2000</v>
      </c>
      <c r="I1423" s="45" t="s">
        <v>15</v>
      </c>
      <c r="J1423" s="45" t="s">
        <v>34</v>
      </c>
      <c r="L1423" s="9" t="n">
        <f aca="false">L1422+H1423</f>
        <v>49383.64</v>
      </c>
      <c r="M1423" s="10" t="str">
        <f aca="false">VLOOKUP(J1423,RECATALOGANDO!A:C,2,0)</f>
        <v>TRANSFERENCIA FAMILIAR</v>
      </c>
      <c r="N1423" s="12" t="str">
        <f aca="false">VLOOKUP(M1423,RECATALOGANDO!B:C,2,0)</f>
        <v>TRANSFERENCIAS</v>
      </c>
      <c r="O1423" s="2" t="s">
        <v>31</v>
      </c>
    </row>
    <row r="1424" customFormat="false" ht="13.8" hidden="false" customHeight="false" outlineLevel="0" collapsed="false">
      <c r="A1424" s="1" t="n">
        <v>45306</v>
      </c>
      <c r="B1424" s="9" t="n">
        <f aca="false">DAY(A1424)</f>
        <v>15</v>
      </c>
      <c r="C1424" s="9" t="n">
        <f aca="false">MONTH(A1424)</f>
        <v>1</v>
      </c>
      <c r="D1424" s="9" t="n">
        <f aca="false">YEAR(A1424)</f>
        <v>2024</v>
      </c>
      <c r="E1424" s="9" t="n">
        <f aca="false">WEEKDAY(A1424,2)</f>
        <v>1</v>
      </c>
      <c r="F1424" s="10" t="n">
        <f aca="false">WEEKNUM(A1424,2) - WEEKNUM(DATE(YEAR(A1424),MONTH(A1424),1),2) + 1</f>
        <v>3</v>
      </c>
      <c r="G1424" s="10"/>
      <c r="H1424" s="40" t="n">
        <v>1430</v>
      </c>
      <c r="I1424" s="41" t="s">
        <v>20</v>
      </c>
      <c r="J1424" s="41" t="s">
        <v>44</v>
      </c>
      <c r="L1424" s="9" t="n">
        <f aca="false">L1423+H1424</f>
        <v>50813.64</v>
      </c>
      <c r="M1424" s="10" t="str">
        <f aca="false">VLOOKUP(J1424,RECATALOGANDO!A:C,2,0)</f>
        <v>HONORARIOS MEDICOS</v>
      </c>
      <c r="N1424" s="12" t="str">
        <f aca="false">VLOOKUP(M1424,RECATALOGANDO!B:C,2,0)</f>
        <v>VENTA DE SERVICIO</v>
      </c>
      <c r="O1424" s="2" t="s">
        <v>39</v>
      </c>
    </row>
    <row r="1425" customFormat="false" ht="13.8" hidden="false" customHeight="false" outlineLevel="0" collapsed="false">
      <c r="A1425" s="1" t="n">
        <v>45308</v>
      </c>
      <c r="B1425" s="9" t="n">
        <f aca="false">DAY(A1425)</f>
        <v>17</v>
      </c>
      <c r="C1425" s="9" t="n">
        <f aca="false">MONTH(A1425)</f>
        <v>1</v>
      </c>
      <c r="D1425" s="9" t="n">
        <f aca="false">YEAR(A1425)</f>
        <v>2024</v>
      </c>
      <c r="E1425" s="9" t="n">
        <f aca="false">WEEKDAY(A1425,2)</f>
        <v>3</v>
      </c>
      <c r="F1425" s="10" t="n">
        <f aca="false">WEEKNUM(A1425,2) - WEEKNUM(DATE(YEAR(A1425),MONTH(A1425),1),2) + 1</f>
        <v>3</v>
      </c>
      <c r="G1425" s="10"/>
      <c r="H1425" s="40" t="n">
        <v>2400</v>
      </c>
      <c r="I1425" s="41" t="s">
        <v>15</v>
      </c>
      <c r="J1425" s="41" t="s">
        <v>45</v>
      </c>
      <c r="L1425" s="9" t="n">
        <f aca="false">L1424+H1425</f>
        <v>53213.64</v>
      </c>
      <c r="M1425" s="10" t="str">
        <f aca="false">VLOOKUP(J1425,RECATALOGANDO!A:C,2,0)</f>
        <v>VENTA DE MEDICAMENTO</v>
      </c>
      <c r="N1425" s="12" t="str">
        <f aca="false">VLOOKUP(M1425,RECATALOGANDO!B:C,2,0)</f>
        <v>VENTA DE PRODUCTO</v>
      </c>
      <c r="O1425" s="2" t="s">
        <v>39</v>
      </c>
    </row>
    <row r="1426" customFormat="false" ht="13.8" hidden="false" customHeight="false" outlineLevel="0" collapsed="false">
      <c r="A1426" s="1" t="n">
        <v>45308</v>
      </c>
      <c r="B1426" s="9" t="n">
        <f aca="false">DAY(A1426)</f>
        <v>17</v>
      </c>
      <c r="C1426" s="9" t="n">
        <f aca="false">MONTH(A1426)</f>
        <v>1</v>
      </c>
      <c r="D1426" s="9" t="n">
        <f aca="false">YEAR(A1426)</f>
        <v>2024</v>
      </c>
      <c r="E1426" s="9" t="n">
        <f aca="false">WEEKDAY(A1426,2)</f>
        <v>3</v>
      </c>
      <c r="F1426" s="10" t="n">
        <f aca="false">WEEKNUM(A1426,2) - WEEKNUM(DATE(YEAR(A1426),MONTH(A1426),1),2) + 1</f>
        <v>3</v>
      </c>
      <c r="G1426" s="10"/>
      <c r="H1426" s="40" t="n">
        <v>2437.93</v>
      </c>
      <c r="I1426" s="41" t="s">
        <v>20</v>
      </c>
      <c r="J1426" s="41" t="s">
        <v>51</v>
      </c>
      <c r="L1426" s="9" t="n">
        <f aca="false">L1425+H1426</f>
        <v>55651.57</v>
      </c>
      <c r="M1426" s="10" t="str">
        <f aca="false">VLOOKUP(J1426,RECATALOGANDO!A:C,2,0)</f>
        <v>VENTA DE ALIMENTO</v>
      </c>
      <c r="N1426" s="12" t="str">
        <f aca="false">VLOOKUP(M1426,RECATALOGANDO!B:C,2,0)</f>
        <v>VENTA DE PRODUCTO</v>
      </c>
      <c r="O1426" s="2" t="s">
        <v>39</v>
      </c>
    </row>
    <row r="1427" customFormat="false" ht="13.8" hidden="false" customHeight="false" outlineLevel="0" collapsed="false">
      <c r="A1427" s="1" t="n">
        <v>45309</v>
      </c>
      <c r="B1427" s="9" t="n">
        <f aca="false">DAY(A1427)</f>
        <v>18</v>
      </c>
      <c r="C1427" s="9" t="n">
        <f aca="false">MONTH(A1427)</f>
        <v>1</v>
      </c>
      <c r="D1427" s="9" t="n">
        <f aca="false">YEAR(A1427)</f>
        <v>2024</v>
      </c>
      <c r="E1427" s="9" t="n">
        <f aca="false">WEEKDAY(A1427,2)</f>
        <v>4</v>
      </c>
      <c r="F1427" s="10" t="n">
        <f aca="false">WEEKNUM(A1427,2) - WEEKNUM(DATE(YEAR(A1427),MONTH(A1427),1),2) + 1</f>
        <v>3</v>
      </c>
      <c r="G1427" s="10"/>
      <c r="H1427" s="40" t="n">
        <v>1753.58</v>
      </c>
      <c r="I1427" s="41" t="s">
        <v>15</v>
      </c>
      <c r="J1427" s="41" t="s">
        <v>44</v>
      </c>
      <c r="L1427" s="9" t="n">
        <f aca="false">L1426+H1427</f>
        <v>57405.15</v>
      </c>
      <c r="M1427" s="10" t="str">
        <f aca="false">VLOOKUP(J1427,RECATALOGANDO!A:C,2,0)</f>
        <v>HONORARIOS MEDICOS</v>
      </c>
      <c r="N1427" s="12" t="str">
        <f aca="false">VLOOKUP(M1427,RECATALOGANDO!B:C,2,0)</f>
        <v>VENTA DE SERVICIO</v>
      </c>
      <c r="O1427" s="2" t="s">
        <v>39</v>
      </c>
    </row>
    <row r="1428" customFormat="false" ht="13.8" hidden="false" customHeight="false" outlineLevel="0" collapsed="false">
      <c r="A1428" s="1" t="n">
        <v>45309</v>
      </c>
      <c r="B1428" s="9" t="n">
        <f aca="false">DAY(A1428)</f>
        <v>18</v>
      </c>
      <c r="C1428" s="9" t="n">
        <f aca="false">MONTH(A1428)</f>
        <v>1</v>
      </c>
      <c r="D1428" s="9" t="n">
        <f aca="false">YEAR(A1428)</f>
        <v>2024</v>
      </c>
      <c r="E1428" s="9" t="n">
        <f aca="false">WEEKDAY(A1428,2)</f>
        <v>4</v>
      </c>
      <c r="F1428" s="10" t="n">
        <f aca="false">WEEKNUM(A1428,2) - WEEKNUM(DATE(YEAR(A1428),MONTH(A1428),1),2) + 1</f>
        <v>3</v>
      </c>
      <c r="G1428" s="10"/>
      <c r="H1428" s="40" t="n">
        <v>1800</v>
      </c>
      <c r="I1428" s="41" t="s">
        <v>15</v>
      </c>
      <c r="J1428" s="41" t="s">
        <v>51</v>
      </c>
      <c r="L1428" s="9" t="n">
        <f aca="false">L1427+H1428</f>
        <v>59205.15</v>
      </c>
      <c r="M1428" s="10" t="str">
        <f aca="false">VLOOKUP(J1428,RECATALOGANDO!A:C,2,0)</f>
        <v>VENTA DE ALIMENTO</v>
      </c>
      <c r="N1428" s="12" t="str">
        <f aca="false">VLOOKUP(M1428,RECATALOGANDO!B:C,2,0)</f>
        <v>VENTA DE PRODUCTO</v>
      </c>
      <c r="O1428" s="2" t="s">
        <v>39</v>
      </c>
    </row>
    <row r="1429" customFormat="false" ht="13.8" hidden="false" customHeight="false" outlineLevel="0" collapsed="false">
      <c r="A1429" s="1" t="n">
        <v>45309</v>
      </c>
      <c r="B1429" s="9" t="n">
        <f aca="false">DAY(A1429)</f>
        <v>18</v>
      </c>
      <c r="C1429" s="9" t="n">
        <f aca="false">MONTH(A1429)</f>
        <v>1</v>
      </c>
      <c r="D1429" s="9" t="n">
        <f aca="false">YEAR(A1429)</f>
        <v>2024</v>
      </c>
      <c r="E1429" s="9" t="n">
        <f aca="false">WEEKDAY(A1429,2)</f>
        <v>4</v>
      </c>
      <c r="F1429" s="10" t="n">
        <f aca="false">WEEKNUM(A1429,2) - WEEKNUM(DATE(YEAR(A1429),MONTH(A1429),1),2) + 1</f>
        <v>3</v>
      </c>
      <c r="G1429" s="10"/>
      <c r="H1429" s="40" t="n">
        <v>250</v>
      </c>
      <c r="I1429" s="41" t="s">
        <v>20</v>
      </c>
      <c r="J1429" s="41" t="s">
        <v>49</v>
      </c>
      <c r="L1429" s="9" t="n">
        <f aca="false">L1428+H1429</f>
        <v>59455.15</v>
      </c>
      <c r="M1429" s="10" t="str">
        <f aca="false">VLOOKUP(J1429,RECATALOGANDO!A:C,2,0)</f>
        <v>SERVICIO DE GROOMING</v>
      </c>
      <c r="N1429" s="12" t="str">
        <f aca="false">VLOOKUP(M1429,RECATALOGANDO!B:C,2,0)</f>
        <v>VENTA DE SERVICIO</v>
      </c>
      <c r="O1429" s="2" t="s">
        <v>39</v>
      </c>
    </row>
    <row r="1430" customFormat="false" ht="13.8" hidden="false" customHeight="false" outlineLevel="0" collapsed="false">
      <c r="A1430" s="1" t="n">
        <v>45310</v>
      </c>
      <c r="B1430" s="9" t="n">
        <f aca="false">DAY(A1430)</f>
        <v>19</v>
      </c>
      <c r="C1430" s="9" t="n">
        <f aca="false">MONTH(A1430)</f>
        <v>1</v>
      </c>
      <c r="D1430" s="9" t="n">
        <f aca="false">YEAR(A1430)</f>
        <v>2024</v>
      </c>
      <c r="E1430" s="9" t="n">
        <f aca="false">WEEKDAY(A1430,2)</f>
        <v>5</v>
      </c>
      <c r="F1430" s="10" t="n">
        <f aca="false">WEEKNUM(A1430,2) - WEEKNUM(DATE(YEAR(A1430),MONTH(A1430),1),2) + 1</f>
        <v>3</v>
      </c>
      <c r="G1430" s="10"/>
      <c r="H1430" s="40" t="n">
        <v>475.28</v>
      </c>
      <c r="I1430" s="41" t="s">
        <v>15</v>
      </c>
      <c r="J1430" s="41" t="s">
        <v>51</v>
      </c>
      <c r="L1430" s="9" t="n">
        <f aca="false">L1429+H1430</f>
        <v>59930.43</v>
      </c>
      <c r="M1430" s="10" t="str">
        <f aca="false">VLOOKUP(J1430,RECATALOGANDO!A:C,2,0)</f>
        <v>VENTA DE ALIMENTO</v>
      </c>
      <c r="N1430" s="12" t="str">
        <f aca="false">VLOOKUP(M1430,RECATALOGANDO!B:C,2,0)</f>
        <v>VENTA DE PRODUCTO</v>
      </c>
      <c r="O1430" s="2" t="s">
        <v>39</v>
      </c>
    </row>
    <row r="1431" customFormat="false" ht="13.8" hidden="false" customHeight="false" outlineLevel="0" collapsed="false">
      <c r="A1431" s="1" t="n">
        <v>45310</v>
      </c>
      <c r="B1431" s="9" t="n">
        <f aca="false">DAY(A1431)</f>
        <v>19</v>
      </c>
      <c r="C1431" s="9" t="n">
        <f aca="false">MONTH(A1431)</f>
        <v>1</v>
      </c>
      <c r="D1431" s="9" t="n">
        <f aca="false">YEAR(A1431)</f>
        <v>2024</v>
      </c>
      <c r="E1431" s="9" t="n">
        <f aca="false">WEEKDAY(A1431,2)</f>
        <v>5</v>
      </c>
      <c r="F1431" s="10" t="n">
        <f aca="false">WEEKNUM(A1431,2) - WEEKNUM(DATE(YEAR(A1431),MONTH(A1431),1),2) + 1</f>
        <v>3</v>
      </c>
      <c r="G1431" s="10"/>
      <c r="H1431" s="40" t="n">
        <v>1528</v>
      </c>
      <c r="I1431" s="41" t="s">
        <v>15</v>
      </c>
      <c r="J1431" s="41" t="s">
        <v>58</v>
      </c>
      <c r="L1431" s="9" t="n">
        <f aca="false">L1430+H1431</f>
        <v>61458.43</v>
      </c>
      <c r="M1431" s="10" t="str">
        <f aca="false">VLOOKUP(J1431,RECATALOGANDO!A:C,2,0)</f>
        <v>SERVICIO DE LABORATORIO</v>
      </c>
      <c r="N1431" s="12" t="str">
        <f aca="false">VLOOKUP(M1431,RECATALOGANDO!B:C,2,0)</f>
        <v>VENTA DE SERVICIO</v>
      </c>
      <c r="O1431" s="2" t="s">
        <v>39</v>
      </c>
    </row>
    <row r="1432" customFormat="false" ht="13.8" hidden="false" customHeight="false" outlineLevel="0" collapsed="false">
      <c r="A1432" s="1" t="n">
        <v>45310</v>
      </c>
      <c r="B1432" s="9" t="n">
        <f aca="false">DAY(A1432)</f>
        <v>19</v>
      </c>
      <c r="C1432" s="9" t="n">
        <f aca="false">MONTH(A1432)</f>
        <v>1</v>
      </c>
      <c r="D1432" s="9" t="n">
        <f aca="false">YEAR(A1432)</f>
        <v>2024</v>
      </c>
      <c r="E1432" s="9" t="n">
        <f aca="false">WEEKDAY(A1432,2)</f>
        <v>5</v>
      </c>
      <c r="F1432" s="10" t="n">
        <f aca="false">WEEKNUM(A1432,2) - WEEKNUM(DATE(YEAR(A1432),MONTH(A1432),1),2) + 1</f>
        <v>3</v>
      </c>
      <c r="G1432" s="10"/>
      <c r="H1432" s="40" t="n">
        <v>2120</v>
      </c>
      <c r="I1432" s="41" t="s">
        <v>20</v>
      </c>
      <c r="J1432" s="41" t="s">
        <v>58</v>
      </c>
      <c r="L1432" s="9" t="n">
        <f aca="false">L1431+H1432</f>
        <v>63578.43</v>
      </c>
      <c r="M1432" s="10" t="str">
        <f aca="false">VLOOKUP(J1432,RECATALOGANDO!A:C,2,0)</f>
        <v>SERVICIO DE LABORATORIO</v>
      </c>
      <c r="N1432" s="12" t="str">
        <f aca="false">VLOOKUP(M1432,RECATALOGANDO!B:C,2,0)</f>
        <v>VENTA DE SERVICIO</v>
      </c>
      <c r="O1432" s="2" t="s">
        <v>39</v>
      </c>
    </row>
    <row r="1433" customFormat="false" ht="13.8" hidden="false" customHeight="false" outlineLevel="0" collapsed="false">
      <c r="A1433" s="1" t="n">
        <v>45311</v>
      </c>
      <c r="B1433" s="9" t="n">
        <f aca="false">DAY(A1433)</f>
        <v>20</v>
      </c>
      <c r="C1433" s="9" t="n">
        <f aca="false">MONTH(A1433)</f>
        <v>1</v>
      </c>
      <c r="D1433" s="9" t="n">
        <f aca="false">YEAR(A1433)</f>
        <v>2024</v>
      </c>
      <c r="E1433" s="9" t="n">
        <f aca="false">WEEKDAY(A1433,2)</f>
        <v>6</v>
      </c>
      <c r="F1433" s="10" t="n">
        <f aca="false">WEEKNUM(A1433,2) - WEEKNUM(DATE(YEAR(A1433),MONTH(A1433),1),2) + 1</f>
        <v>3</v>
      </c>
      <c r="G1433" s="10"/>
      <c r="H1433" s="40" t="n">
        <v>1013</v>
      </c>
      <c r="I1433" s="41" t="s">
        <v>15</v>
      </c>
      <c r="J1433" s="41" t="s">
        <v>45</v>
      </c>
      <c r="L1433" s="9" t="n">
        <f aca="false">L1432+H1433</f>
        <v>64591.43</v>
      </c>
      <c r="M1433" s="10" t="str">
        <f aca="false">VLOOKUP(J1433,RECATALOGANDO!A:C,2,0)</f>
        <v>VENTA DE MEDICAMENTO</v>
      </c>
      <c r="N1433" s="12" t="str">
        <f aca="false">VLOOKUP(M1433,RECATALOGANDO!B:C,2,0)</f>
        <v>VENTA DE PRODUCTO</v>
      </c>
      <c r="O1433" s="2" t="s">
        <v>39</v>
      </c>
    </row>
    <row r="1434" customFormat="false" ht="13.8" hidden="false" customHeight="false" outlineLevel="0" collapsed="false">
      <c r="A1434" s="1" t="n">
        <v>45313</v>
      </c>
      <c r="B1434" s="9" t="n">
        <f aca="false">DAY(A1434)</f>
        <v>22</v>
      </c>
      <c r="C1434" s="9" t="n">
        <f aca="false">MONTH(A1434)</f>
        <v>1</v>
      </c>
      <c r="D1434" s="9" t="n">
        <f aca="false">YEAR(A1434)</f>
        <v>2024</v>
      </c>
      <c r="E1434" s="9" t="n">
        <f aca="false">WEEKDAY(A1434,2)</f>
        <v>1</v>
      </c>
      <c r="F1434" s="10" t="n">
        <f aca="false">WEEKNUM(A1434,2) - WEEKNUM(DATE(YEAR(A1434),MONTH(A1434),1),2) + 1</f>
        <v>4</v>
      </c>
      <c r="G1434" s="10"/>
      <c r="H1434" s="40" t="n">
        <v>140</v>
      </c>
      <c r="I1434" s="41" t="s">
        <v>20</v>
      </c>
      <c r="J1434" s="41" t="s">
        <v>49</v>
      </c>
      <c r="L1434" s="9" t="n">
        <f aca="false">L1433+H1434</f>
        <v>64731.43</v>
      </c>
      <c r="M1434" s="10" t="str">
        <f aca="false">VLOOKUP(J1434,RECATALOGANDO!A:C,2,0)</f>
        <v>SERVICIO DE GROOMING</v>
      </c>
      <c r="N1434" s="12" t="str">
        <f aca="false">VLOOKUP(M1434,RECATALOGANDO!B:C,2,0)</f>
        <v>VENTA DE SERVICIO</v>
      </c>
      <c r="O1434" s="2" t="s">
        <v>39</v>
      </c>
    </row>
    <row r="1435" customFormat="false" ht="13.8" hidden="false" customHeight="false" outlineLevel="0" collapsed="false">
      <c r="A1435" s="1" t="n">
        <v>45313</v>
      </c>
      <c r="B1435" s="9" t="n">
        <f aca="false">DAY(A1435)</f>
        <v>22</v>
      </c>
      <c r="C1435" s="9" t="n">
        <f aca="false">MONTH(A1435)</f>
        <v>1</v>
      </c>
      <c r="D1435" s="9" t="n">
        <f aca="false">YEAR(A1435)</f>
        <v>2024</v>
      </c>
      <c r="E1435" s="9" t="n">
        <f aca="false">WEEKDAY(A1435,2)</f>
        <v>1</v>
      </c>
      <c r="F1435" s="10" t="n">
        <f aca="false">WEEKNUM(A1435,2) - WEEKNUM(DATE(YEAR(A1435),MONTH(A1435),1),2) + 1</f>
        <v>4</v>
      </c>
      <c r="G1435" s="10"/>
      <c r="H1435" s="40" t="n">
        <v>780</v>
      </c>
      <c r="I1435" s="41" t="s">
        <v>20</v>
      </c>
      <c r="J1435" s="41" t="s">
        <v>67</v>
      </c>
      <c r="L1435" s="9" t="n">
        <f aca="false">L1434+H1435</f>
        <v>65511.43</v>
      </c>
      <c r="M1435" s="10" t="str">
        <f aca="false">VLOOKUP(J1435,RECATALOGANDO!A:C,2,0)</f>
        <v>SERVICIO DE PENSION</v>
      </c>
      <c r="N1435" s="12" t="str">
        <f aca="false">VLOOKUP(M1435,RECATALOGANDO!B:C,2,0)</f>
        <v>VENTA DE SERVICIO</v>
      </c>
      <c r="O1435" s="2" t="s">
        <v>39</v>
      </c>
    </row>
    <row r="1436" customFormat="false" ht="13.8" hidden="false" customHeight="false" outlineLevel="0" collapsed="false">
      <c r="A1436" s="1" t="n">
        <v>45313</v>
      </c>
      <c r="B1436" s="9" t="n">
        <f aca="false">DAY(A1436)</f>
        <v>22</v>
      </c>
      <c r="C1436" s="9" t="n">
        <f aca="false">MONTH(A1436)</f>
        <v>1</v>
      </c>
      <c r="D1436" s="9" t="n">
        <f aca="false">YEAR(A1436)</f>
        <v>2024</v>
      </c>
      <c r="E1436" s="9" t="n">
        <f aca="false">WEEKDAY(A1436,2)</f>
        <v>1</v>
      </c>
      <c r="F1436" s="10" t="n">
        <f aca="false">WEEKNUM(A1436,2) - WEEKNUM(DATE(YEAR(A1436),MONTH(A1436),1),2) + 1</f>
        <v>4</v>
      </c>
      <c r="G1436" s="10"/>
      <c r="H1436" s="40" t="n">
        <v>160</v>
      </c>
      <c r="I1436" s="41" t="s">
        <v>20</v>
      </c>
      <c r="J1436" s="41" t="s">
        <v>49</v>
      </c>
      <c r="L1436" s="9" t="n">
        <f aca="false">L1435+H1436</f>
        <v>65671.43</v>
      </c>
      <c r="M1436" s="10" t="str">
        <f aca="false">VLOOKUP(J1436,RECATALOGANDO!A:C,2,0)</f>
        <v>SERVICIO DE GROOMING</v>
      </c>
      <c r="N1436" s="12" t="str">
        <f aca="false">VLOOKUP(M1436,RECATALOGANDO!B:C,2,0)</f>
        <v>VENTA DE SERVICIO</v>
      </c>
      <c r="O1436" s="2" t="s">
        <v>39</v>
      </c>
    </row>
    <row r="1437" customFormat="false" ht="13.8" hidden="false" customHeight="false" outlineLevel="0" collapsed="false">
      <c r="A1437" s="46" t="n">
        <v>45313</v>
      </c>
      <c r="B1437" s="9" t="n">
        <f aca="false">DAY(A1437)</f>
        <v>22</v>
      </c>
      <c r="C1437" s="9" t="n">
        <f aca="false">MONTH(A1437)</f>
        <v>1</v>
      </c>
      <c r="D1437" s="9" t="n">
        <f aca="false">YEAR(A1437)</f>
        <v>2024</v>
      </c>
      <c r="E1437" s="9" t="n">
        <f aca="false">WEEKDAY(A1437,2)</f>
        <v>1</v>
      </c>
      <c r="F1437" s="10" t="n">
        <f aca="false">WEEKNUM(A1437,2) - WEEKNUM(DATE(YEAR(A1437),MONTH(A1437),1),2) + 1</f>
        <v>4</v>
      </c>
      <c r="G1437" s="10"/>
      <c r="H1437" s="47" t="n">
        <v>200</v>
      </c>
      <c r="I1437" s="48" t="s">
        <v>20</v>
      </c>
      <c r="J1437" s="48" t="s">
        <v>35</v>
      </c>
      <c r="L1437" s="9" t="n">
        <f aca="false">L1436+H1437</f>
        <v>65871.43</v>
      </c>
      <c r="M1437" s="10" t="str">
        <f aca="false">VLOOKUP(J1437,RECATALOGANDO!A:C,2,0)</f>
        <v>TRANSFERENCIA ENTRE CUENTAS</v>
      </c>
      <c r="N1437" s="12" t="str">
        <f aca="false">VLOOKUP(M1437,RECATALOGANDO!B:C,2,0)</f>
        <v>TRANSFERENCIAS</v>
      </c>
      <c r="O1437" s="2" t="s">
        <v>31</v>
      </c>
    </row>
    <row r="1438" customFormat="false" ht="13.8" hidden="false" customHeight="false" outlineLevel="0" collapsed="false">
      <c r="A1438" s="1" t="n">
        <v>45313</v>
      </c>
      <c r="B1438" s="9" t="n">
        <f aca="false">DAY(A1438)</f>
        <v>22</v>
      </c>
      <c r="C1438" s="9" t="n">
        <f aca="false">MONTH(A1438)</f>
        <v>1</v>
      </c>
      <c r="D1438" s="9" t="n">
        <f aca="false">YEAR(A1438)</f>
        <v>2024</v>
      </c>
      <c r="E1438" s="9" t="n">
        <f aca="false">WEEKDAY(A1438,2)</f>
        <v>1</v>
      </c>
      <c r="F1438" s="10" t="n">
        <f aca="false">WEEKNUM(A1438,2) - WEEKNUM(DATE(YEAR(A1438),MONTH(A1438),1),2) + 1</f>
        <v>4</v>
      </c>
      <c r="G1438" s="10"/>
      <c r="H1438" s="40" t="n">
        <v>440</v>
      </c>
      <c r="I1438" s="41" t="s">
        <v>20</v>
      </c>
      <c r="J1438" s="41" t="s">
        <v>49</v>
      </c>
      <c r="L1438" s="9" t="n">
        <f aca="false">L1437+H1438</f>
        <v>66311.43</v>
      </c>
      <c r="M1438" s="10" t="str">
        <f aca="false">VLOOKUP(J1438,RECATALOGANDO!A:C,2,0)</f>
        <v>SERVICIO DE GROOMING</v>
      </c>
      <c r="N1438" s="12" t="str">
        <f aca="false">VLOOKUP(M1438,RECATALOGANDO!B:C,2,0)</f>
        <v>VENTA DE SERVICIO</v>
      </c>
      <c r="O1438" s="2" t="s">
        <v>39</v>
      </c>
    </row>
    <row r="1439" customFormat="false" ht="13.8" hidden="false" customHeight="false" outlineLevel="0" collapsed="false">
      <c r="A1439" s="1" t="n">
        <v>45313</v>
      </c>
      <c r="B1439" s="9" t="n">
        <f aca="false">DAY(A1439)</f>
        <v>22</v>
      </c>
      <c r="C1439" s="9" t="n">
        <f aca="false">MONTH(A1439)</f>
        <v>1</v>
      </c>
      <c r="D1439" s="9" t="n">
        <f aca="false">YEAR(A1439)</f>
        <v>2024</v>
      </c>
      <c r="E1439" s="9" t="n">
        <f aca="false">WEEKDAY(A1439,2)</f>
        <v>1</v>
      </c>
      <c r="F1439" s="10" t="n">
        <f aca="false">WEEKNUM(A1439,2) - WEEKNUM(DATE(YEAR(A1439),MONTH(A1439),1),2) + 1</f>
        <v>4</v>
      </c>
      <c r="G1439" s="10"/>
      <c r="H1439" s="40" t="n">
        <v>458</v>
      </c>
      <c r="I1439" s="41" t="s">
        <v>20</v>
      </c>
      <c r="J1439" s="41" t="s">
        <v>44</v>
      </c>
      <c r="L1439" s="9" t="n">
        <f aca="false">L1438+H1439</f>
        <v>66769.43</v>
      </c>
      <c r="M1439" s="10" t="str">
        <f aca="false">VLOOKUP(J1439,RECATALOGANDO!A:C,2,0)</f>
        <v>HONORARIOS MEDICOS</v>
      </c>
      <c r="N1439" s="12" t="str">
        <f aca="false">VLOOKUP(M1439,RECATALOGANDO!B:C,2,0)</f>
        <v>VENTA DE SERVICIO</v>
      </c>
      <c r="O1439" s="2" t="s">
        <v>39</v>
      </c>
    </row>
    <row r="1440" customFormat="false" ht="13.8" hidden="false" customHeight="false" outlineLevel="0" collapsed="false">
      <c r="A1440" s="1" t="n">
        <v>45316</v>
      </c>
      <c r="B1440" s="9" t="n">
        <f aca="false">DAY(A1440)</f>
        <v>25</v>
      </c>
      <c r="C1440" s="9" t="n">
        <f aca="false">MONTH(A1440)</f>
        <v>1</v>
      </c>
      <c r="D1440" s="9" t="n">
        <f aca="false">YEAR(A1440)</f>
        <v>2024</v>
      </c>
      <c r="E1440" s="9" t="n">
        <f aca="false">WEEKDAY(A1440,2)</f>
        <v>4</v>
      </c>
      <c r="F1440" s="10" t="n">
        <f aca="false">WEEKNUM(A1440,2) - WEEKNUM(DATE(YEAR(A1440),MONTH(A1440),1),2) + 1</f>
        <v>4</v>
      </c>
      <c r="G1440" s="10"/>
      <c r="H1440" s="40" t="n">
        <v>725</v>
      </c>
      <c r="I1440" s="41" t="s">
        <v>15</v>
      </c>
      <c r="J1440" s="41" t="s">
        <v>44</v>
      </c>
      <c r="L1440" s="9" t="n">
        <f aca="false">L1439+H1440</f>
        <v>67494.43</v>
      </c>
      <c r="M1440" s="10" t="str">
        <f aca="false">VLOOKUP(J1440,RECATALOGANDO!A:C,2,0)</f>
        <v>HONORARIOS MEDICOS</v>
      </c>
      <c r="N1440" s="12" t="str">
        <f aca="false">VLOOKUP(M1440,RECATALOGANDO!B:C,2,0)</f>
        <v>VENTA DE SERVICIO</v>
      </c>
      <c r="O1440" s="2" t="s">
        <v>39</v>
      </c>
    </row>
    <row r="1441" customFormat="false" ht="13.8" hidden="false" customHeight="false" outlineLevel="0" collapsed="false">
      <c r="A1441" s="1" t="n">
        <v>45317</v>
      </c>
      <c r="B1441" s="9" t="n">
        <f aca="false">DAY(A1441)</f>
        <v>26</v>
      </c>
      <c r="C1441" s="9" t="n">
        <f aca="false">MONTH(A1441)</f>
        <v>1</v>
      </c>
      <c r="D1441" s="9" t="n">
        <f aca="false">YEAR(A1441)</f>
        <v>2024</v>
      </c>
      <c r="E1441" s="9" t="n">
        <f aca="false">WEEKDAY(A1441,2)</f>
        <v>5</v>
      </c>
      <c r="F1441" s="10" t="n">
        <f aca="false">WEEKNUM(A1441,2) - WEEKNUM(DATE(YEAR(A1441),MONTH(A1441),1),2) + 1</f>
        <v>4</v>
      </c>
      <c r="G1441" s="10"/>
      <c r="H1441" s="40" t="n">
        <v>500</v>
      </c>
      <c r="I1441" s="41" t="s">
        <v>20</v>
      </c>
      <c r="J1441" s="41" t="s">
        <v>64</v>
      </c>
      <c r="L1441" s="9" t="n">
        <f aca="false">L1440+H1441</f>
        <v>67994.43</v>
      </c>
      <c r="M1441" s="10" t="str">
        <f aca="false">VLOOKUP(J1441,RECATALOGANDO!A:C,2,0)</f>
        <v>HONORARIOS QUIRURGICOS</v>
      </c>
      <c r="N1441" s="12" t="str">
        <f aca="false">VLOOKUP(M1441,RECATALOGANDO!B:C,2,0)</f>
        <v>VENTA DE SERVICIO</v>
      </c>
      <c r="O1441" s="2" t="s">
        <v>39</v>
      </c>
    </row>
    <row r="1442" customFormat="false" ht="13.8" hidden="false" customHeight="false" outlineLevel="0" collapsed="false">
      <c r="A1442" s="1" t="n">
        <v>45317</v>
      </c>
      <c r="B1442" s="9" t="n">
        <f aca="false">DAY(A1442)</f>
        <v>26</v>
      </c>
      <c r="C1442" s="9" t="n">
        <f aca="false">MONTH(A1442)</f>
        <v>1</v>
      </c>
      <c r="D1442" s="9" t="n">
        <f aca="false">YEAR(A1442)</f>
        <v>2024</v>
      </c>
      <c r="E1442" s="9" t="n">
        <f aca="false">WEEKDAY(A1442,2)</f>
        <v>5</v>
      </c>
      <c r="F1442" s="10" t="n">
        <f aca="false">WEEKNUM(A1442,2) - WEEKNUM(DATE(YEAR(A1442),MONTH(A1442),1),2) + 1</f>
        <v>4</v>
      </c>
      <c r="G1442" s="10"/>
      <c r="H1442" s="40" t="n">
        <v>1425</v>
      </c>
      <c r="I1442" s="41" t="s">
        <v>20</v>
      </c>
      <c r="J1442" s="41" t="s">
        <v>51</v>
      </c>
      <c r="L1442" s="9" t="n">
        <f aca="false">L1441+H1442</f>
        <v>69419.43</v>
      </c>
      <c r="M1442" s="10" t="str">
        <f aca="false">VLOOKUP(J1442,RECATALOGANDO!A:C,2,0)</f>
        <v>VENTA DE ALIMENTO</v>
      </c>
      <c r="N1442" s="12" t="str">
        <f aca="false">VLOOKUP(M1442,RECATALOGANDO!B:C,2,0)</f>
        <v>VENTA DE PRODUCTO</v>
      </c>
      <c r="O1442" s="2" t="s">
        <v>39</v>
      </c>
    </row>
    <row r="1443" customFormat="false" ht="13.8" hidden="false" customHeight="false" outlineLevel="0" collapsed="false">
      <c r="A1443" s="1" t="n">
        <v>45317</v>
      </c>
      <c r="B1443" s="9" t="n">
        <f aca="false">DAY(A1443)</f>
        <v>26</v>
      </c>
      <c r="C1443" s="9" t="n">
        <f aca="false">MONTH(A1443)</f>
        <v>1</v>
      </c>
      <c r="D1443" s="9" t="n">
        <f aca="false">YEAR(A1443)</f>
        <v>2024</v>
      </c>
      <c r="E1443" s="9" t="n">
        <f aca="false">WEEKDAY(A1443,2)</f>
        <v>5</v>
      </c>
      <c r="F1443" s="10" t="n">
        <f aca="false">WEEKNUM(A1443,2) - WEEKNUM(DATE(YEAR(A1443),MONTH(A1443),1),2) + 1</f>
        <v>4</v>
      </c>
      <c r="G1443" s="10"/>
      <c r="H1443" s="40" t="n">
        <v>446</v>
      </c>
      <c r="I1443" s="41" t="s">
        <v>15</v>
      </c>
      <c r="J1443" s="41" t="s">
        <v>49</v>
      </c>
      <c r="L1443" s="9" t="n">
        <f aca="false">L1442+H1443</f>
        <v>69865.43</v>
      </c>
      <c r="M1443" s="10" t="str">
        <f aca="false">VLOOKUP(J1443,RECATALOGANDO!A:C,2,0)</f>
        <v>SERVICIO DE GROOMING</v>
      </c>
      <c r="N1443" s="12" t="str">
        <f aca="false">VLOOKUP(M1443,RECATALOGANDO!B:C,2,0)</f>
        <v>VENTA DE SERVICIO</v>
      </c>
      <c r="O1443" s="2" t="s">
        <v>39</v>
      </c>
    </row>
    <row r="1444" customFormat="false" ht="13.8" hidden="false" customHeight="false" outlineLevel="0" collapsed="false">
      <c r="A1444" s="1" t="n">
        <v>45318</v>
      </c>
      <c r="B1444" s="9" t="n">
        <f aca="false">DAY(A1444)</f>
        <v>27</v>
      </c>
      <c r="C1444" s="9" t="n">
        <f aca="false">MONTH(A1444)</f>
        <v>1</v>
      </c>
      <c r="D1444" s="9" t="n">
        <f aca="false">YEAR(A1444)</f>
        <v>2024</v>
      </c>
      <c r="E1444" s="9" t="n">
        <f aca="false">WEEKDAY(A1444,2)</f>
        <v>6</v>
      </c>
      <c r="F1444" s="10" t="n">
        <f aca="false">WEEKNUM(A1444,2) - WEEKNUM(DATE(YEAR(A1444),MONTH(A1444),1),2) + 1</f>
        <v>4</v>
      </c>
      <c r="G1444" s="10"/>
      <c r="H1444" s="40" t="n">
        <v>436</v>
      </c>
      <c r="I1444" s="41" t="s">
        <v>15</v>
      </c>
      <c r="J1444" s="41" t="s">
        <v>44</v>
      </c>
      <c r="L1444" s="9" t="n">
        <f aca="false">L1443+H1444</f>
        <v>70301.43</v>
      </c>
      <c r="M1444" s="10" t="str">
        <f aca="false">VLOOKUP(J1444,RECATALOGANDO!A:C,2,0)</f>
        <v>HONORARIOS MEDICOS</v>
      </c>
      <c r="N1444" s="12" t="str">
        <f aca="false">VLOOKUP(M1444,RECATALOGANDO!B:C,2,0)</f>
        <v>VENTA DE SERVICIO</v>
      </c>
      <c r="O1444" s="2" t="s">
        <v>39</v>
      </c>
    </row>
    <row r="1445" customFormat="false" ht="13.8" hidden="false" customHeight="false" outlineLevel="0" collapsed="false">
      <c r="A1445" s="1" t="n">
        <v>45320</v>
      </c>
      <c r="B1445" s="9" t="n">
        <f aca="false">DAY(A1445)</f>
        <v>29</v>
      </c>
      <c r="C1445" s="9" t="n">
        <f aca="false">MONTH(A1445)</f>
        <v>1</v>
      </c>
      <c r="D1445" s="9" t="n">
        <f aca="false">YEAR(A1445)</f>
        <v>2024</v>
      </c>
      <c r="E1445" s="9" t="n">
        <f aca="false">WEEKDAY(A1445,2)</f>
        <v>1</v>
      </c>
      <c r="F1445" s="10" t="n">
        <f aca="false">WEEKNUM(A1445,2) - WEEKNUM(DATE(YEAR(A1445),MONTH(A1445),1),2) + 1</f>
        <v>5</v>
      </c>
      <c r="G1445" s="10"/>
      <c r="H1445" s="40" t="n">
        <v>1570</v>
      </c>
      <c r="I1445" s="41" t="s">
        <v>20</v>
      </c>
      <c r="J1445" s="41" t="s">
        <v>45</v>
      </c>
      <c r="L1445" s="9" t="n">
        <f aca="false">L1444+H1445</f>
        <v>71871.43</v>
      </c>
      <c r="M1445" s="10" t="str">
        <f aca="false">VLOOKUP(J1445,RECATALOGANDO!A:C,2,0)</f>
        <v>VENTA DE MEDICAMENTO</v>
      </c>
      <c r="N1445" s="12" t="str">
        <f aca="false">VLOOKUP(M1445,RECATALOGANDO!B:C,2,0)</f>
        <v>VENTA DE PRODUCTO</v>
      </c>
      <c r="O1445" s="2" t="s">
        <v>39</v>
      </c>
    </row>
    <row r="1446" customFormat="false" ht="13.8" hidden="false" customHeight="false" outlineLevel="0" collapsed="false">
      <c r="A1446" s="1" t="n">
        <v>45320</v>
      </c>
      <c r="B1446" s="9" t="n">
        <f aca="false">DAY(A1446)</f>
        <v>29</v>
      </c>
      <c r="C1446" s="9" t="n">
        <f aca="false">MONTH(A1446)</f>
        <v>1</v>
      </c>
      <c r="D1446" s="9" t="n">
        <f aca="false">YEAR(A1446)</f>
        <v>2024</v>
      </c>
      <c r="E1446" s="9" t="n">
        <f aca="false">WEEKDAY(A1446,2)</f>
        <v>1</v>
      </c>
      <c r="F1446" s="10" t="n">
        <f aca="false">WEEKNUM(A1446,2) - WEEKNUM(DATE(YEAR(A1446),MONTH(A1446),1),2) + 1</f>
        <v>5</v>
      </c>
      <c r="G1446" s="10"/>
      <c r="H1446" s="40" t="n">
        <v>4785</v>
      </c>
      <c r="I1446" s="41" t="s">
        <v>20</v>
      </c>
      <c r="J1446" s="41" t="s">
        <v>45</v>
      </c>
      <c r="L1446" s="9" t="n">
        <f aca="false">L1445+H1446</f>
        <v>76656.43</v>
      </c>
      <c r="M1446" s="10" t="str">
        <f aca="false">VLOOKUP(J1446,RECATALOGANDO!A:C,2,0)</f>
        <v>VENTA DE MEDICAMENTO</v>
      </c>
      <c r="N1446" s="12" t="str">
        <f aca="false">VLOOKUP(M1446,RECATALOGANDO!B:C,2,0)</f>
        <v>VENTA DE PRODUCTO</v>
      </c>
      <c r="O1446" s="2" t="s">
        <v>39</v>
      </c>
    </row>
    <row r="1447" customFormat="false" ht="13.8" hidden="false" customHeight="false" outlineLevel="0" collapsed="false">
      <c r="A1447" s="1" t="n">
        <v>45320</v>
      </c>
      <c r="B1447" s="9" t="n">
        <f aca="false">DAY(A1447)</f>
        <v>29</v>
      </c>
      <c r="C1447" s="9" t="n">
        <f aca="false">MONTH(A1447)</f>
        <v>1</v>
      </c>
      <c r="D1447" s="9" t="n">
        <f aca="false">YEAR(A1447)</f>
        <v>2024</v>
      </c>
      <c r="E1447" s="9" t="n">
        <f aca="false">WEEKDAY(A1447,2)</f>
        <v>1</v>
      </c>
      <c r="F1447" s="10" t="n">
        <f aca="false">WEEKNUM(A1447,2) - WEEKNUM(DATE(YEAR(A1447),MONTH(A1447),1),2) + 1</f>
        <v>5</v>
      </c>
      <c r="G1447" s="10"/>
      <c r="H1447" s="40" t="n">
        <v>240</v>
      </c>
      <c r="I1447" s="41" t="s">
        <v>20</v>
      </c>
      <c r="J1447" s="41" t="s">
        <v>44</v>
      </c>
      <c r="L1447" s="9" t="n">
        <f aca="false">L1446+H1447</f>
        <v>76896.43</v>
      </c>
      <c r="M1447" s="10" t="str">
        <f aca="false">VLOOKUP(J1447,RECATALOGANDO!A:C,2,0)</f>
        <v>HONORARIOS MEDICOS</v>
      </c>
      <c r="N1447" s="12" t="str">
        <f aca="false">VLOOKUP(M1447,RECATALOGANDO!B:C,2,0)</f>
        <v>VENTA DE SERVICIO</v>
      </c>
      <c r="O1447" s="2" t="s">
        <v>39</v>
      </c>
    </row>
    <row r="1448" customFormat="false" ht="13.8" hidden="false" customHeight="false" outlineLevel="0" collapsed="false">
      <c r="A1448" s="1" t="n">
        <v>45320</v>
      </c>
      <c r="B1448" s="9" t="n">
        <f aca="false">DAY(A1448)</f>
        <v>29</v>
      </c>
      <c r="C1448" s="9" t="n">
        <f aca="false">MONTH(A1448)</f>
        <v>1</v>
      </c>
      <c r="D1448" s="9" t="n">
        <f aca="false">YEAR(A1448)</f>
        <v>2024</v>
      </c>
      <c r="E1448" s="9" t="n">
        <f aca="false">WEEKDAY(A1448,2)</f>
        <v>1</v>
      </c>
      <c r="F1448" s="10" t="n">
        <f aca="false">WEEKNUM(A1448,2) - WEEKNUM(DATE(YEAR(A1448),MONTH(A1448),1),2) + 1</f>
        <v>5</v>
      </c>
      <c r="G1448" s="10"/>
      <c r="H1448" s="40" t="n">
        <v>510</v>
      </c>
      <c r="I1448" s="41" t="s">
        <v>20</v>
      </c>
      <c r="J1448" s="41" t="s">
        <v>44</v>
      </c>
      <c r="L1448" s="9" t="n">
        <f aca="false">L1447+H1448</f>
        <v>77406.43</v>
      </c>
      <c r="M1448" s="10" t="str">
        <f aca="false">VLOOKUP(J1448,RECATALOGANDO!A:C,2,0)</f>
        <v>HONORARIOS MEDICOS</v>
      </c>
      <c r="N1448" s="12" t="str">
        <f aca="false">VLOOKUP(M1448,RECATALOGANDO!B:C,2,0)</f>
        <v>VENTA DE SERVICIO</v>
      </c>
      <c r="O1448" s="2" t="s">
        <v>39</v>
      </c>
    </row>
    <row r="1449" customFormat="false" ht="13.8" hidden="false" customHeight="false" outlineLevel="0" collapsed="false">
      <c r="A1449" s="1" t="n">
        <v>45320</v>
      </c>
      <c r="B1449" s="9" t="n">
        <f aca="false">DAY(A1449)</f>
        <v>29</v>
      </c>
      <c r="C1449" s="9" t="n">
        <f aca="false">MONTH(A1449)</f>
        <v>1</v>
      </c>
      <c r="D1449" s="9" t="n">
        <f aca="false">YEAR(A1449)</f>
        <v>2024</v>
      </c>
      <c r="E1449" s="9" t="n">
        <f aca="false">WEEKDAY(A1449,2)</f>
        <v>1</v>
      </c>
      <c r="F1449" s="10" t="n">
        <f aca="false">WEEKNUM(A1449,2) - WEEKNUM(DATE(YEAR(A1449),MONTH(A1449),1),2) + 1</f>
        <v>5</v>
      </c>
      <c r="G1449" s="10"/>
      <c r="H1449" s="40" t="n">
        <v>1160</v>
      </c>
      <c r="I1449" s="41" t="s">
        <v>15</v>
      </c>
      <c r="J1449" s="41" t="s">
        <v>45</v>
      </c>
      <c r="L1449" s="9" t="n">
        <f aca="false">L1448+H1449</f>
        <v>78566.43</v>
      </c>
      <c r="M1449" s="10" t="str">
        <f aca="false">VLOOKUP(J1449,RECATALOGANDO!A:C,2,0)</f>
        <v>VENTA DE MEDICAMENTO</v>
      </c>
      <c r="N1449" s="12" t="str">
        <f aca="false">VLOOKUP(M1449,RECATALOGANDO!B:C,2,0)</f>
        <v>VENTA DE PRODUCTO</v>
      </c>
      <c r="O1449" s="2" t="s">
        <v>39</v>
      </c>
    </row>
    <row r="1450" customFormat="false" ht="13.8" hidden="false" customHeight="false" outlineLevel="0" collapsed="false">
      <c r="A1450" s="1" t="n">
        <v>45320</v>
      </c>
      <c r="B1450" s="9" t="n">
        <f aca="false">DAY(A1450)</f>
        <v>29</v>
      </c>
      <c r="C1450" s="9" t="n">
        <f aca="false">MONTH(A1450)</f>
        <v>1</v>
      </c>
      <c r="D1450" s="9" t="n">
        <f aca="false">YEAR(A1450)</f>
        <v>2024</v>
      </c>
      <c r="E1450" s="9" t="n">
        <f aca="false">WEEKDAY(A1450,2)</f>
        <v>1</v>
      </c>
      <c r="F1450" s="10" t="n">
        <f aca="false">WEEKNUM(A1450,2) - WEEKNUM(DATE(YEAR(A1450),MONTH(A1450),1),2) + 1</f>
        <v>5</v>
      </c>
      <c r="G1450" s="10"/>
      <c r="H1450" s="40" t="n">
        <v>690</v>
      </c>
      <c r="I1450" s="41" t="s">
        <v>20</v>
      </c>
      <c r="J1450" s="41" t="s">
        <v>44</v>
      </c>
      <c r="L1450" s="9" t="n">
        <f aca="false">L1449+H1450</f>
        <v>79256.43</v>
      </c>
      <c r="M1450" s="10" t="str">
        <f aca="false">VLOOKUP(J1450,RECATALOGANDO!A:C,2,0)</f>
        <v>HONORARIOS MEDICOS</v>
      </c>
      <c r="N1450" s="12" t="str">
        <f aca="false">VLOOKUP(M1450,RECATALOGANDO!B:C,2,0)</f>
        <v>VENTA DE SERVICIO</v>
      </c>
      <c r="O1450" s="2" t="s">
        <v>39</v>
      </c>
    </row>
    <row r="1451" customFormat="false" ht="13.8" hidden="false" customHeight="false" outlineLevel="0" collapsed="false">
      <c r="A1451" s="46" t="n">
        <v>45320</v>
      </c>
      <c r="B1451" s="9" t="n">
        <f aca="false">DAY(A1451)</f>
        <v>29</v>
      </c>
      <c r="C1451" s="9" t="n">
        <f aca="false">MONTH(A1451)</f>
        <v>1</v>
      </c>
      <c r="D1451" s="9" t="n">
        <f aca="false">YEAR(A1451)</f>
        <v>2024</v>
      </c>
      <c r="E1451" s="9" t="n">
        <f aca="false">WEEKDAY(A1451,2)</f>
        <v>1</v>
      </c>
      <c r="F1451" s="10" t="n">
        <f aca="false">WEEKNUM(A1451,2) - WEEKNUM(DATE(YEAR(A1451),MONTH(A1451),1),2) + 1</f>
        <v>5</v>
      </c>
      <c r="G1451" s="10"/>
      <c r="H1451" s="47" t="n">
        <v>1800</v>
      </c>
      <c r="I1451" s="48" t="s">
        <v>15</v>
      </c>
      <c r="J1451" s="48" t="s">
        <v>35</v>
      </c>
      <c r="L1451" s="9" t="n">
        <f aca="false">L1450+H1451</f>
        <v>81056.43</v>
      </c>
      <c r="M1451" s="10" t="str">
        <f aca="false">VLOOKUP(J1451,RECATALOGANDO!A:C,2,0)</f>
        <v>TRANSFERENCIA ENTRE CUENTAS</v>
      </c>
      <c r="N1451" s="12" t="str">
        <f aca="false">VLOOKUP(M1451,RECATALOGANDO!B:C,2,0)</f>
        <v>TRANSFERENCIAS</v>
      </c>
      <c r="O1451" s="2" t="s">
        <v>31</v>
      </c>
    </row>
    <row r="1452" customFormat="false" ht="13.8" hidden="false" customHeight="false" outlineLevel="0" collapsed="false">
      <c r="A1452" s="1" t="n">
        <v>45321</v>
      </c>
      <c r="B1452" s="9" t="n">
        <f aca="false">DAY(A1452)</f>
        <v>30</v>
      </c>
      <c r="C1452" s="9" t="n">
        <f aca="false">MONTH(A1452)</f>
        <v>1</v>
      </c>
      <c r="D1452" s="9" t="n">
        <f aca="false">YEAR(A1452)</f>
        <v>2024</v>
      </c>
      <c r="E1452" s="9" t="n">
        <f aca="false">WEEKDAY(A1452,2)</f>
        <v>2</v>
      </c>
      <c r="F1452" s="10" t="n">
        <f aca="false">WEEKNUM(A1452,2) - WEEKNUM(DATE(YEAR(A1452),MONTH(A1452),1),2) + 1</f>
        <v>5</v>
      </c>
      <c r="G1452" s="10"/>
      <c r="H1452" s="40" t="n">
        <v>1150</v>
      </c>
      <c r="I1452" s="41" t="s">
        <v>20</v>
      </c>
      <c r="J1452" s="41" t="s">
        <v>51</v>
      </c>
      <c r="L1452" s="9" t="n">
        <f aca="false">L1451+H1452</f>
        <v>82206.43</v>
      </c>
      <c r="M1452" s="10" t="str">
        <f aca="false">VLOOKUP(J1452,RECATALOGANDO!A:C,2,0)</f>
        <v>VENTA DE ALIMENTO</v>
      </c>
      <c r="N1452" s="12" t="str">
        <f aca="false">VLOOKUP(M1452,RECATALOGANDO!B:C,2,0)</f>
        <v>VENTA DE PRODUCTO</v>
      </c>
      <c r="O1452" s="2" t="s">
        <v>39</v>
      </c>
    </row>
    <row r="1453" customFormat="false" ht="13.8" hidden="false" customHeight="false" outlineLevel="0" collapsed="false">
      <c r="A1453" s="1" t="n">
        <v>45321</v>
      </c>
      <c r="B1453" s="9" t="n">
        <f aca="false">DAY(A1453)</f>
        <v>30</v>
      </c>
      <c r="C1453" s="9" t="n">
        <f aca="false">MONTH(A1453)</f>
        <v>1</v>
      </c>
      <c r="D1453" s="9" t="n">
        <f aca="false">YEAR(A1453)</f>
        <v>2024</v>
      </c>
      <c r="E1453" s="9" t="n">
        <f aca="false">WEEKDAY(A1453,2)</f>
        <v>2</v>
      </c>
      <c r="F1453" s="10" t="n">
        <f aca="false">WEEKNUM(A1453,2) - WEEKNUM(DATE(YEAR(A1453),MONTH(A1453),1),2) + 1</f>
        <v>5</v>
      </c>
      <c r="G1453" s="10"/>
      <c r="H1453" s="40" t="n">
        <v>660</v>
      </c>
      <c r="I1453" s="41" t="s">
        <v>15</v>
      </c>
      <c r="J1453" s="41" t="s">
        <v>45</v>
      </c>
      <c r="L1453" s="9" t="n">
        <f aca="false">L1452+H1453</f>
        <v>82866.43</v>
      </c>
      <c r="M1453" s="10" t="str">
        <f aca="false">VLOOKUP(J1453,RECATALOGANDO!A:C,2,0)</f>
        <v>VENTA DE MEDICAMENTO</v>
      </c>
      <c r="N1453" s="12" t="str">
        <f aca="false">VLOOKUP(M1453,RECATALOGANDO!B:C,2,0)</f>
        <v>VENTA DE PRODUCTO</v>
      </c>
      <c r="O1453" s="2" t="s">
        <v>39</v>
      </c>
    </row>
    <row r="1454" customFormat="false" ht="13.8" hidden="false" customHeight="false" outlineLevel="0" collapsed="false">
      <c r="A1454" s="1" t="n">
        <v>45322</v>
      </c>
      <c r="B1454" s="9" t="n">
        <f aca="false">DAY(A1454)</f>
        <v>31</v>
      </c>
      <c r="C1454" s="9" t="n">
        <f aca="false">MONTH(A1454)</f>
        <v>1</v>
      </c>
      <c r="D1454" s="9" t="n">
        <f aca="false">YEAR(A1454)</f>
        <v>2024</v>
      </c>
      <c r="E1454" s="9" t="n">
        <f aca="false">WEEKDAY(A1454,2)</f>
        <v>3</v>
      </c>
      <c r="F1454" s="10" t="n">
        <f aca="false">WEEKNUM(A1454,2) - WEEKNUM(DATE(YEAR(A1454),MONTH(A1454),1),2) + 1</f>
        <v>5</v>
      </c>
      <c r="G1454" s="10"/>
      <c r="H1454" s="40" t="n">
        <v>370</v>
      </c>
      <c r="I1454" s="41" t="s">
        <v>20</v>
      </c>
      <c r="J1454" s="41" t="s">
        <v>49</v>
      </c>
      <c r="L1454" s="9" t="n">
        <f aca="false">L1453+H1454</f>
        <v>83236.43</v>
      </c>
      <c r="M1454" s="10" t="str">
        <f aca="false">VLOOKUP(J1454,RECATALOGANDO!A:C,2,0)</f>
        <v>SERVICIO DE GROOMING</v>
      </c>
      <c r="N1454" s="12" t="str">
        <f aca="false">VLOOKUP(M1454,RECATALOGANDO!B:C,2,0)</f>
        <v>VENTA DE SERVICIO</v>
      </c>
      <c r="O1454" s="2" t="s">
        <v>39</v>
      </c>
    </row>
    <row r="1455" customFormat="false" ht="13.8" hidden="false" customHeight="false" outlineLevel="0" collapsed="false">
      <c r="A1455" s="1" t="n">
        <v>45322</v>
      </c>
      <c r="B1455" s="9" t="n">
        <f aca="false">DAY(A1455)</f>
        <v>31</v>
      </c>
      <c r="C1455" s="9" t="n">
        <f aca="false">MONTH(A1455)</f>
        <v>1</v>
      </c>
      <c r="D1455" s="9" t="n">
        <f aca="false">YEAR(A1455)</f>
        <v>2024</v>
      </c>
      <c r="E1455" s="9" t="n">
        <f aca="false">WEEKDAY(A1455,2)</f>
        <v>3</v>
      </c>
      <c r="F1455" s="10" t="n">
        <f aca="false">WEEKNUM(A1455,2) - WEEKNUM(DATE(YEAR(A1455),MONTH(A1455),1),2) + 1</f>
        <v>5</v>
      </c>
      <c r="G1455" s="10"/>
      <c r="H1455" s="40" t="n">
        <v>2271.03</v>
      </c>
      <c r="I1455" s="41" t="s">
        <v>15</v>
      </c>
      <c r="J1455" s="41" t="s">
        <v>58</v>
      </c>
      <c r="L1455" s="9" t="n">
        <f aca="false">L1454+H1455</f>
        <v>85507.46</v>
      </c>
      <c r="M1455" s="10" t="str">
        <f aca="false">VLOOKUP(J1455,RECATALOGANDO!A:C,2,0)</f>
        <v>SERVICIO DE LABORATORIO</v>
      </c>
      <c r="N1455" s="12" t="str">
        <f aca="false">VLOOKUP(M1455,RECATALOGANDO!B:C,2,0)</f>
        <v>VENTA DE SERVICIO</v>
      </c>
      <c r="O1455" s="2" t="s">
        <v>39</v>
      </c>
    </row>
    <row r="1456" customFormat="false" ht="13.8" hidden="false" customHeight="false" outlineLevel="0" collapsed="false">
      <c r="A1456" s="1" t="n">
        <v>45322</v>
      </c>
      <c r="B1456" s="9" t="n">
        <f aca="false">DAY(A1456)</f>
        <v>31</v>
      </c>
      <c r="C1456" s="9" t="n">
        <f aca="false">MONTH(A1456)</f>
        <v>1</v>
      </c>
      <c r="D1456" s="9" t="n">
        <f aca="false">YEAR(A1456)</f>
        <v>2024</v>
      </c>
      <c r="E1456" s="9" t="n">
        <f aca="false">WEEKDAY(A1456,2)</f>
        <v>3</v>
      </c>
      <c r="F1456" s="10" t="n">
        <f aca="false">WEEKNUM(A1456,2) - WEEKNUM(DATE(YEAR(A1456),MONTH(A1456),1),2) + 1</f>
        <v>5</v>
      </c>
      <c r="G1456" s="10"/>
      <c r="H1456" s="40" t="n">
        <v>1265</v>
      </c>
      <c r="I1456" s="41" t="s">
        <v>20</v>
      </c>
      <c r="J1456" s="41" t="s">
        <v>51</v>
      </c>
      <c r="L1456" s="9" t="n">
        <f aca="false">L1455+H1456</f>
        <v>86772.46</v>
      </c>
      <c r="M1456" s="10" t="str">
        <f aca="false">VLOOKUP(J1456,RECATALOGANDO!A:C,2,0)</f>
        <v>VENTA DE ALIMENTO</v>
      </c>
      <c r="N1456" s="12" t="str">
        <f aca="false">VLOOKUP(M1456,RECATALOGANDO!B:C,2,0)</f>
        <v>VENTA DE PRODUCTO</v>
      </c>
      <c r="O1456" s="2" t="s">
        <v>39</v>
      </c>
    </row>
    <row r="1457" customFormat="false" ht="13.8" hidden="false" customHeight="false" outlineLevel="0" collapsed="false">
      <c r="A1457" s="49" t="n">
        <v>45139</v>
      </c>
      <c r="B1457" s="9" t="n">
        <f aca="false">DAY(A1457)</f>
        <v>1</v>
      </c>
      <c r="C1457" s="9" t="n">
        <f aca="false">MONTH(A1457)</f>
        <v>8</v>
      </c>
      <c r="D1457" s="9" t="n">
        <f aca="false">YEAR(A1457)</f>
        <v>2023</v>
      </c>
      <c r="E1457" s="9" t="n">
        <f aca="false">WEEKDAY(A1457,2)</f>
        <v>2</v>
      </c>
      <c r="F1457" s="10" t="n">
        <f aca="false">WEEKNUM(A1457,2) - WEEKNUM(DATE(YEAR(A1457),MONTH(A1457),1),2) + 1</f>
        <v>1</v>
      </c>
      <c r="G1457" s="10"/>
      <c r="H1457" s="50" t="n">
        <v>2100</v>
      </c>
      <c r="I1457" s="51" t="s">
        <v>15</v>
      </c>
      <c r="J1457" s="52" t="s">
        <v>41</v>
      </c>
      <c r="L1457" s="42" t="n">
        <f aca="false">H1457</f>
        <v>2100</v>
      </c>
      <c r="M1457" s="10" t="str">
        <f aca="false">VLOOKUP(J1457,RECATALOGANDO!A:C,2,0)</f>
        <v>HONORARIOS QUIRURGICOS</v>
      </c>
      <c r="N1457" s="12" t="str">
        <f aca="false">VLOOKUP(M1457,RECATALOGANDO!B:C,2,0)</f>
        <v>VENTA DE SERVICIO</v>
      </c>
      <c r="O1457" s="2" t="s">
        <v>39</v>
      </c>
    </row>
    <row r="1458" customFormat="false" ht="13.8" hidden="false" customHeight="false" outlineLevel="0" collapsed="false">
      <c r="A1458" s="49" t="n">
        <v>45139</v>
      </c>
      <c r="B1458" s="9" t="n">
        <f aca="false">DAY(A1458)</f>
        <v>1</v>
      </c>
      <c r="C1458" s="9" t="n">
        <f aca="false">MONTH(A1458)</f>
        <v>8</v>
      </c>
      <c r="D1458" s="9" t="n">
        <f aca="false">YEAR(A1458)</f>
        <v>2023</v>
      </c>
      <c r="E1458" s="9" t="n">
        <f aca="false">WEEKDAY(A1458,2)</f>
        <v>2</v>
      </c>
      <c r="F1458" s="10" t="n">
        <f aca="false">WEEKNUM(A1458,2) - WEEKNUM(DATE(YEAR(A1458),MONTH(A1458),1),2) + 1</f>
        <v>1</v>
      </c>
      <c r="G1458" s="10"/>
      <c r="H1458" s="53" t="n">
        <v>310</v>
      </c>
      <c r="I1458" s="51" t="s">
        <v>15</v>
      </c>
      <c r="J1458" s="52" t="s">
        <v>44</v>
      </c>
      <c r="L1458" s="9" t="n">
        <f aca="false">L1457+H1458</f>
        <v>2410</v>
      </c>
      <c r="M1458" s="10" t="str">
        <f aca="false">VLOOKUP(J1458,RECATALOGANDO!A:C,2,0)</f>
        <v>HONORARIOS MEDICOS</v>
      </c>
      <c r="N1458" s="12" t="str">
        <f aca="false">VLOOKUP(M1458,RECATALOGANDO!B:C,2,0)</f>
        <v>VENTA DE SERVICIO</v>
      </c>
      <c r="O1458" s="2" t="s">
        <v>39</v>
      </c>
    </row>
    <row r="1459" customFormat="false" ht="13.8" hidden="false" customHeight="false" outlineLevel="0" collapsed="false">
      <c r="A1459" s="49" t="n">
        <v>45139</v>
      </c>
      <c r="B1459" s="9" t="n">
        <f aca="false">DAY(A1459)</f>
        <v>1</v>
      </c>
      <c r="C1459" s="9" t="n">
        <f aca="false">MONTH(A1459)</f>
        <v>8</v>
      </c>
      <c r="D1459" s="9" t="n">
        <f aca="false">YEAR(A1459)</f>
        <v>2023</v>
      </c>
      <c r="E1459" s="9" t="n">
        <f aca="false">WEEKDAY(A1459,2)</f>
        <v>2</v>
      </c>
      <c r="F1459" s="10" t="n">
        <f aca="false">WEEKNUM(A1459,2) - WEEKNUM(DATE(YEAR(A1459),MONTH(A1459),1),2) + 1</f>
        <v>1</v>
      </c>
      <c r="G1459" s="10"/>
      <c r="H1459" s="53" t="n">
        <v>982</v>
      </c>
      <c r="I1459" s="51" t="s">
        <v>15</v>
      </c>
      <c r="J1459" s="52" t="s">
        <v>45</v>
      </c>
      <c r="L1459" s="9" t="n">
        <f aca="false">L1458+H1459</f>
        <v>3392</v>
      </c>
      <c r="M1459" s="10" t="str">
        <f aca="false">VLOOKUP(J1459,RECATALOGANDO!A:C,2,0)</f>
        <v>VENTA DE MEDICAMENTO</v>
      </c>
      <c r="N1459" s="12" t="str">
        <f aca="false">VLOOKUP(M1459,RECATALOGANDO!B:C,2,0)</f>
        <v>VENTA DE PRODUCTO</v>
      </c>
      <c r="O1459" s="2" t="s">
        <v>39</v>
      </c>
    </row>
    <row r="1460" customFormat="false" ht="13.8" hidden="false" customHeight="false" outlineLevel="0" collapsed="false">
      <c r="A1460" s="49" t="n">
        <v>45139</v>
      </c>
      <c r="B1460" s="9" t="n">
        <f aca="false">DAY(A1460)</f>
        <v>1</v>
      </c>
      <c r="C1460" s="9" t="n">
        <f aca="false">MONTH(A1460)</f>
        <v>8</v>
      </c>
      <c r="D1460" s="9" t="n">
        <f aca="false">YEAR(A1460)</f>
        <v>2023</v>
      </c>
      <c r="E1460" s="9" t="n">
        <f aca="false">WEEKDAY(A1460,2)</f>
        <v>2</v>
      </c>
      <c r="F1460" s="10" t="n">
        <f aca="false">WEEKNUM(A1460,2) - WEEKNUM(DATE(YEAR(A1460),MONTH(A1460),1),2) + 1</f>
        <v>1</v>
      </c>
      <c r="G1460" s="10"/>
      <c r="H1460" s="53" t="n">
        <v>622</v>
      </c>
      <c r="I1460" s="51" t="s">
        <v>15</v>
      </c>
      <c r="J1460" s="52" t="s">
        <v>53</v>
      </c>
      <c r="L1460" s="9" t="n">
        <f aca="false">L1459+H1460</f>
        <v>4014</v>
      </c>
      <c r="M1460" s="10" t="str">
        <f aca="false">VLOOKUP(J1460,RECATALOGANDO!A:C,2,0)</f>
        <v>SERVICIO DE GROOMING</v>
      </c>
      <c r="N1460" s="12" t="str">
        <f aca="false">VLOOKUP(M1460,RECATALOGANDO!B:C,2,0)</f>
        <v>VENTA DE SERVICIO</v>
      </c>
      <c r="O1460" s="2" t="s">
        <v>39</v>
      </c>
    </row>
    <row r="1461" customFormat="false" ht="13.8" hidden="false" customHeight="false" outlineLevel="0" collapsed="false">
      <c r="A1461" s="1" t="n">
        <v>45140</v>
      </c>
      <c r="B1461" s="9" t="n">
        <f aca="false">DAY(A1461)</f>
        <v>2</v>
      </c>
      <c r="C1461" s="9" t="n">
        <f aca="false">MONTH(A1461)</f>
        <v>8</v>
      </c>
      <c r="D1461" s="9" t="n">
        <f aca="false">YEAR(A1461)</f>
        <v>2023</v>
      </c>
      <c r="E1461" s="9" t="n">
        <f aca="false">WEEKDAY(A1461,2)</f>
        <v>3</v>
      </c>
      <c r="F1461" s="10" t="n">
        <f aca="false">WEEKNUM(A1461,2) - WEEKNUM(DATE(YEAR(A1461),MONTH(A1461),1),2) + 1</f>
        <v>1</v>
      </c>
      <c r="G1461" s="10"/>
      <c r="H1461" s="53" t="n">
        <v>100</v>
      </c>
      <c r="I1461" s="51" t="s">
        <v>15</v>
      </c>
      <c r="J1461" s="52" t="s">
        <v>53</v>
      </c>
      <c r="L1461" s="9" t="n">
        <f aca="false">L1460+H1461</f>
        <v>4114</v>
      </c>
      <c r="M1461" s="10" t="str">
        <f aca="false">VLOOKUP(J1461,RECATALOGANDO!A:C,2,0)</f>
        <v>SERVICIO DE GROOMING</v>
      </c>
      <c r="N1461" s="12" t="str">
        <f aca="false">VLOOKUP(M1461,RECATALOGANDO!B:C,2,0)</f>
        <v>VENTA DE SERVICIO</v>
      </c>
      <c r="O1461" s="2" t="s">
        <v>39</v>
      </c>
    </row>
    <row r="1462" customFormat="false" ht="13.8" hidden="false" customHeight="false" outlineLevel="0" collapsed="false">
      <c r="A1462" s="1" t="n">
        <v>45140</v>
      </c>
      <c r="B1462" s="9" t="n">
        <f aca="false">DAY(A1462)</f>
        <v>2</v>
      </c>
      <c r="C1462" s="9" t="n">
        <f aca="false">MONTH(A1462)</f>
        <v>8</v>
      </c>
      <c r="D1462" s="9" t="n">
        <f aca="false">YEAR(A1462)</f>
        <v>2023</v>
      </c>
      <c r="E1462" s="9" t="n">
        <f aca="false">WEEKDAY(A1462,2)</f>
        <v>3</v>
      </c>
      <c r="F1462" s="10" t="n">
        <f aca="false">WEEKNUM(A1462,2) - WEEKNUM(DATE(YEAR(A1462),MONTH(A1462),1),2) + 1</f>
        <v>1</v>
      </c>
      <c r="G1462" s="10"/>
      <c r="H1462" s="53" t="n">
        <v>535</v>
      </c>
      <c r="I1462" s="51" t="s">
        <v>15</v>
      </c>
      <c r="J1462" s="52" t="s">
        <v>58</v>
      </c>
      <c r="L1462" s="9" t="n">
        <f aca="false">L1461+H1462</f>
        <v>4649</v>
      </c>
      <c r="M1462" s="10" t="str">
        <f aca="false">VLOOKUP(J1462,RECATALOGANDO!A:C,2,0)</f>
        <v>SERVICIO DE LABORATORIO</v>
      </c>
      <c r="N1462" s="12" t="str">
        <f aca="false">VLOOKUP(M1462,RECATALOGANDO!B:C,2,0)</f>
        <v>VENTA DE SERVICIO</v>
      </c>
      <c r="O1462" s="2" t="s">
        <v>39</v>
      </c>
    </row>
    <row r="1463" customFormat="false" ht="13.8" hidden="false" customHeight="false" outlineLevel="0" collapsed="false">
      <c r="A1463" s="1" t="n">
        <v>45140</v>
      </c>
      <c r="B1463" s="9" t="n">
        <f aca="false">DAY(A1463)</f>
        <v>2</v>
      </c>
      <c r="C1463" s="9" t="n">
        <f aca="false">MONTH(A1463)</f>
        <v>8</v>
      </c>
      <c r="D1463" s="9" t="n">
        <f aca="false">YEAR(A1463)</f>
        <v>2023</v>
      </c>
      <c r="E1463" s="9" t="n">
        <f aca="false">WEEKDAY(A1463,2)</f>
        <v>3</v>
      </c>
      <c r="F1463" s="10" t="n">
        <f aca="false">WEEKNUM(A1463,2) - WEEKNUM(DATE(YEAR(A1463),MONTH(A1463),1),2) + 1</f>
        <v>1</v>
      </c>
      <c r="G1463" s="10"/>
      <c r="H1463" s="53" t="n">
        <v>952</v>
      </c>
      <c r="I1463" s="51" t="s">
        <v>15</v>
      </c>
      <c r="J1463" s="52" t="s">
        <v>51</v>
      </c>
      <c r="L1463" s="9" t="n">
        <f aca="false">L1462+H1463</f>
        <v>5601</v>
      </c>
      <c r="M1463" s="10" t="str">
        <f aca="false">VLOOKUP(J1463,RECATALOGANDO!A:C,2,0)</f>
        <v>VENTA DE ALIMENTO</v>
      </c>
      <c r="N1463" s="12" t="str">
        <f aca="false">VLOOKUP(M1463,RECATALOGANDO!B:C,2,0)</f>
        <v>VENTA DE PRODUCTO</v>
      </c>
      <c r="O1463" s="2" t="s">
        <v>39</v>
      </c>
    </row>
    <row r="1464" customFormat="false" ht="13.8" hidden="false" customHeight="false" outlineLevel="0" collapsed="false">
      <c r="A1464" s="1" t="n">
        <v>45142</v>
      </c>
      <c r="B1464" s="9" t="n">
        <f aca="false">DAY(A1464)</f>
        <v>4</v>
      </c>
      <c r="C1464" s="9" t="n">
        <f aca="false">MONTH(A1464)</f>
        <v>8</v>
      </c>
      <c r="D1464" s="9" t="n">
        <f aca="false">YEAR(A1464)</f>
        <v>2023</v>
      </c>
      <c r="E1464" s="9" t="n">
        <f aca="false">WEEKDAY(A1464,2)</f>
        <v>5</v>
      </c>
      <c r="F1464" s="10" t="n">
        <f aca="false">WEEKNUM(A1464,2) - WEEKNUM(DATE(YEAR(A1464),MONTH(A1464),1),2) + 1</f>
        <v>1</v>
      </c>
      <c r="G1464" s="10"/>
      <c r="H1464" s="53" t="n">
        <v>750</v>
      </c>
      <c r="I1464" s="51" t="s">
        <v>20</v>
      </c>
      <c r="J1464" s="52" t="s">
        <v>58</v>
      </c>
      <c r="L1464" s="9" t="n">
        <f aca="false">L1463+H1464</f>
        <v>6351</v>
      </c>
      <c r="M1464" s="10" t="str">
        <f aca="false">VLOOKUP(J1464,RECATALOGANDO!A:C,2,0)</f>
        <v>SERVICIO DE LABORATORIO</v>
      </c>
      <c r="N1464" s="12" t="str">
        <f aca="false">VLOOKUP(M1464,RECATALOGANDO!B:C,2,0)</f>
        <v>VENTA DE SERVICIO</v>
      </c>
      <c r="O1464" s="2" t="s">
        <v>39</v>
      </c>
    </row>
    <row r="1465" customFormat="false" ht="13.8" hidden="false" customHeight="false" outlineLevel="0" collapsed="false">
      <c r="A1465" s="1" t="n">
        <v>45142</v>
      </c>
      <c r="B1465" s="9" t="n">
        <f aca="false">DAY(A1465)</f>
        <v>4</v>
      </c>
      <c r="C1465" s="9" t="n">
        <f aca="false">MONTH(A1465)</f>
        <v>8</v>
      </c>
      <c r="D1465" s="9" t="n">
        <f aca="false">YEAR(A1465)</f>
        <v>2023</v>
      </c>
      <c r="E1465" s="9" t="n">
        <f aca="false">WEEKDAY(A1465,2)</f>
        <v>5</v>
      </c>
      <c r="F1465" s="10" t="n">
        <f aca="false">WEEKNUM(A1465,2) - WEEKNUM(DATE(YEAR(A1465),MONTH(A1465),1),2) + 1</f>
        <v>1</v>
      </c>
      <c r="G1465" s="10"/>
      <c r="H1465" s="53" t="n">
        <v>2040</v>
      </c>
      <c r="I1465" s="51" t="s">
        <v>20</v>
      </c>
      <c r="J1465" s="52" t="s">
        <v>58</v>
      </c>
      <c r="L1465" s="9" t="n">
        <f aca="false">L1464+H1465</f>
        <v>8391</v>
      </c>
      <c r="M1465" s="10" t="str">
        <f aca="false">VLOOKUP(J1465,RECATALOGANDO!A:C,2,0)</f>
        <v>SERVICIO DE LABORATORIO</v>
      </c>
      <c r="N1465" s="12" t="str">
        <f aca="false">VLOOKUP(M1465,RECATALOGANDO!B:C,2,0)</f>
        <v>VENTA DE SERVICIO</v>
      </c>
      <c r="O1465" s="2" t="s">
        <v>39</v>
      </c>
    </row>
    <row r="1466" customFormat="false" ht="13.8" hidden="false" customHeight="false" outlineLevel="0" collapsed="false">
      <c r="A1466" s="1" t="n">
        <v>45142</v>
      </c>
      <c r="B1466" s="9" t="n">
        <f aca="false">DAY(A1466)</f>
        <v>4</v>
      </c>
      <c r="C1466" s="9" t="n">
        <f aca="false">MONTH(A1466)</f>
        <v>8</v>
      </c>
      <c r="D1466" s="9" t="n">
        <f aca="false">YEAR(A1466)</f>
        <v>2023</v>
      </c>
      <c r="E1466" s="9" t="n">
        <f aca="false">WEEKDAY(A1466,2)</f>
        <v>5</v>
      </c>
      <c r="F1466" s="10" t="n">
        <f aca="false">WEEKNUM(A1466,2) - WEEKNUM(DATE(YEAR(A1466),MONTH(A1466),1),2) + 1</f>
        <v>1</v>
      </c>
      <c r="G1466" s="10"/>
      <c r="H1466" s="53" t="n">
        <v>500</v>
      </c>
      <c r="I1466" s="51" t="s">
        <v>20</v>
      </c>
      <c r="J1466" s="52" t="s">
        <v>45</v>
      </c>
      <c r="L1466" s="9" t="n">
        <f aca="false">L1465+H1466</f>
        <v>8891</v>
      </c>
      <c r="M1466" s="10" t="str">
        <f aca="false">VLOOKUP(J1466,RECATALOGANDO!A:C,2,0)</f>
        <v>VENTA DE MEDICAMENTO</v>
      </c>
      <c r="N1466" s="12" t="str">
        <f aca="false">VLOOKUP(M1466,RECATALOGANDO!B:C,2,0)</f>
        <v>VENTA DE PRODUCTO</v>
      </c>
      <c r="O1466" s="2" t="s">
        <v>39</v>
      </c>
    </row>
    <row r="1467" customFormat="false" ht="13.8" hidden="false" customHeight="false" outlineLevel="0" collapsed="false">
      <c r="A1467" s="46" t="n">
        <v>45142</v>
      </c>
      <c r="B1467" s="9" t="n">
        <f aca="false">DAY(A1467)</f>
        <v>4</v>
      </c>
      <c r="C1467" s="9" t="n">
        <f aca="false">MONTH(A1467)</f>
        <v>8</v>
      </c>
      <c r="D1467" s="9" t="n">
        <f aca="false">YEAR(A1467)</f>
        <v>2023</v>
      </c>
      <c r="E1467" s="9" t="n">
        <f aca="false">WEEKDAY(A1467,2)</f>
        <v>5</v>
      </c>
      <c r="F1467" s="10" t="n">
        <f aca="false">WEEKNUM(A1467,2) - WEEKNUM(DATE(YEAR(A1467),MONTH(A1467),1),2) + 1</f>
        <v>1</v>
      </c>
      <c r="G1467" s="10"/>
      <c r="H1467" s="54" t="n">
        <v>500</v>
      </c>
      <c r="I1467" s="48" t="s">
        <v>20</v>
      </c>
      <c r="J1467" s="48" t="s">
        <v>35</v>
      </c>
      <c r="L1467" s="9" t="n">
        <f aca="false">L1466+H1467</f>
        <v>9391</v>
      </c>
      <c r="M1467" s="10" t="str">
        <f aca="false">VLOOKUP(J1467,RECATALOGANDO!A:C,2,0)</f>
        <v>TRANSFERENCIA ENTRE CUENTAS</v>
      </c>
      <c r="N1467" s="12" t="str">
        <f aca="false">VLOOKUP(M1467,RECATALOGANDO!B:C,2,0)</f>
        <v>TRANSFERENCIAS</v>
      </c>
      <c r="O1467" s="2" t="s">
        <v>31</v>
      </c>
    </row>
    <row r="1468" customFormat="false" ht="13.8" hidden="false" customHeight="false" outlineLevel="0" collapsed="false">
      <c r="A1468" s="1" t="n">
        <v>45143</v>
      </c>
      <c r="B1468" s="9" t="n">
        <f aca="false">DAY(A1468)</f>
        <v>5</v>
      </c>
      <c r="C1468" s="9" t="n">
        <f aca="false">MONTH(A1468)</f>
        <v>8</v>
      </c>
      <c r="D1468" s="9" t="n">
        <f aca="false">YEAR(A1468)</f>
        <v>2023</v>
      </c>
      <c r="E1468" s="9" t="n">
        <f aca="false">WEEKDAY(A1468,2)</f>
        <v>6</v>
      </c>
      <c r="F1468" s="10" t="n">
        <f aca="false">WEEKNUM(A1468,2) - WEEKNUM(DATE(YEAR(A1468),MONTH(A1468),1),2) + 1</f>
        <v>1</v>
      </c>
      <c r="G1468" s="10"/>
      <c r="H1468" s="53" t="n">
        <v>1000</v>
      </c>
      <c r="I1468" s="55" t="s">
        <v>15</v>
      </c>
      <c r="J1468" s="56" t="s">
        <v>62</v>
      </c>
      <c r="L1468" s="9" t="n">
        <f aca="false">L1467+H1468</f>
        <v>10391</v>
      </c>
      <c r="M1468" s="10" t="str">
        <f aca="false">VLOOKUP(J1468,RECATALOGANDO!A:C,2,0)</f>
        <v>SERVICIO DE IMAGEN</v>
      </c>
      <c r="N1468" s="12" t="str">
        <f aca="false">VLOOKUP(M1468,RECATALOGANDO!B:C,2,0)</f>
        <v>VENTA DE SERVICIO</v>
      </c>
      <c r="O1468" s="2" t="s">
        <v>39</v>
      </c>
    </row>
    <row r="1469" customFormat="false" ht="13.8" hidden="false" customHeight="false" outlineLevel="0" collapsed="false">
      <c r="A1469" s="1" t="n">
        <v>45143</v>
      </c>
      <c r="B1469" s="9" t="n">
        <f aca="false">DAY(A1469)</f>
        <v>5</v>
      </c>
      <c r="C1469" s="9" t="n">
        <f aca="false">MONTH(A1469)</f>
        <v>8</v>
      </c>
      <c r="D1469" s="9" t="n">
        <f aca="false">YEAR(A1469)</f>
        <v>2023</v>
      </c>
      <c r="E1469" s="9" t="n">
        <f aca="false">WEEKDAY(A1469,2)</f>
        <v>6</v>
      </c>
      <c r="F1469" s="10" t="n">
        <f aca="false">WEEKNUM(A1469,2) - WEEKNUM(DATE(YEAR(A1469),MONTH(A1469),1),2) + 1</f>
        <v>1</v>
      </c>
      <c r="G1469" s="10"/>
      <c r="H1469" s="53" t="n">
        <v>761.8</v>
      </c>
      <c r="I1469" s="55" t="s">
        <v>15</v>
      </c>
      <c r="J1469" s="52" t="s">
        <v>53</v>
      </c>
      <c r="L1469" s="9" t="n">
        <f aca="false">L1468+H1469</f>
        <v>11152.8</v>
      </c>
      <c r="M1469" s="10" t="str">
        <f aca="false">VLOOKUP(J1469,RECATALOGANDO!A:C,2,0)</f>
        <v>SERVICIO DE GROOMING</v>
      </c>
      <c r="N1469" s="12" t="str">
        <f aca="false">VLOOKUP(M1469,RECATALOGANDO!B:C,2,0)</f>
        <v>VENTA DE SERVICIO</v>
      </c>
      <c r="O1469" s="2" t="s">
        <v>39</v>
      </c>
    </row>
    <row r="1470" customFormat="false" ht="13.8" hidden="false" customHeight="false" outlineLevel="0" collapsed="false">
      <c r="A1470" s="1" t="n">
        <v>45146</v>
      </c>
      <c r="B1470" s="9" t="n">
        <f aca="false">DAY(A1470)</f>
        <v>8</v>
      </c>
      <c r="C1470" s="9" t="n">
        <f aca="false">MONTH(A1470)</f>
        <v>8</v>
      </c>
      <c r="D1470" s="9" t="n">
        <f aca="false">YEAR(A1470)</f>
        <v>2023</v>
      </c>
      <c r="E1470" s="9" t="n">
        <f aca="false">WEEKDAY(A1470,2)</f>
        <v>2</v>
      </c>
      <c r="F1470" s="10" t="n">
        <f aca="false">WEEKNUM(A1470,2) - WEEKNUM(DATE(YEAR(A1470),MONTH(A1470),1),2) + 1</f>
        <v>2</v>
      </c>
      <c r="G1470" s="10"/>
      <c r="H1470" s="53" t="n">
        <v>1800</v>
      </c>
      <c r="I1470" s="2" t="s">
        <v>20</v>
      </c>
      <c r="J1470" s="52" t="s">
        <v>41</v>
      </c>
      <c r="L1470" s="9" t="n">
        <f aca="false">L1469+H1470</f>
        <v>12952.8</v>
      </c>
      <c r="M1470" s="10" t="str">
        <f aca="false">VLOOKUP(J1470,RECATALOGANDO!A:C,2,0)</f>
        <v>HONORARIOS QUIRURGICOS</v>
      </c>
      <c r="N1470" s="12" t="str">
        <f aca="false">VLOOKUP(M1470,RECATALOGANDO!B:C,2,0)</f>
        <v>VENTA DE SERVICIO</v>
      </c>
      <c r="O1470" s="2" t="s">
        <v>39</v>
      </c>
    </row>
    <row r="1471" customFormat="false" ht="13.8" hidden="false" customHeight="false" outlineLevel="0" collapsed="false">
      <c r="A1471" s="1" t="n">
        <v>45146</v>
      </c>
      <c r="B1471" s="9" t="n">
        <f aca="false">DAY(A1471)</f>
        <v>8</v>
      </c>
      <c r="C1471" s="9" t="n">
        <f aca="false">MONTH(A1471)</f>
        <v>8</v>
      </c>
      <c r="D1471" s="9" t="n">
        <f aca="false">YEAR(A1471)</f>
        <v>2023</v>
      </c>
      <c r="E1471" s="9" t="n">
        <f aca="false">WEEKDAY(A1471,2)</f>
        <v>2</v>
      </c>
      <c r="F1471" s="10" t="n">
        <f aca="false">WEEKNUM(A1471,2) - WEEKNUM(DATE(YEAR(A1471),MONTH(A1471),1),2) + 1</f>
        <v>2</v>
      </c>
      <c r="G1471" s="10"/>
      <c r="H1471" s="53" t="n">
        <v>1625</v>
      </c>
      <c r="I1471" s="2" t="s">
        <v>20</v>
      </c>
      <c r="J1471" s="52" t="s">
        <v>58</v>
      </c>
      <c r="L1471" s="9" t="n">
        <f aca="false">L1470+H1471</f>
        <v>14577.8</v>
      </c>
      <c r="M1471" s="10" t="str">
        <f aca="false">VLOOKUP(J1471,RECATALOGANDO!A:C,2,0)</f>
        <v>SERVICIO DE LABORATORIO</v>
      </c>
      <c r="N1471" s="12" t="str">
        <f aca="false">VLOOKUP(M1471,RECATALOGANDO!B:C,2,0)</f>
        <v>VENTA DE SERVICIO</v>
      </c>
      <c r="O1471" s="2" t="s">
        <v>39</v>
      </c>
    </row>
    <row r="1472" customFormat="false" ht="13.8" hidden="false" customHeight="false" outlineLevel="0" collapsed="false">
      <c r="A1472" s="1" t="n">
        <v>45146</v>
      </c>
      <c r="B1472" s="9" t="n">
        <f aca="false">DAY(A1472)</f>
        <v>8</v>
      </c>
      <c r="C1472" s="9" t="n">
        <f aca="false">MONTH(A1472)</f>
        <v>8</v>
      </c>
      <c r="D1472" s="9" t="n">
        <f aca="false">YEAR(A1472)</f>
        <v>2023</v>
      </c>
      <c r="E1472" s="9" t="n">
        <f aca="false">WEEKDAY(A1472,2)</f>
        <v>2</v>
      </c>
      <c r="F1472" s="10" t="n">
        <f aca="false">WEEKNUM(A1472,2) - WEEKNUM(DATE(YEAR(A1472),MONTH(A1472),1),2) + 1</f>
        <v>2</v>
      </c>
      <c r="G1472" s="10"/>
      <c r="H1472" s="53" t="n">
        <v>277</v>
      </c>
      <c r="I1472" s="55" t="s">
        <v>15</v>
      </c>
      <c r="J1472" s="52" t="s">
        <v>49</v>
      </c>
      <c r="L1472" s="9" t="n">
        <f aca="false">L1471+H1472</f>
        <v>14854.8</v>
      </c>
      <c r="M1472" s="10" t="str">
        <f aca="false">VLOOKUP(J1472,RECATALOGANDO!A:C,2,0)</f>
        <v>SERVICIO DE GROOMING</v>
      </c>
      <c r="N1472" s="12" t="str">
        <f aca="false">VLOOKUP(M1472,RECATALOGANDO!B:C,2,0)</f>
        <v>VENTA DE SERVICIO</v>
      </c>
      <c r="O1472" s="2" t="s">
        <v>39</v>
      </c>
    </row>
    <row r="1473" customFormat="false" ht="13.8" hidden="false" customHeight="false" outlineLevel="0" collapsed="false">
      <c r="A1473" s="1" t="n">
        <v>45147</v>
      </c>
      <c r="B1473" s="9" t="n">
        <f aca="false">DAY(A1473)</f>
        <v>9</v>
      </c>
      <c r="C1473" s="9" t="n">
        <f aca="false">MONTH(A1473)</f>
        <v>8</v>
      </c>
      <c r="D1473" s="9" t="n">
        <f aca="false">YEAR(A1473)</f>
        <v>2023</v>
      </c>
      <c r="E1473" s="9" t="n">
        <f aca="false">WEEKDAY(A1473,2)</f>
        <v>3</v>
      </c>
      <c r="F1473" s="10" t="n">
        <f aca="false">WEEKNUM(A1473,2) - WEEKNUM(DATE(YEAR(A1473),MONTH(A1473),1),2) + 1</f>
        <v>2</v>
      </c>
      <c r="G1473" s="10"/>
      <c r="H1473" s="53" t="n">
        <v>600</v>
      </c>
      <c r="I1473" s="55" t="s">
        <v>15</v>
      </c>
      <c r="J1473" s="52" t="s">
        <v>44</v>
      </c>
      <c r="L1473" s="9" t="n">
        <f aca="false">L1472+H1473</f>
        <v>15454.8</v>
      </c>
      <c r="M1473" s="10" t="str">
        <f aca="false">VLOOKUP(J1473,RECATALOGANDO!A:C,2,0)</f>
        <v>HONORARIOS MEDICOS</v>
      </c>
      <c r="N1473" s="12" t="str">
        <f aca="false">VLOOKUP(M1473,RECATALOGANDO!B:C,2,0)</f>
        <v>VENTA DE SERVICIO</v>
      </c>
      <c r="O1473" s="2" t="s">
        <v>39</v>
      </c>
    </row>
    <row r="1474" customFormat="false" ht="13.8" hidden="false" customHeight="false" outlineLevel="0" collapsed="false">
      <c r="A1474" s="1" t="n">
        <v>45147</v>
      </c>
      <c r="B1474" s="9" t="n">
        <f aca="false">DAY(A1474)</f>
        <v>9</v>
      </c>
      <c r="C1474" s="9" t="n">
        <f aca="false">MONTH(A1474)</f>
        <v>8</v>
      </c>
      <c r="D1474" s="9" t="n">
        <f aca="false">YEAR(A1474)</f>
        <v>2023</v>
      </c>
      <c r="E1474" s="9" t="n">
        <f aca="false">WEEKDAY(A1474,2)</f>
        <v>3</v>
      </c>
      <c r="F1474" s="10" t="n">
        <f aca="false">WEEKNUM(A1474,2) - WEEKNUM(DATE(YEAR(A1474),MONTH(A1474),1),2) + 1</f>
        <v>2</v>
      </c>
      <c r="G1474" s="10"/>
      <c r="H1474" s="53" t="n">
        <v>1050</v>
      </c>
      <c r="I1474" s="2" t="s">
        <v>20</v>
      </c>
      <c r="J1474" s="52" t="s">
        <v>58</v>
      </c>
      <c r="L1474" s="9" t="n">
        <f aca="false">L1473+H1474</f>
        <v>16504.8</v>
      </c>
      <c r="M1474" s="10" t="str">
        <f aca="false">VLOOKUP(J1474,RECATALOGANDO!A:C,2,0)</f>
        <v>SERVICIO DE LABORATORIO</v>
      </c>
      <c r="N1474" s="12" t="str">
        <f aca="false">VLOOKUP(M1474,RECATALOGANDO!B:C,2,0)</f>
        <v>VENTA DE SERVICIO</v>
      </c>
      <c r="O1474" s="2" t="s">
        <v>39</v>
      </c>
    </row>
    <row r="1475" customFormat="false" ht="13.8" hidden="false" customHeight="false" outlineLevel="0" collapsed="false">
      <c r="A1475" s="1" t="n">
        <v>45147</v>
      </c>
      <c r="B1475" s="9" t="n">
        <f aca="false">DAY(A1475)</f>
        <v>9</v>
      </c>
      <c r="C1475" s="9" t="n">
        <f aca="false">MONTH(A1475)</f>
        <v>8</v>
      </c>
      <c r="D1475" s="9" t="n">
        <f aca="false">YEAR(A1475)</f>
        <v>2023</v>
      </c>
      <c r="E1475" s="9" t="n">
        <f aca="false">WEEKDAY(A1475,2)</f>
        <v>3</v>
      </c>
      <c r="F1475" s="10" t="n">
        <f aca="false">WEEKNUM(A1475,2) - WEEKNUM(DATE(YEAR(A1475),MONTH(A1475),1),2) + 1</f>
        <v>2</v>
      </c>
      <c r="G1475" s="10"/>
      <c r="H1475" s="53" t="n">
        <v>429</v>
      </c>
      <c r="I1475" s="55" t="s">
        <v>15</v>
      </c>
      <c r="J1475" s="52" t="s">
        <v>51</v>
      </c>
      <c r="L1475" s="9" t="n">
        <f aca="false">L1474+H1475</f>
        <v>16933.8</v>
      </c>
      <c r="M1475" s="10" t="str">
        <f aca="false">VLOOKUP(J1475,RECATALOGANDO!A:C,2,0)</f>
        <v>VENTA DE ALIMENTO</v>
      </c>
      <c r="N1475" s="12" t="str">
        <f aca="false">VLOOKUP(M1475,RECATALOGANDO!B:C,2,0)</f>
        <v>VENTA DE PRODUCTO</v>
      </c>
      <c r="O1475" s="2" t="s">
        <v>39</v>
      </c>
    </row>
    <row r="1476" customFormat="false" ht="13.8" hidden="false" customHeight="false" outlineLevel="0" collapsed="false">
      <c r="A1476" s="1" t="n">
        <v>45147</v>
      </c>
      <c r="B1476" s="9" t="n">
        <f aca="false">DAY(A1476)</f>
        <v>9</v>
      </c>
      <c r="C1476" s="9" t="n">
        <f aca="false">MONTH(A1476)</f>
        <v>8</v>
      </c>
      <c r="D1476" s="9" t="n">
        <f aca="false">YEAR(A1476)</f>
        <v>2023</v>
      </c>
      <c r="E1476" s="9" t="n">
        <f aca="false">WEEKDAY(A1476,2)</f>
        <v>3</v>
      </c>
      <c r="F1476" s="10" t="n">
        <f aca="false">WEEKNUM(A1476,2) - WEEKNUM(DATE(YEAR(A1476),MONTH(A1476),1),2) + 1</f>
        <v>2</v>
      </c>
      <c r="G1476" s="10"/>
      <c r="H1476" s="53" t="n">
        <v>200</v>
      </c>
      <c r="I1476" s="55" t="s">
        <v>15</v>
      </c>
      <c r="J1476" s="52" t="s">
        <v>49</v>
      </c>
      <c r="L1476" s="9" t="n">
        <f aca="false">L1475+H1476</f>
        <v>17133.8</v>
      </c>
      <c r="M1476" s="10" t="str">
        <f aca="false">VLOOKUP(J1476,RECATALOGANDO!A:C,2,0)</f>
        <v>SERVICIO DE GROOMING</v>
      </c>
      <c r="N1476" s="12" t="str">
        <f aca="false">VLOOKUP(M1476,RECATALOGANDO!B:C,2,0)</f>
        <v>VENTA DE SERVICIO</v>
      </c>
      <c r="O1476" s="2" t="s">
        <v>39</v>
      </c>
    </row>
    <row r="1477" customFormat="false" ht="13.8" hidden="false" customHeight="false" outlineLevel="0" collapsed="false">
      <c r="A1477" s="1" t="n">
        <v>45148</v>
      </c>
      <c r="B1477" s="9" t="n">
        <f aca="false">DAY(A1477)</f>
        <v>10</v>
      </c>
      <c r="C1477" s="9" t="n">
        <f aca="false">MONTH(A1477)</f>
        <v>8</v>
      </c>
      <c r="D1477" s="9" t="n">
        <f aca="false">YEAR(A1477)</f>
        <v>2023</v>
      </c>
      <c r="E1477" s="9" t="n">
        <f aca="false">WEEKDAY(A1477,2)</f>
        <v>4</v>
      </c>
      <c r="F1477" s="10" t="n">
        <f aca="false">WEEKNUM(A1477,2) - WEEKNUM(DATE(YEAR(A1477),MONTH(A1477),1),2) + 1</f>
        <v>2</v>
      </c>
      <c r="G1477" s="10"/>
      <c r="H1477" s="53" t="n">
        <v>1340</v>
      </c>
      <c r="I1477" s="2" t="s">
        <v>20</v>
      </c>
      <c r="J1477" s="52" t="s">
        <v>45</v>
      </c>
      <c r="L1477" s="9" t="n">
        <f aca="false">L1476+H1477</f>
        <v>18473.8</v>
      </c>
      <c r="M1477" s="10" t="str">
        <f aca="false">VLOOKUP(J1477,RECATALOGANDO!A:C,2,0)</f>
        <v>VENTA DE MEDICAMENTO</v>
      </c>
      <c r="N1477" s="12" t="str">
        <f aca="false">VLOOKUP(M1477,RECATALOGANDO!B:C,2,0)</f>
        <v>VENTA DE PRODUCTO</v>
      </c>
      <c r="O1477" s="2" t="s">
        <v>39</v>
      </c>
    </row>
    <row r="1478" customFormat="false" ht="13.8" hidden="false" customHeight="false" outlineLevel="0" collapsed="false">
      <c r="A1478" s="1" t="n">
        <v>45148</v>
      </c>
      <c r="B1478" s="9" t="n">
        <f aca="false">DAY(A1478)</f>
        <v>10</v>
      </c>
      <c r="C1478" s="9" t="n">
        <f aca="false">MONTH(A1478)</f>
        <v>8</v>
      </c>
      <c r="D1478" s="9" t="n">
        <f aca="false">YEAR(A1478)</f>
        <v>2023</v>
      </c>
      <c r="E1478" s="9" t="n">
        <f aca="false">WEEKDAY(A1478,2)</f>
        <v>4</v>
      </c>
      <c r="F1478" s="10" t="n">
        <f aca="false">WEEKNUM(A1478,2) - WEEKNUM(DATE(YEAR(A1478),MONTH(A1478),1),2) + 1</f>
        <v>2</v>
      </c>
      <c r="G1478" s="10"/>
      <c r="H1478" s="53" t="n">
        <v>1340</v>
      </c>
      <c r="I1478" s="2" t="s">
        <v>20</v>
      </c>
      <c r="J1478" s="52" t="s">
        <v>45</v>
      </c>
      <c r="L1478" s="9" t="n">
        <f aca="false">L1477+H1478</f>
        <v>19813.8</v>
      </c>
      <c r="M1478" s="10" t="str">
        <f aca="false">VLOOKUP(J1478,RECATALOGANDO!A:C,2,0)</f>
        <v>VENTA DE MEDICAMENTO</v>
      </c>
      <c r="N1478" s="12" t="str">
        <f aca="false">VLOOKUP(M1478,RECATALOGANDO!B:C,2,0)</f>
        <v>VENTA DE PRODUCTO</v>
      </c>
      <c r="O1478" s="2" t="s">
        <v>39</v>
      </c>
    </row>
    <row r="1479" customFormat="false" ht="13.8" hidden="false" customHeight="false" outlineLevel="0" collapsed="false">
      <c r="A1479" s="1" t="n">
        <v>45148</v>
      </c>
      <c r="B1479" s="9" t="n">
        <f aca="false">DAY(A1479)</f>
        <v>10</v>
      </c>
      <c r="C1479" s="9" t="n">
        <f aca="false">MONTH(A1479)</f>
        <v>8</v>
      </c>
      <c r="D1479" s="9" t="n">
        <f aca="false">YEAR(A1479)</f>
        <v>2023</v>
      </c>
      <c r="E1479" s="9" t="n">
        <f aca="false">WEEKDAY(A1479,2)</f>
        <v>4</v>
      </c>
      <c r="F1479" s="10" t="n">
        <f aca="false">WEEKNUM(A1479,2) - WEEKNUM(DATE(YEAR(A1479),MONTH(A1479),1),2) + 1</f>
        <v>2</v>
      </c>
      <c r="G1479" s="10"/>
      <c r="H1479" s="53" t="n">
        <v>565.36</v>
      </c>
      <c r="I1479" s="55" t="s">
        <v>15</v>
      </c>
      <c r="J1479" s="52" t="s">
        <v>58</v>
      </c>
      <c r="L1479" s="9" t="n">
        <f aca="false">L1478+H1479</f>
        <v>20379.16</v>
      </c>
      <c r="M1479" s="10" t="str">
        <f aca="false">VLOOKUP(J1479,RECATALOGANDO!A:C,2,0)</f>
        <v>SERVICIO DE LABORATORIO</v>
      </c>
      <c r="N1479" s="12" t="str">
        <f aca="false">VLOOKUP(M1479,RECATALOGANDO!B:C,2,0)</f>
        <v>VENTA DE SERVICIO</v>
      </c>
      <c r="O1479" s="2" t="s">
        <v>39</v>
      </c>
    </row>
    <row r="1480" customFormat="false" ht="13.8" hidden="false" customHeight="false" outlineLevel="0" collapsed="false">
      <c r="A1480" s="1" t="n">
        <v>45148</v>
      </c>
      <c r="B1480" s="9" t="n">
        <f aca="false">DAY(A1480)</f>
        <v>10</v>
      </c>
      <c r="C1480" s="9" t="n">
        <f aca="false">MONTH(A1480)</f>
        <v>8</v>
      </c>
      <c r="D1480" s="9" t="n">
        <f aca="false">YEAR(A1480)</f>
        <v>2023</v>
      </c>
      <c r="E1480" s="9" t="n">
        <f aca="false">WEEKDAY(A1480,2)</f>
        <v>4</v>
      </c>
      <c r="F1480" s="10" t="n">
        <f aca="false">WEEKNUM(A1480,2) - WEEKNUM(DATE(YEAR(A1480),MONTH(A1480),1),2) + 1</f>
        <v>2</v>
      </c>
      <c r="G1480" s="10"/>
      <c r="H1480" s="53" t="n">
        <v>170</v>
      </c>
      <c r="I1480" s="55" t="s">
        <v>15</v>
      </c>
      <c r="J1480" s="52" t="s">
        <v>49</v>
      </c>
      <c r="L1480" s="9" t="n">
        <f aca="false">L1479+H1480</f>
        <v>20549.16</v>
      </c>
      <c r="M1480" s="10" t="str">
        <f aca="false">VLOOKUP(J1480,RECATALOGANDO!A:C,2,0)</f>
        <v>SERVICIO DE GROOMING</v>
      </c>
      <c r="N1480" s="12" t="str">
        <f aca="false">VLOOKUP(M1480,RECATALOGANDO!B:C,2,0)</f>
        <v>VENTA DE SERVICIO</v>
      </c>
      <c r="O1480" s="2" t="s">
        <v>39</v>
      </c>
    </row>
    <row r="1481" customFormat="false" ht="13.8" hidden="false" customHeight="false" outlineLevel="0" collapsed="false">
      <c r="A1481" s="46" t="n">
        <v>45149</v>
      </c>
      <c r="B1481" s="9" t="n">
        <f aca="false">DAY(A1481)</f>
        <v>11</v>
      </c>
      <c r="C1481" s="9" t="n">
        <f aca="false">MONTH(A1481)</f>
        <v>8</v>
      </c>
      <c r="D1481" s="9" t="n">
        <f aca="false">YEAR(A1481)</f>
        <v>2023</v>
      </c>
      <c r="E1481" s="9" t="n">
        <f aca="false">WEEKDAY(A1481,2)</f>
        <v>5</v>
      </c>
      <c r="F1481" s="10" t="n">
        <f aca="false">WEEKNUM(A1481,2) - WEEKNUM(DATE(YEAR(A1481),MONTH(A1481),1),2) + 1</f>
        <v>2</v>
      </c>
      <c r="G1481" s="10"/>
      <c r="H1481" s="54" t="n">
        <v>800</v>
      </c>
      <c r="I1481" s="48" t="s">
        <v>20</v>
      </c>
      <c r="J1481" s="48" t="s">
        <v>35</v>
      </c>
      <c r="L1481" s="9" t="n">
        <f aca="false">L1480+H1481</f>
        <v>21349.16</v>
      </c>
      <c r="M1481" s="10" t="str">
        <f aca="false">VLOOKUP(J1481,RECATALOGANDO!A:C,2,0)</f>
        <v>TRANSFERENCIA ENTRE CUENTAS</v>
      </c>
      <c r="N1481" s="12" t="str">
        <f aca="false">VLOOKUP(M1481,RECATALOGANDO!B:C,2,0)</f>
        <v>TRANSFERENCIAS</v>
      </c>
      <c r="O1481" s="2" t="s">
        <v>31</v>
      </c>
    </row>
    <row r="1482" customFormat="false" ht="13.8" hidden="false" customHeight="false" outlineLevel="0" collapsed="false">
      <c r="A1482" s="1" t="n">
        <v>45151</v>
      </c>
      <c r="B1482" s="9" t="n">
        <f aca="false">DAY(A1482)</f>
        <v>13</v>
      </c>
      <c r="C1482" s="9" t="n">
        <f aca="false">MONTH(A1482)</f>
        <v>8</v>
      </c>
      <c r="D1482" s="9" t="n">
        <f aca="false">YEAR(A1482)</f>
        <v>2023</v>
      </c>
      <c r="E1482" s="9" t="n">
        <f aca="false">WEEKDAY(A1482,2)</f>
        <v>7</v>
      </c>
      <c r="F1482" s="10" t="n">
        <f aca="false">WEEKNUM(A1482,2) - WEEKNUM(DATE(YEAR(A1482),MONTH(A1482),1),2) + 1</f>
        <v>2</v>
      </c>
      <c r="G1482" s="10"/>
      <c r="H1482" s="53" t="n">
        <v>1985.46</v>
      </c>
      <c r="I1482" s="55" t="s">
        <v>15</v>
      </c>
      <c r="J1482" s="52" t="s">
        <v>51</v>
      </c>
      <c r="L1482" s="9" t="n">
        <f aca="false">L1481+H1482</f>
        <v>23334.62</v>
      </c>
      <c r="M1482" s="10" t="str">
        <f aca="false">VLOOKUP(J1482,RECATALOGANDO!A:C,2,0)</f>
        <v>VENTA DE ALIMENTO</v>
      </c>
      <c r="N1482" s="12" t="str">
        <f aca="false">VLOOKUP(M1482,RECATALOGANDO!B:C,2,0)</f>
        <v>VENTA DE PRODUCTO</v>
      </c>
      <c r="O1482" s="2" t="s">
        <v>39</v>
      </c>
    </row>
    <row r="1483" customFormat="false" ht="13.8" hidden="false" customHeight="false" outlineLevel="0" collapsed="false">
      <c r="A1483" s="1" t="n">
        <v>45152</v>
      </c>
      <c r="B1483" s="9" t="n">
        <f aca="false">DAY(A1483)</f>
        <v>14</v>
      </c>
      <c r="C1483" s="9" t="n">
        <f aca="false">MONTH(A1483)</f>
        <v>8</v>
      </c>
      <c r="D1483" s="9" t="n">
        <f aca="false">YEAR(A1483)</f>
        <v>2023</v>
      </c>
      <c r="E1483" s="9" t="n">
        <f aca="false">WEEKDAY(A1483,2)</f>
        <v>1</v>
      </c>
      <c r="F1483" s="10" t="n">
        <f aca="false">WEEKNUM(A1483,2) - WEEKNUM(DATE(YEAR(A1483),MONTH(A1483),1),2) + 1</f>
        <v>3</v>
      </c>
      <c r="G1483" s="10"/>
      <c r="H1483" s="53" t="n">
        <v>600</v>
      </c>
      <c r="I1483" s="2" t="s">
        <v>20</v>
      </c>
      <c r="J1483" s="52" t="s">
        <v>44</v>
      </c>
      <c r="L1483" s="9" t="n">
        <f aca="false">L1482+H1483</f>
        <v>23934.62</v>
      </c>
      <c r="M1483" s="10" t="str">
        <f aca="false">VLOOKUP(J1483,RECATALOGANDO!A:C,2,0)</f>
        <v>HONORARIOS MEDICOS</v>
      </c>
      <c r="N1483" s="12" t="str">
        <f aca="false">VLOOKUP(M1483,RECATALOGANDO!B:C,2,0)</f>
        <v>VENTA DE SERVICIO</v>
      </c>
      <c r="O1483" s="2" t="s">
        <v>39</v>
      </c>
    </row>
    <row r="1484" customFormat="false" ht="13.8" hidden="false" customHeight="false" outlineLevel="0" collapsed="false">
      <c r="A1484" s="1" t="n">
        <v>45152</v>
      </c>
      <c r="B1484" s="9" t="n">
        <f aca="false">DAY(A1484)</f>
        <v>14</v>
      </c>
      <c r="C1484" s="9" t="n">
        <f aca="false">MONTH(A1484)</f>
        <v>8</v>
      </c>
      <c r="D1484" s="9" t="n">
        <f aca="false">YEAR(A1484)</f>
        <v>2023</v>
      </c>
      <c r="E1484" s="9" t="n">
        <f aca="false">WEEKDAY(A1484,2)</f>
        <v>1</v>
      </c>
      <c r="F1484" s="10" t="n">
        <f aca="false">WEEKNUM(A1484,2) - WEEKNUM(DATE(YEAR(A1484),MONTH(A1484),1),2) + 1</f>
        <v>3</v>
      </c>
      <c r="G1484" s="10"/>
      <c r="H1484" s="53" t="n">
        <v>340</v>
      </c>
      <c r="I1484" s="55" t="s">
        <v>20</v>
      </c>
      <c r="J1484" s="52" t="s">
        <v>44</v>
      </c>
      <c r="L1484" s="9" t="n">
        <f aca="false">L1483+H1484</f>
        <v>24274.62</v>
      </c>
      <c r="M1484" s="10" t="str">
        <f aca="false">VLOOKUP(J1484,RECATALOGANDO!A:C,2,0)</f>
        <v>HONORARIOS MEDICOS</v>
      </c>
      <c r="N1484" s="12" t="str">
        <f aca="false">VLOOKUP(M1484,RECATALOGANDO!B:C,2,0)</f>
        <v>VENTA DE SERVICIO</v>
      </c>
      <c r="O1484" s="2" t="s">
        <v>39</v>
      </c>
    </row>
    <row r="1485" customFormat="false" ht="13.8" hidden="false" customHeight="false" outlineLevel="0" collapsed="false">
      <c r="A1485" s="1" t="n">
        <v>45153</v>
      </c>
      <c r="B1485" s="9" t="n">
        <f aca="false">DAY(A1485)</f>
        <v>15</v>
      </c>
      <c r="C1485" s="9" t="n">
        <f aca="false">MONTH(A1485)</f>
        <v>8</v>
      </c>
      <c r="D1485" s="9" t="n">
        <f aca="false">YEAR(A1485)</f>
        <v>2023</v>
      </c>
      <c r="E1485" s="9" t="n">
        <f aca="false">WEEKDAY(A1485,2)</f>
        <v>2</v>
      </c>
      <c r="F1485" s="10" t="n">
        <f aca="false">WEEKNUM(A1485,2) - WEEKNUM(DATE(YEAR(A1485),MONTH(A1485),1),2) + 1</f>
        <v>3</v>
      </c>
      <c r="G1485" s="10"/>
      <c r="H1485" s="53" t="n">
        <v>5000</v>
      </c>
      <c r="I1485" s="55" t="s">
        <v>20</v>
      </c>
      <c r="J1485" s="52" t="s">
        <v>41</v>
      </c>
      <c r="L1485" s="9" t="n">
        <f aca="false">L1484+H1485</f>
        <v>29274.62</v>
      </c>
      <c r="M1485" s="10" t="str">
        <f aca="false">VLOOKUP(J1485,RECATALOGANDO!A:C,2,0)</f>
        <v>HONORARIOS QUIRURGICOS</v>
      </c>
      <c r="N1485" s="12" t="str">
        <f aca="false">VLOOKUP(M1485,RECATALOGANDO!B:C,2,0)</f>
        <v>VENTA DE SERVICIO</v>
      </c>
      <c r="O1485" s="2" t="s">
        <v>39</v>
      </c>
    </row>
    <row r="1486" customFormat="false" ht="13.8" hidden="false" customHeight="false" outlineLevel="0" collapsed="false">
      <c r="A1486" s="1" t="n">
        <v>45154</v>
      </c>
      <c r="B1486" s="9" t="n">
        <f aca="false">DAY(A1486)</f>
        <v>16</v>
      </c>
      <c r="C1486" s="9" t="n">
        <f aca="false">MONTH(A1486)</f>
        <v>8</v>
      </c>
      <c r="D1486" s="9" t="n">
        <f aca="false">YEAR(A1486)</f>
        <v>2023</v>
      </c>
      <c r="E1486" s="9" t="n">
        <f aca="false">WEEKDAY(A1486,2)</f>
        <v>3</v>
      </c>
      <c r="F1486" s="10" t="n">
        <f aca="false">WEEKNUM(A1486,2) - WEEKNUM(DATE(YEAR(A1486),MONTH(A1486),1),2) + 1</f>
        <v>3</v>
      </c>
      <c r="G1486" s="10"/>
      <c r="H1486" s="53" t="n">
        <v>1050</v>
      </c>
      <c r="I1486" s="55" t="s">
        <v>20</v>
      </c>
      <c r="J1486" s="52" t="s">
        <v>45</v>
      </c>
      <c r="L1486" s="9" t="n">
        <f aca="false">L1485+H1486</f>
        <v>30324.62</v>
      </c>
      <c r="M1486" s="10" t="str">
        <f aca="false">VLOOKUP(J1486,RECATALOGANDO!A:C,2,0)</f>
        <v>VENTA DE MEDICAMENTO</v>
      </c>
      <c r="N1486" s="12" t="str">
        <f aca="false">VLOOKUP(M1486,RECATALOGANDO!B:C,2,0)</f>
        <v>VENTA DE PRODUCTO</v>
      </c>
      <c r="O1486" s="2" t="s">
        <v>39</v>
      </c>
    </row>
    <row r="1487" customFormat="false" ht="13.8" hidden="false" customHeight="false" outlineLevel="0" collapsed="false">
      <c r="A1487" s="1" t="n">
        <v>45155</v>
      </c>
      <c r="B1487" s="9" t="n">
        <f aca="false">DAY(A1487)</f>
        <v>17</v>
      </c>
      <c r="C1487" s="9" t="n">
        <f aca="false">MONTH(A1487)</f>
        <v>8</v>
      </c>
      <c r="D1487" s="9" t="n">
        <f aca="false">YEAR(A1487)</f>
        <v>2023</v>
      </c>
      <c r="E1487" s="9" t="n">
        <f aca="false">WEEKDAY(A1487,2)</f>
        <v>4</v>
      </c>
      <c r="F1487" s="10" t="n">
        <f aca="false">WEEKNUM(A1487,2) - WEEKNUM(DATE(YEAR(A1487),MONTH(A1487),1),2) + 1</f>
        <v>3</v>
      </c>
      <c r="G1487" s="10"/>
      <c r="H1487" s="53" t="n">
        <v>330</v>
      </c>
      <c r="I1487" s="55" t="s">
        <v>20</v>
      </c>
      <c r="J1487" s="52" t="s">
        <v>53</v>
      </c>
      <c r="L1487" s="9" t="n">
        <f aca="false">L1486+H1487</f>
        <v>30654.62</v>
      </c>
      <c r="M1487" s="10" t="str">
        <f aca="false">VLOOKUP(J1487,RECATALOGANDO!A:C,2,0)</f>
        <v>SERVICIO DE GROOMING</v>
      </c>
      <c r="N1487" s="12" t="str">
        <f aca="false">VLOOKUP(M1487,RECATALOGANDO!B:C,2,0)</f>
        <v>VENTA DE SERVICIO</v>
      </c>
      <c r="O1487" s="2" t="s">
        <v>39</v>
      </c>
    </row>
    <row r="1488" customFormat="false" ht="13.8" hidden="false" customHeight="false" outlineLevel="0" collapsed="false">
      <c r="A1488" s="1" t="n">
        <v>45155</v>
      </c>
      <c r="B1488" s="9" t="n">
        <f aca="false">DAY(A1488)</f>
        <v>17</v>
      </c>
      <c r="C1488" s="9" t="n">
        <f aca="false">MONTH(A1488)</f>
        <v>8</v>
      </c>
      <c r="D1488" s="9" t="n">
        <f aca="false">YEAR(A1488)</f>
        <v>2023</v>
      </c>
      <c r="E1488" s="9" t="n">
        <f aca="false">WEEKDAY(A1488,2)</f>
        <v>4</v>
      </c>
      <c r="F1488" s="10" t="n">
        <f aca="false">WEEKNUM(A1488,2) - WEEKNUM(DATE(YEAR(A1488),MONTH(A1488),1),2) + 1</f>
        <v>3</v>
      </c>
      <c r="G1488" s="10"/>
      <c r="H1488" s="53" t="n">
        <v>309</v>
      </c>
      <c r="I1488" s="55" t="s">
        <v>20</v>
      </c>
      <c r="J1488" s="52" t="s">
        <v>45</v>
      </c>
      <c r="L1488" s="9" t="n">
        <f aca="false">L1487+H1488</f>
        <v>30963.62</v>
      </c>
      <c r="M1488" s="10" t="str">
        <f aca="false">VLOOKUP(J1488,RECATALOGANDO!A:C,2,0)</f>
        <v>VENTA DE MEDICAMENTO</v>
      </c>
      <c r="N1488" s="12" t="str">
        <f aca="false">VLOOKUP(M1488,RECATALOGANDO!B:C,2,0)</f>
        <v>VENTA DE PRODUCTO</v>
      </c>
      <c r="O1488" s="2" t="s">
        <v>39</v>
      </c>
    </row>
    <row r="1489" customFormat="false" ht="13.8" hidden="false" customHeight="false" outlineLevel="0" collapsed="false">
      <c r="A1489" s="1" t="n">
        <v>45155</v>
      </c>
      <c r="B1489" s="9" t="n">
        <f aca="false">DAY(A1489)</f>
        <v>17</v>
      </c>
      <c r="C1489" s="9" t="n">
        <f aca="false">MONTH(A1489)</f>
        <v>8</v>
      </c>
      <c r="D1489" s="9" t="n">
        <f aca="false">YEAR(A1489)</f>
        <v>2023</v>
      </c>
      <c r="E1489" s="9" t="n">
        <f aca="false">WEEKDAY(A1489,2)</f>
        <v>4</v>
      </c>
      <c r="F1489" s="10" t="n">
        <f aca="false">WEEKNUM(A1489,2) - WEEKNUM(DATE(YEAR(A1489),MONTH(A1489),1),2) + 1</f>
        <v>3</v>
      </c>
      <c r="G1489" s="10"/>
      <c r="H1489" s="53" t="n">
        <v>5000</v>
      </c>
      <c r="I1489" s="55" t="s">
        <v>15</v>
      </c>
      <c r="J1489" s="52" t="s">
        <v>41</v>
      </c>
      <c r="L1489" s="9" t="n">
        <f aca="false">L1488+H1489</f>
        <v>35963.62</v>
      </c>
      <c r="M1489" s="10" t="str">
        <f aca="false">VLOOKUP(J1489,RECATALOGANDO!A:C,2,0)</f>
        <v>HONORARIOS QUIRURGICOS</v>
      </c>
      <c r="N1489" s="12" t="str">
        <f aca="false">VLOOKUP(M1489,RECATALOGANDO!B:C,2,0)</f>
        <v>VENTA DE SERVICIO</v>
      </c>
      <c r="O1489" s="2" t="s">
        <v>39</v>
      </c>
    </row>
    <row r="1490" customFormat="false" ht="13.8" hidden="false" customHeight="false" outlineLevel="0" collapsed="false">
      <c r="A1490" s="1" t="n">
        <v>45155</v>
      </c>
      <c r="B1490" s="9" t="n">
        <f aca="false">DAY(A1490)</f>
        <v>17</v>
      </c>
      <c r="C1490" s="9" t="n">
        <f aca="false">MONTH(A1490)</f>
        <v>8</v>
      </c>
      <c r="D1490" s="9" t="n">
        <f aca="false">YEAR(A1490)</f>
        <v>2023</v>
      </c>
      <c r="E1490" s="9" t="n">
        <f aca="false">WEEKDAY(A1490,2)</f>
        <v>4</v>
      </c>
      <c r="F1490" s="10" t="n">
        <f aca="false">WEEKNUM(A1490,2) - WEEKNUM(DATE(YEAR(A1490),MONTH(A1490),1),2) + 1</f>
        <v>3</v>
      </c>
      <c r="G1490" s="10"/>
      <c r="H1490" s="53" t="n">
        <v>500</v>
      </c>
      <c r="I1490" s="55" t="s">
        <v>15</v>
      </c>
      <c r="J1490" s="52" t="s">
        <v>45</v>
      </c>
      <c r="L1490" s="9" t="n">
        <f aca="false">L1489+H1490</f>
        <v>36463.62</v>
      </c>
      <c r="M1490" s="10" t="str">
        <f aca="false">VLOOKUP(J1490,RECATALOGANDO!A:C,2,0)</f>
        <v>VENTA DE MEDICAMENTO</v>
      </c>
      <c r="N1490" s="12" t="str">
        <f aca="false">VLOOKUP(M1490,RECATALOGANDO!B:C,2,0)</f>
        <v>VENTA DE PRODUCTO</v>
      </c>
      <c r="O1490" s="2" t="s">
        <v>39</v>
      </c>
    </row>
    <row r="1491" customFormat="false" ht="13.8" hidden="false" customHeight="false" outlineLevel="0" collapsed="false">
      <c r="A1491" s="1" t="n">
        <v>45156</v>
      </c>
      <c r="B1491" s="9" t="n">
        <f aca="false">DAY(A1491)</f>
        <v>18</v>
      </c>
      <c r="C1491" s="9" t="n">
        <f aca="false">MONTH(A1491)</f>
        <v>8</v>
      </c>
      <c r="D1491" s="9" t="n">
        <f aca="false">YEAR(A1491)</f>
        <v>2023</v>
      </c>
      <c r="E1491" s="9" t="n">
        <f aca="false">WEEKDAY(A1491,2)</f>
        <v>5</v>
      </c>
      <c r="F1491" s="10" t="n">
        <f aca="false">WEEKNUM(A1491,2) - WEEKNUM(DATE(YEAR(A1491),MONTH(A1491),1),2) + 1</f>
        <v>3</v>
      </c>
      <c r="G1491" s="10"/>
      <c r="H1491" s="53" t="n">
        <v>2750</v>
      </c>
      <c r="I1491" s="55" t="s">
        <v>20</v>
      </c>
      <c r="J1491" s="52" t="s">
        <v>41</v>
      </c>
      <c r="L1491" s="9" t="n">
        <f aca="false">L1490+H1491</f>
        <v>39213.62</v>
      </c>
      <c r="M1491" s="10" t="str">
        <f aca="false">VLOOKUP(J1491,RECATALOGANDO!A:C,2,0)</f>
        <v>HONORARIOS QUIRURGICOS</v>
      </c>
      <c r="N1491" s="12" t="str">
        <f aca="false">VLOOKUP(M1491,RECATALOGANDO!B:C,2,0)</f>
        <v>VENTA DE SERVICIO</v>
      </c>
      <c r="O1491" s="2" t="s">
        <v>39</v>
      </c>
    </row>
    <row r="1492" customFormat="false" ht="13.8" hidden="false" customHeight="false" outlineLevel="0" collapsed="false">
      <c r="A1492" s="1" t="n">
        <v>45156</v>
      </c>
      <c r="B1492" s="9" t="n">
        <f aca="false">DAY(A1492)</f>
        <v>18</v>
      </c>
      <c r="C1492" s="9" t="n">
        <f aca="false">MONTH(A1492)</f>
        <v>8</v>
      </c>
      <c r="D1492" s="9" t="n">
        <f aca="false">YEAR(A1492)</f>
        <v>2023</v>
      </c>
      <c r="E1492" s="9" t="n">
        <f aca="false">WEEKDAY(A1492,2)</f>
        <v>5</v>
      </c>
      <c r="F1492" s="10" t="n">
        <f aca="false">WEEKNUM(A1492,2) - WEEKNUM(DATE(YEAR(A1492),MONTH(A1492),1),2) + 1</f>
        <v>3</v>
      </c>
      <c r="G1492" s="10"/>
      <c r="H1492" s="53" t="n">
        <v>658.31</v>
      </c>
      <c r="I1492" s="55" t="s">
        <v>15</v>
      </c>
      <c r="J1492" s="52" t="s">
        <v>51</v>
      </c>
      <c r="L1492" s="9" t="n">
        <f aca="false">L1491+H1492</f>
        <v>39871.93</v>
      </c>
      <c r="M1492" s="10" t="str">
        <f aca="false">VLOOKUP(J1492,RECATALOGANDO!A:C,2,0)</f>
        <v>VENTA DE ALIMENTO</v>
      </c>
      <c r="N1492" s="12" t="str">
        <f aca="false">VLOOKUP(M1492,RECATALOGANDO!B:C,2,0)</f>
        <v>VENTA DE PRODUCTO</v>
      </c>
      <c r="O1492" s="2" t="s">
        <v>39</v>
      </c>
    </row>
    <row r="1493" customFormat="false" ht="13.8" hidden="false" customHeight="false" outlineLevel="0" collapsed="false">
      <c r="A1493" s="1" t="n">
        <v>45159</v>
      </c>
      <c r="B1493" s="9" t="n">
        <f aca="false">DAY(A1493)</f>
        <v>21</v>
      </c>
      <c r="C1493" s="9" t="n">
        <f aca="false">MONTH(A1493)</f>
        <v>8</v>
      </c>
      <c r="D1493" s="9" t="n">
        <f aca="false">YEAR(A1493)</f>
        <v>2023</v>
      </c>
      <c r="E1493" s="9" t="n">
        <f aca="false">WEEKDAY(A1493,2)</f>
        <v>1</v>
      </c>
      <c r="F1493" s="10" t="n">
        <f aca="false">WEEKNUM(A1493,2) - WEEKNUM(DATE(YEAR(A1493),MONTH(A1493),1),2) + 1</f>
        <v>4</v>
      </c>
      <c r="G1493" s="10"/>
      <c r="H1493" s="53" t="n">
        <v>175</v>
      </c>
      <c r="I1493" s="55" t="s">
        <v>20</v>
      </c>
      <c r="J1493" s="52" t="s">
        <v>45</v>
      </c>
      <c r="L1493" s="9" t="n">
        <f aca="false">L1492+H1493</f>
        <v>40046.93</v>
      </c>
      <c r="M1493" s="10" t="str">
        <f aca="false">VLOOKUP(J1493,RECATALOGANDO!A:C,2,0)</f>
        <v>VENTA DE MEDICAMENTO</v>
      </c>
      <c r="N1493" s="12" t="str">
        <f aca="false">VLOOKUP(M1493,RECATALOGANDO!B:C,2,0)</f>
        <v>VENTA DE PRODUCTO</v>
      </c>
      <c r="O1493" s="2" t="s">
        <v>39</v>
      </c>
    </row>
    <row r="1494" customFormat="false" ht="13.8" hidden="false" customHeight="false" outlineLevel="0" collapsed="false">
      <c r="A1494" s="46" t="n">
        <v>45159</v>
      </c>
      <c r="B1494" s="9" t="n">
        <f aca="false">DAY(A1494)</f>
        <v>21</v>
      </c>
      <c r="C1494" s="9" t="n">
        <f aca="false">MONTH(A1494)</f>
        <v>8</v>
      </c>
      <c r="D1494" s="9" t="n">
        <f aca="false">YEAR(A1494)</f>
        <v>2023</v>
      </c>
      <c r="E1494" s="9" t="n">
        <f aca="false">WEEKDAY(A1494,2)</f>
        <v>1</v>
      </c>
      <c r="F1494" s="10" t="n">
        <f aca="false">WEEKNUM(A1494,2) - WEEKNUM(DATE(YEAR(A1494),MONTH(A1494),1),2) + 1</f>
        <v>4</v>
      </c>
      <c r="G1494" s="10"/>
      <c r="H1494" s="54" t="n">
        <v>691</v>
      </c>
      <c r="I1494" s="48" t="s">
        <v>20</v>
      </c>
      <c r="J1494" s="48" t="s">
        <v>35</v>
      </c>
      <c r="L1494" s="9" t="n">
        <f aca="false">L1493+H1494</f>
        <v>40737.93</v>
      </c>
      <c r="M1494" s="10" t="str">
        <f aca="false">VLOOKUP(J1494,RECATALOGANDO!A:C,2,0)</f>
        <v>TRANSFERENCIA ENTRE CUENTAS</v>
      </c>
      <c r="N1494" s="12" t="str">
        <f aca="false">VLOOKUP(M1494,RECATALOGANDO!B:C,2,0)</f>
        <v>TRANSFERENCIAS</v>
      </c>
      <c r="O1494" s="2" t="s">
        <v>31</v>
      </c>
    </row>
    <row r="1495" customFormat="false" ht="13.8" hidden="false" customHeight="false" outlineLevel="0" collapsed="false">
      <c r="A1495" s="1" t="n">
        <v>45159</v>
      </c>
      <c r="B1495" s="9" t="n">
        <f aca="false">DAY(A1495)</f>
        <v>21</v>
      </c>
      <c r="C1495" s="9" t="n">
        <f aca="false">MONTH(A1495)</f>
        <v>8</v>
      </c>
      <c r="D1495" s="9" t="n">
        <f aca="false">YEAR(A1495)</f>
        <v>2023</v>
      </c>
      <c r="E1495" s="9" t="n">
        <f aca="false">WEEKDAY(A1495,2)</f>
        <v>1</v>
      </c>
      <c r="F1495" s="10" t="n">
        <f aca="false">WEEKNUM(A1495,2) - WEEKNUM(DATE(YEAR(A1495),MONTH(A1495),1),2) + 1</f>
        <v>4</v>
      </c>
      <c r="G1495" s="10"/>
      <c r="H1495" s="53" t="n">
        <v>750</v>
      </c>
      <c r="I1495" s="55" t="s">
        <v>20</v>
      </c>
      <c r="J1495" s="52" t="s">
        <v>58</v>
      </c>
      <c r="L1495" s="9" t="n">
        <f aca="false">L1494+H1495</f>
        <v>41487.93</v>
      </c>
      <c r="M1495" s="10" t="str">
        <f aca="false">VLOOKUP(J1495,RECATALOGANDO!A:C,2,0)</f>
        <v>SERVICIO DE LABORATORIO</v>
      </c>
      <c r="N1495" s="12" t="str">
        <f aca="false">VLOOKUP(M1495,RECATALOGANDO!B:C,2,0)</f>
        <v>VENTA DE SERVICIO</v>
      </c>
      <c r="O1495" s="2" t="s">
        <v>39</v>
      </c>
    </row>
    <row r="1496" customFormat="false" ht="13.8" hidden="false" customHeight="false" outlineLevel="0" collapsed="false">
      <c r="A1496" s="1" t="n">
        <v>45160</v>
      </c>
      <c r="B1496" s="9" t="n">
        <f aca="false">DAY(A1496)</f>
        <v>22</v>
      </c>
      <c r="C1496" s="9" t="n">
        <f aca="false">MONTH(A1496)</f>
        <v>8</v>
      </c>
      <c r="D1496" s="9" t="n">
        <f aca="false">YEAR(A1496)</f>
        <v>2023</v>
      </c>
      <c r="E1496" s="9" t="n">
        <f aca="false">WEEKDAY(A1496,2)</f>
        <v>2</v>
      </c>
      <c r="F1496" s="10" t="n">
        <f aca="false">WEEKNUM(A1496,2) - WEEKNUM(DATE(YEAR(A1496),MONTH(A1496),1),2) + 1</f>
        <v>4</v>
      </c>
      <c r="G1496" s="10"/>
      <c r="H1496" s="53" t="n">
        <v>1230</v>
      </c>
      <c r="I1496" s="55" t="s">
        <v>20</v>
      </c>
      <c r="J1496" s="52" t="s">
        <v>51</v>
      </c>
      <c r="L1496" s="9" t="n">
        <f aca="false">L1495+H1496</f>
        <v>42717.93</v>
      </c>
      <c r="M1496" s="10" t="str">
        <f aca="false">VLOOKUP(J1496,RECATALOGANDO!A:C,2,0)</f>
        <v>VENTA DE ALIMENTO</v>
      </c>
      <c r="N1496" s="12" t="str">
        <f aca="false">VLOOKUP(M1496,RECATALOGANDO!B:C,2,0)</f>
        <v>VENTA DE PRODUCTO</v>
      </c>
      <c r="O1496" s="2" t="s">
        <v>39</v>
      </c>
    </row>
    <row r="1497" customFormat="false" ht="13.8" hidden="false" customHeight="false" outlineLevel="0" collapsed="false">
      <c r="A1497" s="1" t="n">
        <v>45161</v>
      </c>
      <c r="B1497" s="9" t="n">
        <f aca="false">DAY(A1497)</f>
        <v>23</v>
      </c>
      <c r="C1497" s="9" t="n">
        <f aca="false">MONTH(A1497)</f>
        <v>8</v>
      </c>
      <c r="D1497" s="9" t="n">
        <f aca="false">YEAR(A1497)</f>
        <v>2023</v>
      </c>
      <c r="E1497" s="9" t="n">
        <f aca="false">WEEKDAY(A1497,2)</f>
        <v>3</v>
      </c>
      <c r="F1497" s="10" t="n">
        <f aca="false">WEEKNUM(A1497,2) - WEEKNUM(DATE(YEAR(A1497),MONTH(A1497),1),2) + 1</f>
        <v>4</v>
      </c>
      <c r="G1497" s="10"/>
      <c r="H1497" s="53" t="n">
        <v>705</v>
      </c>
      <c r="I1497" s="55" t="s">
        <v>20</v>
      </c>
      <c r="J1497" s="52" t="s">
        <v>53</v>
      </c>
      <c r="L1497" s="9" t="n">
        <f aca="false">L1496+H1497</f>
        <v>43422.93</v>
      </c>
      <c r="M1497" s="10" t="str">
        <f aca="false">VLOOKUP(J1497,RECATALOGANDO!A:C,2,0)</f>
        <v>SERVICIO DE GROOMING</v>
      </c>
      <c r="N1497" s="12" t="str">
        <f aca="false">VLOOKUP(M1497,RECATALOGANDO!B:C,2,0)</f>
        <v>VENTA DE SERVICIO</v>
      </c>
      <c r="O1497" s="2" t="s">
        <v>39</v>
      </c>
    </row>
    <row r="1498" customFormat="false" ht="13.8" hidden="false" customHeight="false" outlineLevel="0" collapsed="false">
      <c r="A1498" s="1" t="n">
        <v>45161</v>
      </c>
      <c r="B1498" s="9" t="n">
        <f aca="false">DAY(A1498)</f>
        <v>23</v>
      </c>
      <c r="C1498" s="9" t="n">
        <f aca="false">MONTH(A1498)</f>
        <v>8</v>
      </c>
      <c r="D1498" s="9" t="n">
        <f aca="false">YEAR(A1498)</f>
        <v>2023</v>
      </c>
      <c r="E1498" s="9" t="n">
        <f aca="false">WEEKDAY(A1498,2)</f>
        <v>3</v>
      </c>
      <c r="F1498" s="10" t="n">
        <f aca="false">WEEKNUM(A1498,2) - WEEKNUM(DATE(YEAR(A1498),MONTH(A1498),1),2) + 1</f>
        <v>4</v>
      </c>
      <c r="G1498" s="10"/>
      <c r="H1498" s="53" t="n">
        <v>5000</v>
      </c>
      <c r="I1498" s="55" t="s">
        <v>15</v>
      </c>
      <c r="J1498" s="52" t="s">
        <v>45</v>
      </c>
      <c r="L1498" s="9" t="n">
        <f aca="false">L1497+H1498</f>
        <v>48422.93</v>
      </c>
      <c r="M1498" s="10" t="str">
        <f aca="false">VLOOKUP(J1498,RECATALOGANDO!A:C,2,0)</f>
        <v>VENTA DE MEDICAMENTO</v>
      </c>
      <c r="N1498" s="12" t="str">
        <f aca="false">VLOOKUP(M1498,RECATALOGANDO!B:C,2,0)</f>
        <v>VENTA DE PRODUCTO</v>
      </c>
      <c r="O1498" s="2" t="s">
        <v>39</v>
      </c>
    </row>
    <row r="1499" customFormat="false" ht="13.8" hidden="false" customHeight="false" outlineLevel="0" collapsed="false">
      <c r="A1499" s="1" t="n">
        <v>45161</v>
      </c>
      <c r="B1499" s="9" t="n">
        <f aca="false">DAY(A1499)</f>
        <v>23</v>
      </c>
      <c r="C1499" s="9" t="n">
        <f aca="false">MONTH(A1499)</f>
        <v>8</v>
      </c>
      <c r="D1499" s="9" t="n">
        <f aca="false">YEAR(A1499)</f>
        <v>2023</v>
      </c>
      <c r="E1499" s="9" t="n">
        <f aca="false">WEEKDAY(A1499,2)</f>
        <v>3</v>
      </c>
      <c r="F1499" s="10" t="n">
        <f aca="false">WEEKNUM(A1499,2) - WEEKNUM(DATE(YEAR(A1499),MONTH(A1499),1),2) + 1</f>
        <v>4</v>
      </c>
      <c r="G1499" s="10"/>
      <c r="H1499" s="53" t="n">
        <v>1000</v>
      </c>
      <c r="I1499" s="55" t="s">
        <v>15</v>
      </c>
      <c r="J1499" s="52" t="s">
        <v>51</v>
      </c>
      <c r="L1499" s="9" t="n">
        <f aca="false">L1498+H1499</f>
        <v>49422.93</v>
      </c>
      <c r="M1499" s="10" t="str">
        <f aca="false">VLOOKUP(J1499,RECATALOGANDO!A:C,2,0)</f>
        <v>VENTA DE ALIMENTO</v>
      </c>
      <c r="N1499" s="12" t="str">
        <f aca="false">VLOOKUP(M1499,RECATALOGANDO!B:C,2,0)</f>
        <v>VENTA DE PRODUCTO</v>
      </c>
      <c r="O1499" s="2" t="s">
        <v>39</v>
      </c>
    </row>
    <row r="1500" customFormat="false" ht="13.8" hidden="false" customHeight="false" outlineLevel="0" collapsed="false">
      <c r="A1500" s="1" t="n">
        <v>45161</v>
      </c>
      <c r="B1500" s="9" t="n">
        <f aca="false">DAY(A1500)</f>
        <v>23</v>
      </c>
      <c r="C1500" s="9" t="n">
        <f aca="false">MONTH(A1500)</f>
        <v>8</v>
      </c>
      <c r="D1500" s="9" t="n">
        <f aca="false">YEAR(A1500)</f>
        <v>2023</v>
      </c>
      <c r="E1500" s="9" t="n">
        <f aca="false">WEEKDAY(A1500,2)</f>
        <v>3</v>
      </c>
      <c r="F1500" s="10" t="n">
        <f aca="false">WEEKNUM(A1500,2) - WEEKNUM(DATE(YEAR(A1500),MONTH(A1500),1),2) + 1</f>
        <v>4</v>
      </c>
      <c r="G1500" s="10"/>
      <c r="H1500" s="53" t="n">
        <v>500</v>
      </c>
      <c r="I1500" s="55" t="s">
        <v>15</v>
      </c>
      <c r="J1500" s="52" t="s">
        <v>53</v>
      </c>
      <c r="L1500" s="9" t="n">
        <f aca="false">L1499+H1500</f>
        <v>49922.93</v>
      </c>
      <c r="M1500" s="10" t="str">
        <f aca="false">VLOOKUP(J1500,RECATALOGANDO!A:C,2,0)</f>
        <v>SERVICIO DE GROOMING</v>
      </c>
      <c r="N1500" s="12" t="str">
        <f aca="false">VLOOKUP(M1500,RECATALOGANDO!B:C,2,0)</f>
        <v>VENTA DE SERVICIO</v>
      </c>
      <c r="O1500" s="2" t="s">
        <v>39</v>
      </c>
    </row>
    <row r="1501" customFormat="false" ht="13.8" hidden="false" customHeight="false" outlineLevel="0" collapsed="false">
      <c r="A1501" s="1" t="n">
        <v>45162</v>
      </c>
      <c r="B1501" s="9" t="n">
        <f aca="false">DAY(A1501)</f>
        <v>24</v>
      </c>
      <c r="C1501" s="9" t="n">
        <f aca="false">MONTH(A1501)</f>
        <v>8</v>
      </c>
      <c r="D1501" s="9" t="n">
        <f aca="false">YEAR(A1501)</f>
        <v>2023</v>
      </c>
      <c r="E1501" s="9" t="n">
        <f aca="false">WEEKDAY(A1501,2)</f>
        <v>4</v>
      </c>
      <c r="F1501" s="10" t="n">
        <f aca="false">WEEKNUM(A1501,2) - WEEKNUM(DATE(YEAR(A1501),MONTH(A1501),1),2) + 1</f>
        <v>4</v>
      </c>
      <c r="G1501" s="10"/>
      <c r="H1501" s="53" t="n">
        <v>1300</v>
      </c>
      <c r="I1501" s="55" t="s">
        <v>20</v>
      </c>
      <c r="J1501" s="52" t="s">
        <v>51</v>
      </c>
      <c r="L1501" s="9" t="n">
        <f aca="false">L1500+H1501</f>
        <v>51222.93</v>
      </c>
      <c r="M1501" s="10" t="str">
        <f aca="false">VLOOKUP(J1501,RECATALOGANDO!A:C,2,0)</f>
        <v>VENTA DE ALIMENTO</v>
      </c>
      <c r="N1501" s="12" t="str">
        <f aca="false">VLOOKUP(M1501,RECATALOGANDO!B:C,2,0)</f>
        <v>VENTA DE PRODUCTO</v>
      </c>
      <c r="O1501" s="2" t="s">
        <v>39</v>
      </c>
    </row>
    <row r="1502" customFormat="false" ht="13.8" hidden="false" customHeight="false" outlineLevel="0" collapsed="false">
      <c r="A1502" s="46" t="n">
        <v>45163</v>
      </c>
      <c r="B1502" s="9" t="n">
        <f aca="false">DAY(A1502)</f>
        <v>25</v>
      </c>
      <c r="C1502" s="9" t="n">
        <f aca="false">MONTH(A1502)</f>
        <v>8</v>
      </c>
      <c r="D1502" s="9" t="n">
        <f aca="false">YEAR(A1502)</f>
        <v>2023</v>
      </c>
      <c r="E1502" s="9" t="n">
        <f aca="false">WEEKDAY(A1502,2)</f>
        <v>5</v>
      </c>
      <c r="F1502" s="10" t="n">
        <f aca="false">WEEKNUM(A1502,2) - WEEKNUM(DATE(YEAR(A1502),MONTH(A1502),1),2) + 1</f>
        <v>4</v>
      </c>
      <c r="G1502" s="10"/>
      <c r="H1502" s="54" t="n">
        <v>400</v>
      </c>
      <c r="I1502" s="48" t="s">
        <v>20</v>
      </c>
      <c r="J1502" s="48" t="s">
        <v>35</v>
      </c>
      <c r="L1502" s="9" t="n">
        <f aca="false">L1501+H1502</f>
        <v>51622.93</v>
      </c>
      <c r="M1502" s="10" t="str">
        <f aca="false">VLOOKUP(J1502,RECATALOGANDO!A:C,2,0)</f>
        <v>TRANSFERENCIA ENTRE CUENTAS</v>
      </c>
      <c r="N1502" s="12" t="str">
        <f aca="false">VLOOKUP(M1502,RECATALOGANDO!B:C,2,0)</f>
        <v>TRANSFERENCIAS</v>
      </c>
      <c r="O1502" s="2" t="s">
        <v>31</v>
      </c>
    </row>
    <row r="1503" customFormat="false" ht="13.8" hidden="false" customHeight="false" outlineLevel="0" collapsed="false">
      <c r="A1503" s="1" t="n">
        <v>45163</v>
      </c>
      <c r="B1503" s="9" t="n">
        <f aca="false">DAY(A1503)</f>
        <v>25</v>
      </c>
      <c r="C1503" s="9" t="n">
        <f aca="false">MONTH(A1503)</f>
        <v>8</v>
      </c>
      <c r="D1503" s="9" t="n">
        <f aca="false">YEAR(A1503)</f>
        <v>2023</v>
      </c>
      <c r="E1503" s="9" t="n">
        <f aca="false">WEEKDAY(A1503,2)</f>
        <v>5</v>
      </c>
      <c r="F1503" s="10" t="n">
        <f aca="false">WEEKNUM(A1503,2) - WEEKNUM(DATE(YEAR(A1503),MONTH(A1503),1),2) + 1</f>
        <v>4</v>
      </c>
      <c r="G1503" s="10"/>
      <c r="H1503" s="53" t="n">
        <v>446.54</v>
      </c>
      <c r="I1503" s="55" t="s">
        <v>15</v>
      </c>
      <c r="J1503" s="52" t="s">
        <v>44</v>
      </c>
      <c r="L1503" s="9" t="n">
        <f aca="false">L1502+H1503</f>
        <v>52069.47</v>
      </c>
      <c r="M1503" s="10" t="str">
        <f aca="false">VLOOKUP(J1503,RECATALOGANDO!A:C,2,0)</f>
        <v>HONORARIOS MEDICOS</v>
      </c>
      <c r="N1503" s="12" t="str">
        <f aca="false">VLOOKUP(M1503,RECATALOGANDO!B:C,2,0)</f>
        <v>VENTA DE SERVICIO</v>
      </c>
      <c r="O1503" s="2" t="s">
        <v>39</v>
      </c>
    </row>
    <row r="1504" customFormat="false" ht="13.8" hidden="false" customHeight="false" outlineLevel="0" collapsed="false">
      <c r="A1504" s="1" t="n">
        <v>45163</v>
      </c>
      <c r="B1504" s="9" t="n">
        <f aca="false">DAY(A1504)</f>
        <v>25</v>
      </c>
      <c r="C1504" s="9" t="n">
        <f aca="false">MONTH(A1504)</f>
        <v>8</v>
      </c>
      <c r="D1504" s="9" t="n">
        <f aca="false">YEAR(A1504)</f>
        <v>2023</v>
      </c>
      <c r="E1504" s="9" t="n">
        <f aca="false">WEEKDAY(A1504,2)</f>
        <v>5</v>
      </c>
      <c r="F1504" s="10" t="n">
        <f aca="false">WEEKNUM(A1504,2) - WEEKNUM(DATE(YEAR(A1504),MONTH(A1504),1),2) + 1</f>
        <v>4</v>
      </c>
      <c r="G1504" s="10"/>
      <c r="H1504" s="53" t="n">
        <v>300</v>
      </c>
      <c r="I1504" s="55" t="s">
        <v>20</v>
      </c>
      <c r="J1504" s="52" t="s">
        <v>35</v>
      </c>
      <c r="L1504" s="9" t="n">
        <f aca="false">L1503+H1504</f>
        <v>52369.47</v>
      </c>
      <c r="M1504" s="10" t="str">
        <f aca="false">VLOOKUP(J1504,RECATALOGANDO!A:C,2,0)</f>
        <v>TRANSFERENCIA ENTRE CUENTAS</v>
      </c>
      <c r="N1504" s="12" t="str">
        <f aca="false">VLOOKUP(M1504,RECATALOGANDO!B:C,2,0)</f>
        <v>TRANSFERENCIAS</v>
      </c>
      <c r="O1504" s="2" t="s">
        <v>31</v>
      </c>
    </row>
    <row r="1505" customFormat="false" ht="13.8" hidden="false" customHeight="false" outlineLevel="0" collapsed="false">
      <c r="A1505" s="1" t="n">
        <v>45134</v>
      </c>
      <c r="B1505" s="9" t="n">
        <f aca="false">DAY(A1505)</f>
        <v>27</v>
      </c>
      <c r="C1505" s="9" t="n">
        <f aca="false">MONTH(A1505)</f>
        <v>7</v>
      </c>
      <c r="D1505" s="9" t="n">
        <f aca="false">YEAR(A1505)</f>
        <v>2023</v>
      </c>
      <c r="E1505" s="9" t="n">
        <f aca="false">WEEKDAY(A1505,2)</f>
        <v>4</v>
      </c>
      <c r="F1505" s="10" t="n">
        <f aca="false">WEEKNUM(A1505,2) - WEEKNUM(DATE(YEAR(A1505),MONTH(A1505),1),2) + 1</f>
        <v>5</v>
      </c>
      <c r="G1505" s="10"/>
      <c r="H1505" s="53" t="n">
        <v>1817</v>
      </c>
      <c r="I1505" s="55" t="s">
        <v>15</v>
      </c>
      <c r="J1505" s="52" t="s">
        <v>41</v>
      </c>
      <c r="L1505" s="9" t="n">
        <f aca="false">L1504+H1505</f>
        <v>54186.47</v>
      </c>
      <c r="M1505" s="10" t="str">
        <f aca="false">VLOOKUP(J1505,RECATALOGANDO!A:C,2,0)</f>
        <v>HONORARIOS QUIRURGICOS</v>
      </c>
      <c r="N1505" s="12" t="str">
        <f aca="false">VLOOKUP(M1505,RECATALOGANDO!B:C,2,0)</f>
        <v>VENTA DE SERVICIO</v>
      </c>
      <c r="O1505" s="2" t="s">
        <v>39</v>
      </c>
    </row>
    <row r="1506" customFormat="false" ht="13.8" hidden="false" customHeight="false" outlineLevel="0" collapsed="false">
      <c r="A1506" s="46" t="n">
        <v>45166</v>
      </c>
      <c r="B1506" s="9" t="n">
        <f aca="false">DAY(A1506)</f>
        <v>28</v>
      </c>
      <c r="C1506" s="9" t="n">
        <f aca="false">MONTH(A1506)</f>
        <v>8</v>
      </c>
      <c r="D1506" s="9" t="n">
        <f aca="false">YEAR(A1506)</f>
        <v>2023</v>
      </c>
      <c r="E1506" s="9" t="n">
        <f aca="false">WEEKDAY(A1506,2)</f>
        <v>1</v>
      </c>
      <c r="F1506" s="10" t="n">
        <f aca="false">WEEKNUM(A1506,2) - WEEKNUM(DATE(YEAR(A1506),MONTH(A1506),1),2) + 1</f>
        <v>5</v>
      </c>
      <c r="G1506" s="10"/>
      <c r="H1506" s="54" t="n">
        <v>2000</v>
      </c>
      <c r="I1506" s="48" t="s">
        <v>20</v>
      </c>
      <c r="J1506" s="48" t="s">
        <v>35</v>
      </c>
      <c r="L1506" s="9" t="n">
        <f aca="false">L1505+H1506</f>
        <v>56186.47</v>
      </c>
      <c r="M1506" s="10" t="str">
        <f aca="false">VLOOKUP(J1506,RECATALOGANDO!A:C,2,0)</f>
        <v>TRANSFERENCIA ENTRE CUENTAS</v>
      </c>
      <c r="N1506" s="12" t="str">
        <f aca="false">VLOOKUP(M1506,RECATALOGANDO!B:C,2,0)</f>
        <v>TRANSFERENCIAS</v>
      </c>
      <c r="O1506" s="2" t="s">
        <v>31</v>
      </c>
    </row>
    <row r="1507" customFormat="false" ht="13.8" hidden="false" customHeight="false" outlineLevel="0" collapsed="false">
      <c r="A1507" s="1" t="n">
        <v>45166</v>
      </c>
      <c r="B1507" s="9" t="n">
        <f aca="false">DAY(A1507)</f>
        <v>28</v>
      </c>
      <c r="C1507" s="9" t="n">
        <f aca="false">MONTH(A1507)</f>
        <v>8</v>
      </c>
      <c r="D1507" s="9" t="n">
        <f aca="false">YEAR(A1507)</f>
        <v>2023</v>
      </c>
      <c r="E1507" s="9" t="n">
        <f aca="false">WEEKDAY(A1507,2)</f>
        <v>1</v>
      </c>
      <c r="F1507" s="10" t="n">
        <f aca="false">WEEKNUM(A1507,2) - WEEKNUM(DATE(YEAR(A1507),MONTH(A1507),1),2) + 1</f>
        <v>5</v>
      </c>
      <c r="G1507" s="10"/>
      <c r="H1507" s="53" t="n">
        <v>2339</v>
      </c>
      <c r="I1507" s="55" t="s">
        <v>20</v>
      </c>
      <c r="J1507" s="52" t="s">
        <v>51</v>
      </c>
      <c r="L1507" s="9" t="n">
        <f aca="false">L1506+H1507</f>
        <v>58525.47</v>
      </c>
      <c r="M1507" s="10" t="str">
        <f aca="false">VLOOKUP(J1507,RECATALOGANDO!A:C,2,0)</f>
        <v>VENTA DE ALIMENTO</v>
      </c>
      <c r="N1507" s="12" t="str">
        <f aca="false">VLOOKUP(M1507,RECATALOGANDO!B:C,2,0)</f>
        <v>VENTA DE PRODUCTO</v>
      </c>
      <c r="O1507" s="2" t="s">
        <v>39</v>
      </c>
    </row>
    <row r="1508" customFormat="false" ht="13.8" hidden="false" customHeight="false" outlineLevel="0" collapsed="false">
      <c r="A1508" s="1" t="n">
        <v>45166</v>
      </c>
      <c r="B1508" s="9" t="n">
        <f aca="false">DAY(A1508)</f>
        <v>28</v>
      </c>
      <c r="C1508" s="9" t="n">
        <f aca="false">MONTH(A1508)</f>
        <v>8</v>
      </c>
      <c r="D1508" s="9" t="n">
        <f aca="false">YEAR(A1508)</f>
        <v>2023</v>
      </c>
      <c r="E1508" s="9" t="n">
        <f aca="false">WEEKDAY(A1508,2)</f>
        <v>1</v>
      </c>
      <c r="F1508" s="10" t="n">
        <f aca="false">WEEKNUM(A1508,2) - WEEKNUM(DATE(YEAR(A1508),MONTH(A1508),1),2) + 1</f>
        <v>5</v>
      </c>
      <c r="G1508" s="10"/>
      <c r="H1508" s="53" t="n">
        <v>250</v>
      </c>
      <c r="I1508" s="55" t="s">
        <v>20</v>
      </c>
      <c r="J1508" s="52" t="s">
        <v>45</v>
      </c>
      <c r="L1508" s="9" t="n">
        <f aca="false">L1507+H1508</f>
        <v>58775.47</v>
      </c>
      <c r="M1508" s="10" t="str">
        <f aca="false">VLOOKUP(J1508,RECATALOGANDO!A:C,2,0)</f>
        <v>VENTA DE MEDICAMENTO</v>
      </c>
      <c r="N1508" s="12" t="str">
        <f aca="false">VLOOKUP(M1508,RECATALOGANDO!B:C,2,0)</f>
        <v>VENTA DE PRODUCTO</v>
      </c>
      <c r="O1508" s="2" t="s">
        <v>39</v>
      </c>
    </row>
    <row r="1509" customFormat="false" ht="13.8" hidden="false" customHeight="false" outlineLevel="0" collapsed="false">
      <c r="A1509" s="1" t="n">
        <v>45166</v>
      </c>
      <c r="B1509" s="9" t="n">
        <f aca="false">DAY(A1509)</f>
        <v>28</v>
      </c>
      <c r="C1509" s="9" t="n">
        <f aca="false">MONTH(A1509)</f>
        <v>8</v>
      </c>
      <c r="D1509" s="9" t="n">
        <f aca="false">YEAR(A1509)</f>
        <v>2023</v>
      </c>
      <c r="E1509" s="9" t="n">
        <f aca="false">WEEKDAY(A1509,2)</f>
        <v>1</v>
      </c>
      <c r="F1509" s="10" t="n">
        <f aca="false">WEEKNUM(A1509,2) - WEEKNUM(DATE(YEAR(A1509),MONTH(A1509),1),2) + 1</f>
        <v>5</v>
      </c>
      <c r="G1509" s="10"/>
      <c r="H1509" s="53" t="n">
        <v>90</v>
      </c>
      <c r="I1509" s="55" t="s">
        <v>20</v>
      </c>
      <c r="J1509" s="52" t="s">
        <v>44</v>
      </c>
      <c r="L1509" s="9" t="n">
        <f aca="false">L1508+H1509</f>
        <v>58865.47</v>
      </c>
      <c r="M1509" s="10" t="str">
        <f aca="false">VLOOKUP(J1509,RECATALOGANDO!A:C,2,0)</f>
        <v>HONORARIOS MEDICOS</v>
      </c>
      <c r="N1509" s="12" t="str">
        <f aca="false">VLOOKUP(M1509,RECATALOGANDO!B:C,2,0)</f>
        <v>VENTA DE SERVICIO</v>
      </c>
      <c r="O1509" s="2" t="s">
        <v>39</v>
      </c>
    </row>
    <row r="1510" customFormat="false" ht="13.8" hidden="false" customHeight="false" outlineLevel="0" collapsed="false">
      <c r="A1510" s="1" t="n">
        <v>45166</v>
      </c>
      <c r="B1510" s="9" t="n">
        <f aca="false">DAY(A1510)</f>
        <v>28</v>
      </c>
      <c r="C1510" s="9" t="n">
        <f aca="false">MONTH(A1510)</f>
        <v>8</v>
      </c>
      <c r="D1510" s="9" t="n">
        <f aca="false">YEAR(A1510)</f>
        <v>2023</v>
      </c>
      <c r="E1510" s="9" t="n">
        <f aca="false">WEEKDAY(A1510,2)</f>
        <v>1</v>
      </c>
      <c r="F1510" s="10" t="n">
        <f aca="false">WEEKNUM(A1510,2) - WEEKNUM(DATE(YEAR(A1510),MONTH(A1510),1),2) + 1</f>
        <v>5</v>
      </c>
      <c r="G1510" s="10"/>
      <c r="H1510" s="53" t="n">
        <v>600</v>
      </c>
      <c r="I1510" s="55" t="s">
        <v>20</v>
      </c>
      <c r="J1510" s="52" t="s">
        <v>44</v>
      </c>
      <c r="L1510" s="9" t="n">
        <f aca="false">L1509+H1510</f>
        <v>59465.47</v>
      </c>
      <c r="M1510" s="10" t="str">
        <f aca="false">VLOOKUP(J1510,RECATALOGANDO!A:C,2,0)</f>
        <v>HONORARIOS MEDICOS</v>
      </c>
      <c r="N1510" s="12" t="str">
        <f aca="false">VLOOKUP(M1510,RECATALOGANDO!B:C,2,0)</f>
        <v>VENTA DE SERVICIO</v>
      </c>
      <c r="O1510" s="2" t="s">
        <v>39</v>
      </c>
    </row>
    <row r="1511" customFormat="false" ht="13.8" hidden="false" customHeight="false" outlineLevel="0" collapsed="false">
      <c r="A1511" s="1" t="n">
        <v>45167</v>
      </c>
      <c r="B1511" s="9" t="n">
        <f aca="false">DAY(A1511)</f>
        <v>29</v>
      </c>
      <c r="C1511" s="9" t="n">
        <f aca="false">MONTH(A1511)</f>
        <v>8</v>
      </c>
      <c r="D1511" s="9" t="n">
        <f aca="false">YEAR(A1511)</f>
        <v>2023</v>
      </c>
      <c r="E1511" s="9" t="n">
        <f aca="false">WEEKDAY(A1511,2)</f>
        <v>2</v>
      </c>
      <c r="F1511" s="10" t="n">
        <f aca="false">WEEKNUM(A1511,2) - WEEKNUM(DATE(YEAR(A1511),MONTH(A1511),1),2) + 1</f>
        <v>5</v>
      </c>
      <c r="G1511" s="10"/>
      <c r="H1511" s="53" t="n">
        <v>190</v>
      </c>
      <c r="I1511" s="55" t="s">
        <v>20</v>
      </c>
      <c r="J1511" s="52" t="s">
        <v>45</v>
      </c>
      <c r="L1511" s="9" t="n">
        <f aca="false">L1510+H1511</f>
        <v>59655.47</v>
      </c>
      <c r="M1511" s="10" t="str">
        <f aca="false">VLOOKUP(J1511,RECATALOGANDO!A:C,2,0)</f>
        <v>VENTA DE MEDICAMENTO</v>
      </c>
      <c r="N1511" s="12" t="str">
        <f aca="false">VLOOKUP(M1511,RECATALOGANDO!B:C,2,0)</f>
        <v>VENTA DE PRODUCTO</v>
      </c>
      <c r="O1511" s="2" t="s">
        <v>39</v>
      </c>
    </row>
    <row r="1512" customFormat="false" ht="13.8" hidden="false" customHeight="false" outlineLevel="0" collapsed="false">
      <c r="A1512" s="1" t="n">
        <v>45167</v>
      </c>
      <c r="B1512" s="9" t="n">
        <f aca="false">DAY(A1512)</f>
        <v>29</v>
      </c>
      <c r="C1512" s="9" t="n">
        <f aca="false">MONTH(A1512)</f>
        <v>8</v>
      </c>
      <c r="D1512" s="9" t="n">
        <f aca="false">YEAR(A1512)</f>
        <v>2023</v>
      </c>
      <c r="E1512" s="9" t="n">
        <f aca="false">WEEKDAY(A1512,2)</f>
        <v>2</v>
      </c>
      <c r="F1512" s="10" t="n">
        <f aca="false">WEEKNUM(A1512,2) - WEEKNUM(DATE(YEAR(A1512),MONTH(A1512),1),2) + 1</f>
        <v>5</v>
      </c>
      <c r="G1512" s="10"/>
      <c r="H1512" s="53" t="n">
        <v>360</v>
      </c>
      <c r="I1512" s="55" t="s">
        <v>20</v>
      </c>
      <c r="J1512" s="52" t="s">
        <v>44</v>
      </c>
      <c r="L1512" s="9" t="n">
        <f aca="false">L1511+H1512</f>
        <v>60015.47</v>
      </c>
      <c r="M1512" s="10" t="str">
        <f aca="false">VLOOKUP(J1512,RECATALOGANDO!A:C,2,0)</f>
        <v>HONORARIOS MEDICOS</v>
      </c>
      <c r="N1512" s="12" t="str">
        <f aca="false">VLOOKUP(M1512,RECATALOGANDO!B:C,2,0)</f>
        <v>VENTA DE SERVICIO</v>
      </c>
      <c r="O1512" s="2" t="s">
        <v>39</v>
      </c>
    </row>
    <row r="1513" customFormat="false" ht="13.8" hidden="false" customHeight="false" outlineLevel="0" collapsed="false">
      <c r="A1513" s="1" t="n">
        <v>45167</v>
      </c>
      <c r="B1513" s="9" t="n">
        <f aca="false">DAY(A1513)</f>
        <v>29</v>
      </c>
      <c r="C1513" s="9" t="n">
        <f aca="false">MONTH(A1513)</f>
        <v>8</v>
      </c>
      <c r="D1513" s="9" t="n">
        <f aca="false">YEAR(A1513)</f>
        <v>2023</v>
      </c>
      <c r="E1513" s="9" t="n">
        <f aca="false">WEEKDAY(A1513,2)</f>
        <v>2</v>
      </c>
      <c r="F1513" s="10" t="n">
        <f aca="false">WEEKNUM(A1513,2) - WEEKNUM(DATE(YEAR(A1513),MONTH(A1513),1),2) + 1</f>
        <v>5</v>
      </c>
      <c r="G1513" s="10"/>
      <c r="H1513" s="53" t="n">
        <v>383.3</v>
      </c>
      <c r="I1513" s="55" t="s">
        <v>15</v>
      </c>
      <c r="J1513" s="52" t="s">
        <v>45</v>
      </c>
      <c r="L1513" s="9" t="n">
        <f aca="false">L1512+H1513</f>
        <v>60398.77</v>
      </c>
      <c r="M1513" s="10" t="str">
        <f aca="false">VLOOKUP(J1513,RECATALOGANDO!A:C,2,0)</f>
        <v>VENTA DE MEDICAMENTO</v>
      </c>
      <c r="N1513" s="12" t="str">
        <f aca="false">VLOOKUP(M1513,RECATALOGANDO!B:C,2,0)</f>
        <v>VENTA DE PRODUCTO</v>
      </c>
      <c r="O1513" s="2" t="s">
        <v>39</v>
      </c>
    </row>
    <row r="1514" customFormat="false" ht="13.8" hidden="false" customHeight="false" outlineLevel="0" collapsed="false">
      <c r="A1514" s="1" t="n">
        <v>45167</v>
      </c>
      <c r="B1514" s="9" t="n">
        <f aca="false">DAY(A1514)</f>
        <v>29</v>
      </c>
      <c r="C1514" s="9" t="n">
        <f aca="false">MONTH(A1514)</f>
        <v>8</v>
      </c>
      <c r="D1514" s="9" t="n">
        <f aca="false">YEAR(A1514)</f>
        <v>2023</v>
      </c>
      <c r="E1514" s="9" t="n">
        <f aca="false">WEEKDAY(A1514,2)</f>
        <v>2</v>
      </c>
      <c r="F1514" s="10" t="n">
        <f aca="false">WEEKNUM(A1514,2) - WEEKNUM(DATE(YEAR(A1514),MONTH(A1514),1),2) + 1</f>
        <v>5</v>
      </c>
      <c r="G1514" s="10"/>
      <c r="H1514" s="53" t="n">
        <v>200</v>
      </c>
      <c r="I1514" s="55" t="s">
        <v>15</v>
      </c>
      <c r="J1514" s="52" t="s">
        <v>53</v>
      </c>
      <c r="L1514" s="9" t="n">
        <f aca="false">L1513+H1514</f>
        <v>60598.77</v>
      </c>
      <c r="M1514" s="10" t="str">
        <f aca="false">VLOOKUP(J1514,RECATALOGANDO!A:C,2,0)</f>
        <v>SERVICIO DE GROOMING</v>
      </c>
      <c r="N1514" s="12" t="str">
        <f aca="false">VLOOKUP(M1514,RECATALOGANDO!B:C,2,0)</f>
        <v>VENTA DE SERVICIO</v>
      </c>
      <c r="O1514" s="2" t="s">
        <v>39</v>
      </c>
    </row>
    <row r="1515" customFormat="false" ht="13.8" hidden="false" customHeight="false" outlineLevel="0" collapsed="false">
      <c r="A1515" s="1" t="n">
        <v>45168</v>
      </c>
      <c r="B1515" s="9" t="n">
        <f aca="false">DAY(A1515)</f>
        <v>30</v>
      </c>
      <c r="C1515" s="9" t="n">
        <f aca="false">MONTH(A1515)</f>
        <v>8</v>
      </c>
      <c r="D1515" s="9" t="n">
        <f aca="false">YEAR(A1515)</f>
        <v>2023</v>
      </c>
      <c r="E1515" s="9" t="n">
        <f aca="false">WEEKDAY(A1515,2)</f>
        <v>3</v>
      </c>
      <c r="F1515" s="10" t="n">
        <f aca="false">WEEKNUM(A1515,2) - WEEKNUM(DATE(YEAR(A1515),MONTH(A1515),1),2) + 1</f>
        <v>5</v>
      </c>
      <c r="G1515" s="10"/>
      <c r="H1515" s="53" t="n">
        <v>850</v>
      </c>
      <c r="I1515" s="55" t="s">
        <v>20</v>
      </c>
      <c r="J1515" s="52" t="s">
        <v>45</v>
      </c>
      <c r="L1515" s="9" t="n">
        <f aca="false">L1514+H1515</f>
        <v>61448.77</v>
      </c>
      <c r="M1515" s="10" t="str">
        <f aca="false">VLOOKUP(J1515,RECATALOGANDO!A:C,2,0)</f>
        <v>VENTA DE MEDICAMENTO</v>
      </c>
      <c r="N1515" s="12" t="str">
        <f aca="false">VLOOKUP(M1515,RECATALOGANDO!B:C,2,0)</f>
        <v>VENTA DE PRODUCTO</v>
      </c>
      <c r="O1515" s="2" t="s">
        <v>39</v>
      </c>
    </row>
    <row r="1516" customFormat="false" ht="13.8" hidden="false" customHeight="false" outlineLevel="0" collapsed="false">
      <c r="A1516" s="46" t="n">
        <v>45169</v>
      </c>
      <c r="B1516" s="9" t="n">
        <f aca="false">DAY(A1516)</f>
        <v>31</v>
      </c>
      <c r="C1516" s="9" t="n">
        <f aca="false">MONTH(A1516)</f>
        <v>8</v>
      </c>
      <c r="D1516" s="9" t="n">
        <f aca="false">YEAR(A1516)</f>
        <v>2023</v>
      </c>
      <c r="E1516" s="9" t="n">
        <f aca="false">WEEKDAY(A1516,2)</f>
        <v>4</v>
      </c>
      <c r="F1516" s="10" t="n">
        <f aca="false">WEEKNUM(A1516,2) - WEEKNUM(DATE(YEAR(A1516),MONTH(A1516),1),2) + 1</f>
        <v>5</v>
      </c>
      <c r="G1516" s="10"/>
      <c r="H1516" s="54" t="n">
        <v>1950</v>
      </c>
      <c r="I1516" s="48" t="s">
        <v>20</v>
      </c>
      <c r="J1516" s="48" t="s">
        <v>35</v>
      </c>
      <c r="L1516" s="9" t="n">
        <f aca="false">L1515+H1516</f>
        <v>63398.77</v>
      </c>
      <c r="M1516" s="10" t="str">
        <f aca="false">VLOOKUP(J1516,RECATALOGANDO!A:C,2,0)</f>
        <v>TRANSFERENCIA ENTRE CUENTAS</v>
      </c>
      <c r="N1516" s="12" t="str">
        <f aca="false">VLOOKUP(M1516,RECATALOGANDO!B:C,2,0)</f>
        <v>TRANSFERENCIAS</v>
      </c>
      <c r="O1516" s="2" t="s">
        <v>31</v>
      </c>
    </row>
    <row r="1517" customFormat="false" ht="13.8" hidden="false" customHeight="false" outlineLevel="0" collapsed="false">
      <c r="A1517" s="1" t="n">
        <v>45169</v>
      </c>
      <c r="B1517" s="9" t="n">
        <f aca="false">DAY(A1517)</f>
        <v>31</v>
      </c>
      <c r="C1517" s="9" t="n">
        <f aca="false">MONTH(A1517)</f>
        <v>8</v>
      </c>
      <c r="D1517" s="9" t="n">
        <f aca="false">YEAR(A1517)</f>
        <v>2023</v>
      </c>
      <c r="E1517" s="9" t="n">
        <f aca="false">WEEKDAY(A1517,2)</f>
        <v>4</v>
      </c>
      <c r="F1517" s="10" t="n">
        <f aca="false">WEEKNUM(A1517,2) - WEEKNUM(DATE(YEAR(A1517),MONTH(A1517),1),2) + 1</f>
        <v>5</v>
      </c>
      <c r="G1517" s="10"/>
      <c r="H1517" s="53" t="n">
        <v>150</v>
      </c>
      <c r="I1517" s="55" t="s">
        <v>15</v>
      </c>
      <c r="J1517" s="52" t="s">
        <v>53</v>
      </c>
      <c r="L1517" s="9" t="n">
        <f aca="false">L1516+H1517</f>
        <v>63548.77</v>
      </c>
      <c r="M1517" s="10" t="str">
        <f aca="false">VLOOKUP(J1517,RECATALOGANDO!A:C,2,0)</f>
        <v>SERVICIO DE GROOMING</v>
      </c>
      <c r="N1517" s="12" t="str">
        <f aca="false">VLOOKUP(M1517,RECATALOGANDO!B:C,2,0)</f>
        <v>VENTA DE SERVICIO</v>
      </c>
      <c r="O1517" s="2" t="s">
        <v>39</v>
      </c>
    </row>
    <row r="1518" customFormat="false" ht="13.8" hidden="false" customHeight="false" outlineLevel="0" collapsed="false">
      <c r="A1518" s="1" t="n">
        <v>45169</v>
      </c>
      <c r="B1518" s="9" t="n">
        <f aca="false">DAY(A1518)</f>
        <v>31</v>
      </c>
      <c r="C1518" s="9" t="n">
        <f aca="false">MONTH(A1518)</f>
        <v>8</v>
      </c>
      <c r="D1518" s="9" t="n">
        <f aca="false">YEAR(A1518)</f>
        <v>2023</v>
      </c>
      <c r="E1518" s="9" t="n">
        <f aca="false">WEEKDAY(A1518,2)</f>
        <v>4</v>
      </c>
      <c r="F1518" s="10" t="n">
        <f aca="false">WEEKNUM(A1518,2) - WEEKNUM(DATE(YEAR(A1518),MONTH(A1518),1),2) + 1</f>
        <v>5</v>
      </c>
      <c r="G1518" s="10"/>
      <c r="H1518" s="53" t="n">
        <v>3500</v>
      </c>
      <c r="I1518" s="55" t="s">
        <v>15</v>
      </c>
      <c r="J1518" s="52" t="s">
        <v>41</v>
      </c>
      <c r="L1518" s="9" t="n">
        <f aca="false">L1517+H1518</f>
        <v>67048.77</v>
      </c>
      <c r="M1518" s="10" t="str">
        <f aca="false">VLOOKUP(J1518,RECATALOGANDO!A:C,2,0)</f>
        <v>HONORARIOS QUIRURGICOS</v>
      </c>
      <c r="N1518" s="12" t="str">
        <f aca="false">VLOOKUP(M1518,RECATALOGANDO!B:C,2,0)</f>
        <v>VENTA DE SERVICIO</v>
      </c>
      <c r="O1518" s="2" t="s">
        <v>39</v>
      </c>
    </row>
    <row r="1519" customFormat="false" ht="13.8" hidden="false" customHeight="false" outlineLevel="0" collapsed="false">
      <c r="A1519" s="1" t="n">
        <v>45169</v>
      </c>
      <c r="B1519" s="9" t="n">
        <f aca="false">DAY(A1519)</f>
        <v>31</v>
      </c>
      <c r="C1519" s="9" t="n">
        <f aca="false">MONTH(A1519)</f>
        <v>8</v>
      </c>
      <c r="D1519" s="9" t="n">
        <f aca="false">YEAR(A1519)</f>
        <v>2023</v>
      </c>
      <c r="E1519" s="9" t="n">
        <f aca="false">WEEKDAY(A1519,2)</f>
        <v>4</v>
      </c>
      <c r="F1519" s="10" t="n">
        <f aca="false">WEEKNUM(A1519,2) - WEEKNUM(DATE(YEAR(A1519),MONTH(A1519),1),2) + 1</f>
        <v>5</v>
      </c>
      <c r="G1519" s="10"/>
      <c r="H1519" s="53" t="n">
        <v>4100</v>
      </c>
      <c r="I1519" s="55" t="s">
        <v>15</v>
      </c>
      <c r="J1519" s="52" t="s">
        <v>58</v>
      </c>
      <c r="L1519" s="9" t="n">
        <f aca="false">L1518+H1519</f>
        <v>71148.77</v>
      </c>
      <c r="M1519" s="10" t="str">
        <f aca="false">VLOOKUP(J1519,RECATALOGANDO!A:C,2,0)</f>
        <v>SERVICIO DE LABORATORIO</v>
      </c>
      <c r="N1519" s="12" t="str">
        <f aca="false">VLOOKUP(M1519,RECATALOGANDO!B:C,2,0)</f>
        <v>VENTA DE SERVICIO</v>
      </c>
      <c r="O1519" s="2" t="s">
        <v>39</v>
      </c>
    </row>
    <row r="1048576" customFormat="false" ht="12.8" hidden="false" customHeight="false" outlineLevel="0" collapsed="false"/>
  </sheetData>
  <autoFilter ref="A1:O1456"/>
  <conditionalFormatting sqref="J345:J377">
    <cfRule type="containsText" priority="2" operator="containsText" aboveAverage="0" equalAverage="0" bottom="0" percent="0" rank="0" text="ENTRE" dxfId="14">
      <formula>NOT(ISERROR(SEARCH("ENTRE",J345)))</formula>
    </cfRule>
  </conditionalFormatting>
  <conditionalFormatting sqref="J345:J377">
    <cfRule type="containsText" priority="3" operator="containsText" aboveAverage="0" equalAverage="0" bottom="0" percent="0" rank="0" text="FAMILIARES" dxfId="15">
      <formula>NOT(ISERROR(SEARCH("FAMILIARES",J345)))</formula>
    </cfRule>
  </conditionalFormatting>
  <dataValidations count="2">
    <dataValidation allowBlank="true" errorStyle="stop" operator="between" showDropDown="false" showErrorMessage="true" showInputMessage="true" sqref="J10 I61:J61 I496:J496 I497 I499:J515 J516:J528" type="list">
      <formula1>'c:\users\asus\onedrive\documentos\[relacion dep.junio25.xlsx]hoja1'!#ref!</formula1>
      <formula2>0</formula2>
    </dataValidation>
    <dataValidation allowBlank="true" errorStyle="stop" operator="between" showDropDown="false" showErrorMessage="true" showInputMessage="true" sqref="J497" type="list">
      <formula1>'c:\users\asus\onedrive\documentos\[relacion dep.junio25.xlsx]hoja1'!#ref!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43"/>
  <sheetViews>
    <sheetView showFormulas="false" showGridLines="true" showRowColHeaders="true" showZeros="true" rightToLeft="false" tabSelected="false" showOutlineSymbols="true" defaultGridColor="true" view="normal" topLeftCell="A208" colorId="64" zoomScale="115" zoomScaleNormal="115" zoomScalePageLayoutView="100" workbookViewId="0">
      <selection pane="topLeft" activeCell="K291" activeCellId="0" sqref="K29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.33"/>
    <col collapsed="false" customWidth="true" hidden="false" outlineLevel="0" max="3" min="3" style="2" width="7.11"/>
    <col collapsed="false" customWidth="true" hidden="false" outlineLevel="0" max="4" min="4" style="2" width="7.76"/>
    <col collapsed="false" customWidth="true" hidden="false" outlineLevel="0" max="5" min="5" style="2" width="11.67"/>
    <col collapsed="false" customWidth="true" hidden="false" outlineLevel="0" max="6" min="6" style="2" width="12.67"/>
    <col collapsed="false" customWidth="true" hidden="false" outlineLevel="0" max="7" min="7" style="2" width="7.22"/>
    <col collapsed="false" customWidth="true" hidden="false" outlineLevel="0" max="8" min="8" style="3" width="10.44"/>
    <col collapsed="false" customWidth="true" hidden="false" outlineLevel="0" max="9" min="9" style="2" width="10"/>
    <col collapsed="false" customWidth="true" hidden="false" outlineLevel="0" max="10" min="10" style="2" width="47.56"/>
    <col collapsed="false" customWidth="true" hidden="false" outlineLevel="0" max="11" min="11" style="2" width="16.67"/>
    <col collapsed="false" customWidth="true" hidden="false" outlineLevel="0" max="12" min="12" style="2" width="15.33"/>
    <col collapsed="false" customWidth="true" hidden="false" outlineLevel="0" max="13" min="13" style="2" width="28.33"/>
    <col collapsed="false" customWidth="true" hidden="false" outlineLevel="0" max="14" min="14" style="2" width="25.22"/>
    <col collapsed="false" customWidth="false" hidden="false" outlineLevel="0" max="15" min="15" style="41" width="10.67"/>
  </cols>
  <sheetData>
    <row r="1" customFormat="false" ht="14.2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</row>
    <row r="2" customFormat="false" ht="13.8" hidden="false" customHeight="false" outlineLevel="0" collapsed="false">
      <c r="A2" s="8" t="n">
        <v>45507</v>
      </c>
      <c r="B2" s="9" t="n">
        <f aca="false">DAY(A2)</f>
        <v>3</v>
      </c>
      <c r="C2" s="9" t="n">
        <f aca="false">MONTH(A2)</f>
        <v>8</v>
      </c>
      <c r="D2" s="9" t="n">
        <f aca="false">YEAR(A2)</f>
        <v>2024</v>
      </c>
      <c r="E2" s="9" t="n">
        <f aca="false">WEEKDAY(A2,2)</f>
        <v>6</v>
      </c>
      <c r="F2" s="10" t="n">
        <f aca="false">WEEKNUM(A2,2) - WEEKNUM(DATE(YEAR(A2),MONTH(A2),1),2) + 1</f>
        <v>1</v>
      </c>
      <c r="G2" s="10"/>
      <c r="H2" s="11" t="n">
        <v>277</v>
      </c>
      <c r="I2" s="12" t="s">
        <v>15</v>
      </c>
      <c r="J2" s="12"/>
      <c r="K2" s="12"/>
      <c r="L2" s="9"/>
      <c r="M2" s="12" t="s">
        <v>16</v>
      </c>
      <c r="N2" s="12" t="s">
        <v>16</v>
      </c>
      <c r="O2" s="2" t="s">
        <v>16</v>
      </c>
    </row>
    <row r="3" customFormat="false" ht="13.8" hidden="false" customHeight="false" outlineLevel="0" collapsed="false">
      <c r="A3" s="8" t="n">
        <v>45519</v>
      </c>
      <c r="B3" s="9" t="n">
        <f aca="false">DAY(A3)</f>
        <v>15</v>
      </c>
      <c r="C3" s="9" t="n">
        <f aca="false">MONTH(A3)</f>
        <v>8</v>
      </c>
      <c r="D3" s="9" t="n">
        <f aca="false">YEAR(A3)</f>
        <v>2024</v>
      </c>
      <c r="E3" s="9" t="n">
        <f aca="false">WEEKDAY(A3,2)</f>
        <v>4</v>
      </c>
      <c r="F3" s="10" t="n">
        <f aca="false">WEEKNUM(A3,2) - WEEKNUM(DATE(YEAR(A3),MONTH(A3),1),2) + 1</f>
        <v>3</v>
      </c>
      <c r="G3" s="10" t="n">
        <v>1</v>
      </c>
      <c r="H3" s="11" t="n">
        <v>729.22</v>
      </c>
      <c r="I3" s="12" t="s">
        <v>15</v>
      </c>
      <c r="J3" s="12"/>
      <c r="K3" s="12"/>
      <c r="L3" s="9"/>
      <c r="M3" s="12" t="s">
        <v>16</v>
      </c>
      <c r="N3" s="12" t="s">
        <v>16</v>
      </c>
      <c r="O3" s="2" t="s">
        <v>16</v>
      </c>
    </row>
    <row r="4" customFormat="false" ht="13.8" hidden="false" customHeight="false" outlineLevel="0" collapsed="false">
      <c r="A4" s="8" t="n">
        <v>45522</v>
      </c>
      <c r="B4" s="9" t="n">
        <f aca="false">DAY(A4)</f>
        <v>18</v>
      </c>
      <c r="C4" s="9" t="n">
        <f aca="false">MONTH(A4)</f>
        <v>8</v>
      </c>
      <c r="D4" s="9" t="n">
        <f aca="false">YEAR(A4)</f>
        <v>2024</v>
      </c>
      <c r="E4" s="9" t="n">
        <f aca="false">WEEKDAY(A4,2)</f>
        <v>7</v>
      </c>
      <c r="F4" s="10" t="n">
        <f aca="false">WEEKNUM(A4,2) - WEEKNUM(DATE(YEAR(A4),MONTH(A4),1),2) + 1</f>
        <v>3</v>
      </c>
      <c r="G4" s="10"/>
      <c r="H4" s="11" t="n">
        <v>1856.11</v>
      </c>
      <c r="I4" s="12" t="s">
        <v>15</v>
      </c>
      <c r="J4" s="12"/>
      <c r="K4" s="12"/>
      <c r="L4" s="9"/>
      <c r="M4" s="12" t="s">
        <v>16</v>
      </c>
      <c r="N4" s="12" t="s">
        <v>16</v>
      </c>
      <c r="O4" s="2" t="s">
        <v>16</v>
      </c>
    </row>
    <row r="5" customFormat="false" ht="13.8" hidden="false" customHeight="false" outlineLevel="0" collapsed="false">
      <c r="A5" s="8" t="n">
        <v>45524</v>
      </c>
      <c r="B5" s="9" t="n">
        <f aca="false">DAY(A5)</f>
        <v>20</v>
      </c>
      <c r="C5" s="9" t="n">
        <f aca="false">MONTH(A5)</f>
        <v>8</v>
      </c>
      <c r="D5" s="9" t="n">
        <f aca="false">YEAR(A5)</f>
        <v>2024</v>
      </c>
      <c r="E5" s="9" t="n">
        <f aca="false">WEEKDAY(A5,2)</f>
        <v>2</v>
      </c>
      <c r="F5" s="10" t="n">
        <f aca="false">WEEKNUM(A5,2) - WEEKNUM(DATE(YEAR(A5),MONTH(A5),1),2) + 1</f>
        <v>4</v>
      </c>
      <c r="G5" s="10"/>
      <c r="H5" s="11" t="n">
        <v>1043.51</v>
      </c>
      <c r="I5" s="12" t="s">
        <v>15</v>
      </c>
      <c r="J5" s="12"/>
      <c r="K5" s="12"/>
      <c r="L5" s="9"/>
      <c r="M5" s="12" t="s">
        <v>16</v>
      </c>
      <c r="N5" s="12" t="s">
        <v>16</v>
      </c>
      <c r="O5" s="2" t="s">
        <v>16</v>
      </c>
    </row>
    <row r="6" customFormat="false" ht="13.8" hidden="false" customHeight="false" outlineLevel="0" collapsed="false">
      <c r="A6" s="8" t="n">
        <v>45529</v>
      </c>
      <c r="B6" s="9" t="n">
        <f aca="false">DAY(A6)</f>
        <v>25</v>
      </c>
      <c r="C6" s="9" t="n">
        <f aca="false">MONTH(A6)</f>
        <v>8</v>
      </c>
      <c r="D6" s="9" t="n">
        <f aca="false">YEAR(A6)</f>
        <v>2024</v>
      </c>
      <c r="E6" s="9" t="n">
        <f aca="false">WEEKDAY(A6,2)</f>
        <v>7</v>
      </c>
      <c r="F6" s="10" t="n">
        <f aca="false">WEEKNUM(A6,2) - WEEKNUM(DATE(YEAR(A6),MONTH(A6),1),2) + 1</f>
        <v>4</v>
      </c>
      <c r="G6" s="10"/>
      <c r="H6" s="11" t="n">
        <v>575.67</v>
      </c>
      <c r="I6" s="12" t="s">
        <v>15</v>
      </c>
      <c r="J6" s="12"/>
      <c r="K6" s="12"/>
      <c r="L6" s="9"/>
      <c r="M6" s="12" t="s">
        <v>16</v>
      </c>
      <c r="N6" s="12" t="s">
        <v>16</v>
      </c>
      <c r="O6" s="2" t="s">
        <v>16</v>
      </c>
    </row>
    <row r="7" customFormat="false" ht="13.8" hidden="false" customHeight="false" outlineLevel="0" collapsed="false">
      <c r="A7" s="8" t="n">
        <v>44968</v>
      </c>
      <c r="B7" s="9" t="n">
        <f aca="false">DAY(A7)</f>
        <v>11</v>
      </c>
      <c r="C7" s="9" t="n">
        <f aca="false">MONTH(A7)</f>
        <v>2</v>
      </c>
      <c r="D7" s="9" t="n">
        <f aca="false">YEAR(A7)</f>
        <v>2023</v>
      </c>
      <c r="E7" s="9" t="n">
        <f aca="false">WEEKDAY(A7,2)</f>
        <v>6</v>
      </c>
      <c r="F7" s="10" t="n">
        <f aca="false">WEEKNUM(A7,2) - WEEKNUM(DATE(YEAR(A7),MONTH(A7),1),2) + 1</f>
        <v>2</v>
      </c>
      <c r="G7" s="10"/>
      <c r="H7" s="11" t="n">
        <v>1815</v>
      </c>
      <c r="I7" s="12" t="s">
        <v>15</v>
      </c>
      <c r="J7" s="12" t="s">
        <v>17</v>
      </c>
      <c r="K7" s="12"/>
      <c r="L7" s="9"/>
      <c r="M7" s="10" t="str">
        <f aca="false">VLOOKUP(J7,RECATALOGANDO!A:C,2,0)</f>
        <v>DONATIVO</v>
      </c>
      <c r="N7" s="12" t="str">
        <f aca="false">VLOOKUP(M7,RECATALOGANDO!B:C,2,0)</f>
        <v>DONATIVO</v>
      </c>
      <c r="O7" s="2" t="s">
        <v>18</v>
      </c>
    </row>
    <row r="8" customFormat="false" ht="13.8" hidden="false" customHeight="false" outlineLevel="0" collapsed="false">
      <c r="A8" s="8" t="n">
        <v>44968</v>
      </c>
      <c r="B8" s="9" t="n">
        <f aca="false">DAY(A8)</f>
        <v>11</v>
      </c>
      <c r="C8" s="9" t="n">
        <f aca="false">MONTH(A8)</f>
        <v>2</v>
      </c>
      <c r="D8" s="9" t="n">
        <f aca="false">YEAR(A8)</f>
        <v>2023</v>
      </c>
      <c r="E8" s="9" t="n">
        <f aca="false">WEEKDAY(A8,2)</f>
        <v>6</v>
      </c>
      <c r="F8" s="10" t="n">
        <f aca="false">WEEKNUM(A8,2) - WEEKNUM(DATE(YEAR(A8),MONTH(A8),1),2) + 1</f>
        <v>2</v>
      </c>
      <c r="G8" s="10"/>
      <c r="H8" s="11" t="n">
        <v>1815</v>
      </c>
      <c r="I8" s="12" t="s">
        <v>15</v>
      </c>
      <c r="J8" s="12" t="s">
        <v>17</v>
      </c>
      <c r="K8" s="12"/>
      <c r="L8" s="9"/>
      <c r="M8" s="10" t="str">
        <f aca="false">VLOOKUP(J8,RECATALOGANDO!A:C,2,0)</f>
        <v>DONATIVO</v>
      </c>
      <c r="N8" s="12" t="str">
        <f aca="false">VLOOKUP(M8,RECATALOGANDO!B:C,2,0)</f>
        <v>DONATIVO</v>
      </c>
      <c r="O8" s="2" t="s">
        <v>18</v>
      </c>
    </row>
    <row r="9" customFormat="false" ht="13.8" hidden="false" customHeight="false" outlineLevel="0" collapsed="false">
      <c r="A9" s="13" t="n">
        <v>45118</v>
      </c>
      <c r="B9" s="9" t="n">
        <f aca="false">DAY(A9)</f>
        <v>11</v>
      </c>
      <c r="C9" s="9" t="n">
        <f aca="false">MONTH(A9)</f>
        <v>7</v>
      </c>
      <c r="D9" s="9" t="n">
        <f aca="false">YEAR(A9)</f>
        <v>2023</v>
      </c>
      <c r="E9" s="9" t="n">
        <f aca="false">WEEKDAY(A9,2)</f>
        <v>2</v>
      </c>
      <c r="F9" s="10" t="n">
        <f aca="false">WEEKNUM(A9,2) - WEEKNUM(DATE(YEAR(A9),MONTH(A9),1),2) + 1</f>
        <v>3</v>
      </c>
      <c r="G9" s="10"/>
      <c r="H9" s="14" t="n">
        <v>55900</v>
      </c>
      <c r="I9" s="15" t="s">
        <v>15</v>
      </c>
      <c r="J9" s="15" t="s">
        <v>19</v>
      </c>
      <c r="K9" s="12"/>
      <c r="L9" s="9"/>
      <c r="M9" s="10" t="str">
        <f aca="false">VLOOKUP(J9,RECATALOGANDO!A:C,2,0)</f>
        <v>PRESTAMO BANCARIO</v>
      </c>
      <c r="N9" s="12" t="str">
        <f aca="false">VLOOKUP(M9,RECATALOGANDO!B:C,2,0)</f>
        <v>PRESTAMO</v>
      </c>
      <c r="O9" s="2" t="s">
        <v>18</v>
      </c>
    </row>
    <row r="10" customFormat="false" ht="13.8" hidden="false" customHeight="false" outlineLevel="0" collapsed="false">
      <c r="A10" s="16" t="n">
        <v>45173</v>
      </c>
      <c r="B10" s="9" t="n">
        <f aca="false">DAY(A10)</f>
        <v>4</v>
      </c>
      <c r="C10" s="9" t="n">
        <f aca="false">MONTH(A10)</f>
        <v>9</v>
      </c>
      <c r="D10" s="9" t="n">
        <f aca="false">YEAR(A10)</f>
        <v>2023</v>
      </c>
      <c r="E10" s="9" t="n">
        <f aca="false">WEEKDAY(A10,2)</f>
        <v>1</v>
      </c>
      <c r="F10" s="10" t="n">
        <f aca="false">WEEKNUM(A10,2) - WEEKNUM(DATE(YEAR(A10),MONTH(A10),1),2) + 1</f>
        <v>2</v>
      </c>
      <c r="G10" s="10"/>
      <c r="H10" s="17" t="n">
        <v>26571</v>
      </c>
      <c r="I10" s="18" t="s">
        <v>20</v>
      </c>
      <c r="J10" s="18" t="s">
        <v>21</v>
      </c>
      <c r="K10" s="12"/>
      <c r="L10" s="9"/>
      <c r="M10" s="10" t="str">
        <f aca="false">VLOOKUP(J10,RECATALOGANDO!A:C,2,0)</f>
        <v>REEMBOLSO</v>
      </c>
      <c r="N10" s="12" t="str">
        <f aca="false">VLOOKUP(M10,RECATALOGANDO!B:C,2,0)</f>
        <v>DINERO DEVUELTO A ORIGEN</v>
      </c>
      <c r="O10" s="2" t="s">
        <v>18</v>
      </c>
    </row>
    <row r="11" customFormat="false" ht="13.8" hidden="false" customHeight="false" outlineLevel="0" collapsed="false">
      <c r="A11" s="19" t="n">
        <v>45181</v>
      </c>
      <c r="B11" s="9" t="n">
        <f aca="false">DAY(A11)</f>
        <v>12</v>
      </c>
      <c r="C11" s="9" t="n">
        <f aca="false">MONTH(A11)</f>
        <v>9</v>
      </c>
      <c r="D11" s="9" t="n">
        <f aca="false">YEAR(A11)</f>
        <v>2023</v>
      </c>
      <c r="E11" s="9" t="n">
        <f aca="false">WEEKDAY(A11,2)</f>
        <v>2</v>
      </c>
      <c r="F11" s="10" t="n">
        <f aca="false">WEEKNUM(A11,2) - WEEKNUM(DATE(YEAR(A11),MONTH(A11),1),2) + 1</f>
        <v>3</v>
      </c>
      <c r="G11" s="10"/>
      <c r="H11" s="20" t="n">
        <v>80000</v>
      </c>
      <c r="I11" s="21" t="s">
        <v>15</v>
      </c>
      <c r="J11" s="21" t="s">
        <v>22</v>
      </c>
      <c r="K11" s="12"/>
      <c r="L11" s="9"/>
      <c r="M11" s="10" t="str">
        <f aca="false">VLOOKUP(J11,RECATALOGANDO!A:C,2,0)</f>
        <v>DEPÓSITO PRESTAMO</v>
      </c>
      <c r="N11" s="12" t="str">
        <f aca="false">VLOOKUP(M11,RECATALOGANDO!B:C,2,0)</f>
        <v>PRESTAMO</v>
      </c>
      <c r="O11" s="2" t="s">
        <v>18</v>
      </c>
    </row>
    <row r="12" customFormat="false" ht="13.8" hidden="false" customHeight="false" outlineLevel="0" collapsed="false">
      <c r="A12" s="8" t="n">
        <v>45215</v>
      </c>
      <c r="B12" s="9" t="n">
        <f aca="false">DAY(A12)</f>
        <v>16</v>
      </c>
      <c r="C12" s="9" t="n">
        <f aca="false">MONTH(A12)</f>
        <v>10</v>
      </c>
      <c r="D12" s="9" t="n">
        <f aca="false">YEAR(A12)</f>
        <v>2023</v>
      </c>
      <c r="E12" s="9" t="n">
        <f aca="false">WEEKDAY(A12,2)</f>
        <v>1</v>
      </c>
      <c r="F12" s="10" t="n">
        <f aca="false">WEEKNUM(A12,2) - WEEKNUM(DATE(YEAR(A12),MONTH(A12),1),2) + 1</f>
        <v>4</v>
      </c>
      <c r="G12" s="10"/>
      <c r="H12" s="11" t="n">
        <v>200</v>
      </c>
      <c r="I12" s="12" t="s">
        <v>20</v>
      </c>
      <c r="J12" s="22" t="s">
        <v>23</v>
      </c>
      <c r="K12" s="12"/>
      <c r="L12" s="9"/>
      <c r="M12" s="10" t="str">
        <f aca="false">VLOOKUP(J12,RECATALOGANDO!A:C,2,0)</f>
        <v>REEMBOLSO</v>
      </c>
      <c r="N12" s="12" t="str">
        <f aca="false">VLOOKUP(M12,RECATALOGANDO!B:C,2,0)</f>
        <v>DINERO DEVUELTO A ORIGEN</v>
      </c>
      <c r="O12" s="2" t="s">
        <v>18</v>
      </c>
    </row>
    <row r="13" customFormat="false" ht="13.8" hidden="false" customHeight="false" outlineLevel="0" collapsed="false">
      <c r="A13" s="23" t="n">
        <v>45282</v>
      </c>
      <c r="B13" s="9" t="n">
        <f aca="false">DAY(A13)</f>
        <v>22</v>
      </c>
      <c r="C13" s="9" t="n">
        <f aca="false">MONTH(A13)</f>
        <v>12</v>
      </c>
      <c r="D13" s="9" t="n">
        <f aca="false">YEAR(A13)</f>
        <v>2023</v>
      </c>
      <c r="E13" s="9" t="n">
        <f aca="false">WEEKDAY(A13,2)</f>
        <v>5</v>
      </c>
      <c r="F13" s="10" t="n">
        <f aca="false">WEEKNUM(A13,2) - WEEKNUM(DATE(YEAR(A13),MONTH(A13),1),2) + 1</f>
        <v>4</v>
      </c>
      <c r="G13" s="10"/>
      <c r="H13" s="24" t="n">
        <v>2895</v>
      </c>
      <c r="I13" s="25" t="s">
        <v>15</v>
      </c>
      <c r="J13" s="25" t="s">
        <v>24</v>
      </c>
      <c r="K13" s="12"/>
      <c r="L13" s="9"/>
      <c r="M13" s="10" t="str">
        <f aca="false">VLOOKUP(J13,RECATALOGANDO!A:C,2,0)</f>
        <v>REEMBOLSO</v>
      </c>
      <c r="N13" s="12" t="str">
        <f aca="false">VLOOKUP(M13,RECATALOGANDO!B:C,2,0)</f>
        <v>DINERO DEVUELTO A ORIGEN</v>
      </c>
      <c r="O13" s="2" t="s">
        <v>18</v>
      </c>
    </row>
    <row r="14" customFormat="false" ht="13.8" hidden="false" customHeight="false" outlineLevel="0" collapsed="false">
      <c r="A14" s="23" t="n">
        <v>45365</v>
      </c>
      <c r="B14" s="9" t="n">
        <f aca="false">DAY(A14)</f>
        <v>14</v>
      </c>
      <c r="C14" s="9" t="n">
        <f aca="false">MONTH(A14)</f>
        <v>3</v>
      </c>
      <c r="D14" s="9" t="n">
        <f aca="false">YEAR(A14)</f>
        <v>2024</v>
      </c>
      <c r="E14" s="9" t="n">
        <f aca="false">WEEKDAY(A14,2)</f>
        <v>4</v>
      </c>
      <c r="F14" s="10" t="n">
        <f aca="false">WEEKNUM(A14,2) - WEEKNUM(DATE(YEAR(A14),MONTH(A14),1),2) + 1</f>
        <v>3</v>
      </c>
      <c r="G14" s="10"/>
      <c r="H14" s="24" t="n">
        <v>3500</v>
      </c>
      <c r="I14" s="25" t="s">
        <v>15</v>
      </c>
      <c r="J14" s="25" t="s">
        <v>23</v>
      </c>
      <c r="K14" s="12"/>
      <c r="L14" s="9"/>
      <c r="M14" s="10" t="str">
        <f aca="false">VLOOKUP(J14,RECATALOGANDO!A:C,2,0)</f>
        <v>REEMBOLSO</v>
      </c>
      <c r="N14" s="12" t="str">
        <f aca="false">VLOOKUP(M14,RECATALOGANDO!B:C,2,0)</f>
        <v>DINERO DEVUELTO A ORIGEN</v>
      </c>
      <c r="O14" s="2" t="s">
        <v>18</v>
      </c>
    </row>
    <row r="15" customFormat="false" ht="13.8" hidden="false" customHeight="false" outlineLevel="0" collapsed="false">
      <c r="A15" s="8" t="n">
        <v>45366</v>
      </c>
      <c r="B15" s="9" t="n">
        <f aca="false">DAY(A15)</f>
        <v>15</v>
      </c>
      <c r="C15" s="9" t="n">
        <f aca="false">MONTH(A15)</f>
        <v>3</v>
      </c>
      <c r="D15" s="9" t="n">
        <f aca="false">YEAR(A15)</f>
        <v>2024</v>
      </c>
      <c r="E15" s="9" t="n">
        <f aca="false">WEEKDAY(A15,2)</f>
        <v>5</v>
      </c>
      <c r="F15" s="10" t="n">
        <f aca="false">WEEKNUM(A15,2) - WEEKNUM(DATE(YEAR(A15),MONTH(A15),1),2) + 1</f>
        <v>3</v>
      </c>
      <c r="G15" s="10" t="n">
        <v>1</v>
      </c>
      <c r="H15" s="11" t="n">
        <v>140</v>
      </c>
      <c r="I15" s="12" t="s">
        <v>20</v>
      </c>
      <c r="J15" s="12" t="s">
        <v>23</v>
      </c>
      <c r="K15" s="12"/>
      <c r="L15" s="9"/>
      <c r="M15" s="10" t="str">
        <f aca="false">VLOOKUP(J15,RECATALOGANDO!A:C,2,0)</f>
        <v>REEMBOLSO</v>
      </c>
      <c r="N15" s="12" t="str">
        <f aca="false">VLOOKUP(M15,RECATALOGANDO!B:C,2,0)</f>
        <v>DINERO DEVUELTO A ORIGEN</v>
      </c>
      <c r="O15" s="2" t="s">
        <v>18</v>
      </c>
    </row>
    <row r="16" customFormat="false" ht="13.8" hidden="false" customHeight="false" outlineLevel="0" collapsed="false">
      <c r="A16" s="26" t="n">
        <v>45527</v>
      </c>
      <c r="B16" s="9" t="n">
        <f aca="false">DAY(A16)</f>
        <v>23</v>
      </c>
      <c r="C16" s="9" t="n">
        <f aca="false">MONTH(A16)</f>
        <v>8</v>
      </c>
      <c r="D16" s="9" t="n">
        <f aca="false">YEAR(A16)</f>
        <v>2024</v>
      </c>
      <c r="E16" s="9" t="n">
        <f aca="false">WEEKDAY(A16,2)</f>
        <v>5</v>
      </c>
      <c r="F16" s="10" t="n">
        <f aca="false">WEEKNUM(A16,2) - WEEKNUM(DATE(YEAR(A16),MONTH(A16),1),2) + 1</f>
        <v>4</v>
      </c>
      <c r="G16" s="10"/>
      <c r="H16" s="27" t="n">
        <v>5000</v>
      </c>
      <c r="I16" s="28" t="s">
        <v>20</v>
      </c>
      <c r="J16" s="28" t="s">
        <v>25</v>
      </c>
      <c r="K16" s="12"/>
      <c r="L16" s="9"/>
      <c r="M16" s="10" t="str">
        <f aca="false">VLOOKUP(J16,RECATALOGANDO!A:C,2,0)</f>
        <v>PENSION ALIMENTICIA</v>
      </c>
      <c r="N16" s="12" t="str">
        <f aca="false">VLOOKUP(M16,RECATALOGANDO!B:C,2,0)</f>
        <v>PENSION</v>
      </c>
      <c r="O16" s="2" t="s">
        <v>18</v>
      </c>
    </row>
    <row r="17" customFormat="false" ht="13.8" hidden="false" customHeight="false" outlineLevel="0" collapsed="false">
      <c r="A17" s="13" t="n">
        <v>45587</v>
      </c>
      <c r="B17" s="9" t="n">
        <f aca="false">DAY(A17)</f>
        <v>22</v>
      </c>
      <c r="C17" s="9" t="n">
        <f aca="false">MONTH(A17)</f>
        <v>10</v>
      </c>
      <c r="D17" s="9" t="n">
        <f aca="false">YEAR(A17)</f>
        <v>2024</v>
      </c>
      <c r="E17" s="9" t="n">
        <f aca="false">WEEKDAY(A17,2)</f>
        <v>2</v>
      </c>
      <c r="F17" s="10" t="n">
        <f aca="false">WEEKNUM(A17,2) - WEEKNUM(DATE(YEAR(A17),MONTH(A17),1),2) + 1</f>
        <v>4</v>
      </c>
      <c r="G17" s="10"/>
      <c r="H17" s="14" t="n">
        <v>7800</v>
      </c>
      <c r="I17" s="15" t="s">
        <v>20</v>
      </c>
      <c r="J17" s="15" t="s">
        <v>26</v>
      </c>
      <c r="K17" s="12"/>
      <c r="L17" s="9"/>
      <c r="M17" s="10" t="str">
        <f aca="false">VLOOKUP(J17,RECATALOGANDO!A:C,2,0)</f>
        <v>REEMBOLSO</v>
      </c>
      <c r="N17" s="12" t="str">
        <f aca="false">VLOOKUP(M17,RECATALOGANDO!B:C,2,0)</f>
        <v>DINERO DEVUELTO A ORIGEN</v>
      </c>
      <c r="O17" s="2" t="s">
        <v>18</v>
      </c>
    </row>
    <row r="18" customFormat="false" ht="13.8" hidden="false" customHeight="false" outlineLevel="0" collapsed="false">
      <c r="A18" s="8" t="n">
        <v>45589</v>
      </c>
      <c r="B18" s="9" t="n">
        <f aca="false">DAY(A18)</f>
        <v>24</v>
      </c>
      <c r="C18" s="9" t="n">
        <f aca="false">MONTH(A18)</f>
        <v>10</v>
      </c>
      <c r="D18" s="9" t="n">
        <f aca="false">YEAR(A18)</f>
        <v>2024</v>
      </c>
      <c r="E18" s="9" t="n">
        <f aca="false">WEEKDAY(A18,2)</f>
        <v>4</v>
      </c>
      <c r="F18" s="10" t="n">
        <f aca="false">WEEKNUM(A18,2) - WEEKNUM(DATE(YEAR(A18),MONTH(A18),1),2) + 1</f>
        <v>4</v>
      </c>
      <c r="G18" s="10"/>
      <c r="H18" s="11" t="n">
        <v>1340</v>
      </c>
      <c r="I18" s="12" t="s">
        <v>20</v>
      </c>
      <c r="J18" s="12" t="s">
        <v>27</v>
      </c>
      <c r="K18" s="12"/>
      <c r="L18" s="9"/>
      <c r="M18" s="10" t="str">
        <f aca="false">VLOOKUP(J18,RECATALOGANDO!A:C,2,0)</f>
        <v>REEMBOLSO</v>
      </c>
      <c r="N18" s="12" t="str">
        <f aca="false">VLOOKUP(M18,RECATALOGANDO!B:C,2,0)</f>
        <v>DINERO DEVUELTO A ORIGEN</v>
      </c>
      <c r="O18" s="2" t="s">
        <v>18</v>
      </c>
    </row>
    <row r="19" customFormat="false" ht="13.8" hidden="false" customHeight="false" outlineLevel="0" collapsed="false">
      <c r="A19" s="23" t="n">
        <v>45602</v>
      </c>
      <c r="B19" s="9" t="n">
        <f aca="false">DAY(A19)</f>
        <v>6</v>
      </c>
      <c r="C19" s="9" t="n">
        <f aca="false">MONTH(A19)</f>
        <v>11</v>
      </c>
      <c r="D19" s="9" t="n">
        <f aca="false">YEAR(A19)</f>
        <v>2024</v>
      </c>
      <c r="E19" s="9" t="n">
        <f aca="false">WEEKDAY(A19,2)</f>
        <v>3</v>
      </c>
      <c r="F19" s="10" t="n">
        <f aca="false">WEEKNUM(A19,2) - WEEKNUM(DATE(YEAR(A19),MONTH(A19),1),2) + 1</f>
        <v>2</v>
      </c>
      <c r="G19" s="10"/>
      <c r="H19" s="24" t="n">
        <v>226309.64</v>
      </c>
      <c r="I19" s="25" t="s">
        <v>15</v>
      </c>
      <c r="J19" s="25" t="s">
        <v>28</v>
      </c>
      <c r="K19" s="12"/>
      <c r="L19" s="9"/>
      <c r="M19" s="10" t="str">
        <f aca="false">VLOOKUP(J19,RECATALOGANDO!A:C,2,0)</f>
        <v>PENSION ALIMENTICIA</v>
      </c>
      <c r="N19" s="12" t="str">
        <f aca="false">VLOOKUP(M19,RECATALOGANDO!B:C,2,0)</f>
        <v>PENSION</v>
      </c>
      <c r="O19" s="2" t="s">
        <v>18</v>
      </c>
    </row>
    <row r="20" customFormat="false" ht="13.8" hidden="false" customHeight="false" outlineLevel="0" collapsed="false">
      <c r="A20" s="29" t="n">
        <v>45693</v>
      </c>
      <c r="B20" s="9" t="n">
        <f aca="false">DAY(A20)</f>
        <v>5</v>
      </c>
      <c r="C20" s="9" t="n">
        <f aca="false">MONTH(A20)</f>
        <v>2</v>
      </c>
      <c r="D20" s="9" t="n">
        <f aca="false">YEAR(A20)</f>
        <v>2025</v>
      </c>
      <c r="E20" s="9" t="n">
        <f aca="false">WEEKDAY(A20,2)</f>
        <v>3</v>
      </c>
      <c r="F20" s="10" t="n">
        <f aca="false">WEEKNUM(A20,2) - WEEKNUM(DATE(YEAR(A20),MONTH(A20),1),2) + 1</f>
        <v>2</v>
      </c>
      <c r="G20" s="10"/>
      <c r="H20" s="30" t="n">
        <v>676.46</v>
      </c>
      <c r="I20" s="31" t="s">
        <v>20</v>
      </c>
      <c r="J20" s="31" t="s">
        <v>29</v>
      </c>
      <c r="K20" s="12"/>
      <c r="L20" s="9"/>
      <c r="M20" s="10" t="str">
        <f aca="false">VLOOKUP(J20,RECATALOGANDO!A:C,2,0)</f>
        <v>REEMBOLSO</v>
      </c>
      <c r="N20" s="12" t="str">
        <f aca="false">VLOOKUP(M20,RECATALOGANDO!B:C,2,0)</f>
        <v>DINERO DEVUELTO A ORIGEN</v>
      </c>
      <c r="O20" s="2" t="s">
        <v>18</v>
      </c>
    </row>
    <row r="21" customFormat="false" ht="13.8" hidden="false" customHeight="false" outlineLevel="0" collapsed="false">
      <c r="A21" s="29" t="n">
        <v>45695</v>
      </c>
      <c r="B21" s="9" t="n">
        <f aca="false">DAY(A21)</f>
        <v>7</v>
      </c>
      <c r="C21" s="9" t="n">
        <f aca="false">MONTH(A21)</f>
        <v>2</v>
      </c>
      <c r="D21" s="9" t="n">
        <f aca="false">YEAR(A21)</f>
        <v>2025</v>
      </c>
      <c r="E21" s="9" t="n">
        <f aca="false">WEEKDAY(A21,2)</f>
        <v>5</v>
      </c>
      <c r="F21" s="10" t="n">
        <f aca="false">WEEKNUM(A21,2) - WEEKNUM(DATE(YEAR(A21),MONTH(A21),1),2) + 1</f>
        <v>2</v>
      </c>
      <c r="G21" s="10"/>
      <c r="H21" s="30" t="n">
        <v>676.46</v>
      </c>
      <c r="I21" s="31" t="s">
        <v>20</v>
      </c>
      <c r="J21" s="31" t="s">
        <v>29</v>
      </c>
      <c r="K21" s="12"/>
      <c r="L21" s="9"/>
      <c r="M21" s="10" t="str">
        <f aca="false">VLOOKUP(J21,RECATALOGANDO!A:C,2,0)</f>
        <v>REEMBOLSO</v>
      </c>
      <c r="N21" s="12" t="str">
        <f aca="false">VLOOKUP(M21,RECATALOGANDO!B:C,2,0)</f>
        <v>DINERO DEVUELTO A ORIGEN</v>
      </c>
      <c r="O21" s="2" t="s">
        <v>18</v>
      </c>
    </row>
    <row r="22" customFormat="false" ht="13.8" hidden="false" customHeight="false" outlineLevel="0" collapsed="false">
      <c r="A22" s="29" t="n">
        <v>45698</v>
      </c>
      <c r="B22" s="9" t="n">
        <f aca="false">DAY(A22)</f>
        <v>10</v>
      </c>
      <c r="C22" s="9" t="n">
        <f aca="false">MONTH(A22)</f>
        <v>2</v>
      </c>
      <c r="D22" s="9" t="n">
        <f aca="false">YEAR(A22)</f>
        <v>2025</v>
      </c>
      <c r="E22" s="9" t="n">
        <f aca="false">WEEKDAY(A22,2)</f>
        <v>1</v>
      </c>
      <c r="F22" s="10" t="n">
        <f aca="false">WEEKNUM(A22,2) - WEEKNUM(DATE(YEAR(A22),MONTH(A22),1),2) + 1</f>
        <v>3</v>
      </c>
      <c r="G22" s="10"/>
      <c r="H22" s="30" t="n">
        <v>676.46</v>
      </c>
      <c r="I22" s="31" t="s">
        <v>20</v>
      </c>
      <c r="J22" s="31" t="s">
        <v>29</v>
      </c>
      <c r="K22" s="12"/>
      <c r="L22" s="9"/>
      <c r="M22" s="10" t="str">
        <f aca="false">VLOOKUP(J22,RECATALOGANDO!A:C,2,0)</f>
        <v>REEMBOLSO</v>
      </c>
      <c r="N22" s="12" t="str">
        <f aca="false">VLOOKUP(M22,RECATALOGANDO!B:C,2,0)</f>
        <v>DINERO DEVUELTO A ORIGEN</v>
      </c>
      <c r="O22" s="2" t="s">
        <v>18</v>
      </c>
    </row>
    <row r="23" customFormat="false" ht="13.8" hidden="false" customHeight="false" outlineLevel="0" collapsed="false">
      <c r="A23" s="8" t="n">
        <v>44930</v>
      </c>
      <c r="B23" s="9" t="n">
        <f aca="false">DAY(A23)</f>
        <v>4</v>
      </c>
      <c r="C23" s="9" t="n">
        <f aca="false">MONTH(A23)</f>
        <v>1</v>
      </c>
      <c r="D23" s="9" t="n">
        <f aca="false">YEAR(A23)</f>
        <v>2023</v>
      </c>
      <c r="E23" s="9" t="n">
        <f aca="false">WEEKDAY(A23,2)</f>
        <v>3</v>
      </c>
      <c r="F23" s="10" t="n">
        <f aca="false">WEEKNUM(A23,2) - WEEKNUM(DATE(YEAR(A23),MONTH(A23),1),2) + 1</f>
        <v>2</v>
      </c>
      <c r="G23" s="10"/>
      <c r="H23" s="11" t="n">
        <v>1000</v>
      </c>
      <c r="I23" s="12" t="s">
        <v>20</v>
      </c>
      <c r="J23" s="12" t="s">
        <v>30</v>
      </c>
      <c r="K23" s="12"/>
      <c r="L23" s="9"/>
      <c r="M23" s="10" t="str">
        <f aca="false">VLOOKUP(J23,RECATALOGANDO!A:C,2,0)</f>
        <v>TRANSFERENCIA ENTRE CUENTAS</v>
      </c>
      <c r="N23" s="12" t="str">
        <f aca="false">VLOOKUP(M23,RECATALOGANDO!B:C,2,0)</f>
        <v>TRANSFERENCIAS</v>
      </c>
      <c r="O23" s="2" t="s">
        <v>31</v>
      </c>
    </row>
    <row r="24" customFormat="false" ht="13.8" hidden="false" customHeight="false" outlineLevel="0" collapsed="false">
      <c r="A24" s="8" t="n">
        <v>44941</v>
      </c>
      <c r="B24" s="9" t="n">
        <f aca="false">DAY(A24)</f>
        <v>15</v>
      </c>
      <c r="C24" s="9" t="n">
        <f aca="false">MONTH(A24)</f>
        <v>1</v>
      </c>
      <c r="D24" s="9" t="n">
        <f aca="false">YEAR(A24)</f>
        <v>2023</v>
      </c>
      <c r="E24" s="9" t="n">
        <f aca="false">WEEKDAY(A24,2)</f>
        <v>7</v>
      </c>
      <c r="F24" s="10" t="n">
        <f aca="false">WEEKNUM(A24,2) - WEEKNUM(DATE(YEAR(A24),MONTH(A24),1),2) + 1</f>
        <v>3</v>
      </c>
      <c r="G24" s="10"/>
      <c r="H24" s="11" t="n">
        <v>200</v>
      </c>
      <c r="I24" s="12" t="s">
        <v>15</v>
      </c>
      <c r="J24" s="12" t="s">
        <v>30</v>
      </c>
      <c r="K24" s="12"/>
      <c r="L24" s="9"/>
      <c r="M24" s="10" t="str">
        <f aca="false">VLOOKUP(J24,RECATALOGANDO!A:C,2,0)</f>
        <v>TRANSFERENCIA ENTRE CUENTAS</v>
      </c>
      <c r="N24" s="12" t="str">
        <f aca="false">VLOOKUP(M24,RECATALOGANDO!B:C,2,0)</f>
        <v>TRANSFERENCIAS</v>
      </c>
      <c r="O24" s="2" t="s">
        <v>31</v>
      </c>
    </row>
    <row r="25" customFormat="false" ht="13.8" hidden="false" customHeight="false" outlineLevel="0" collapsed="false">
      <c r="A25" s="8" t="n">
        <v>44956</v>
      </c>
      <c r="B25" s="9" t="n">
        <f aca="false">DAY(A25)</f>
        <v>30</v>
      </c>
      <c r="C25" s="9" t="n">
        <f aca="false">MONTH(A25)</f>
        <v>1</v>
      </c>
      <c r="D25" s="9" t="n">
        <f aca="false">YEAR(A25)</f>
        <v>2023</v>
      </c>
      <c r="E25" s="9" t="n">
        <f aca="false">WEEKDAY(A25,2)</f>
        <v>1</v>
      </c>
      <c r="F25" s="10" t="n">
        <f aca="false">WEEKNUM(A25,2) - WEEKNUM(DATE(YEAR(A25),MONTH(A25),1),2) + 1</f>
        <v>6</v>
      </c>
      <c r="G25" s="10" t="n">
        <v>2</v>
      </c>
      <c r="H25" s="11" t="n">
        <v>700</v>
      </c>
      <c r="I25" s="12" t="s">
        <v>15</v>
      </c>
      <c r="J25" s="12" t="s">
        <v>32</v>
      </c>
      <c r="K25" s="12"/>
      <c r="L25" s="9"/>
      <c r="M25" s="10" t="str">
        <f aca="false">VLOOKUP(J25,RECATALOGANDO!A:C,2,0)</f>
        <v>TRANSFERENCIA ENTRE CUENTAS</v>
      </c>
      <c r="N25" s="12" t="str">
        <f aca="false">VLOOKUP(M25,RECATALOGANDO!B:C,2,0)</f>
        <v>TRANSFERENCIAS</v>
      </c>
      <c r="O25" s="2" t="s">
        <v>31</v>
      </c>
    </row>
    <row r="26" customFormat="false" ht="13.8" hidden="false" customHeight="false" outlineLevel="0" collapsed="false">
      <c r="A26" s="8" t="n">
        <v>44956</v>
      </c>
      <c r="B26" s="9" t="n">
        <f aca="false">DAY(A26)</f>
        <v>30</v>
      </c>
      <c r="C26" s="9" t="n">
        <f aca="false">MONTH(A26)</f>
        <v>1</v>
      </c>
      <c r="D26" s="9" t="n">
        <f aca="false">YEAR(A26)</f>
        <v>2023</v>
      </c>
      <c r="E26" s="9" t="n">
        <f aca="false">WEEKDAY(A26,2)</f>
        <v>1</v>
      </c>
      <c r="F26" s="10" t="n">
        <f aca="false">WEEKNUM(A26,2) - WEEKNUM(DATE(YEAR(A26),MONTH(A26),1),2) + 1</f>
        <v>6</v>
      </c>
      <c r="G26" s="10" t="n">
        <v>2</v>
      </c>
      <c r="H26" s="11" t="n">
        <v>700</v>
      </c>
      <c r="I26" s="12" t="s">
        <v>15</v>
      </c>
      <c r="J26" s="12" t="s">
        <v>32</v>
      </c>
      <c r="K26" s="12"/>
      <c r="L26" s="9"/>
      <c r="M26" s="10" t="str">
        <f aca="false">VLOOKUP(J26,RECATALOGANDO!A:C,2,0)</f>
        <v>TRANSFERENCIA ENTRE CUENTAS</v>
      </c>
      <c r="N26" s="12" t="str">
        <f aca="false">VLOOKUP(M26,RECATALOGANDO!B:C,2,0)</f>
        <v>TRANSFERENCIAS</v>
      </c>
      <c r="O26" s="2" t="s">
        <v>31</v>
      </c>
    </row>
    <row r="27" customFormat="false" ht="13.8" hidden="false" customHeight="false" outlineLevel="0" collapsed="false">
      <c r="A27" s="8" t="n">
        <v>44958</v>
      </c>
      <c r="B27" s="9" t="n">
        <f aca="false">DAY(A27)</f>
        <v>1</v>
      </c>
      <c r="C27" s="9" t="n">
        <f aca="false">MONTH(A27)</f>
        <v>2</v>
      </c>
      <c r="D27" s="9" t="n">
        <f aca="false">YEAR(A27)</f>
        <v>2023</v>
      </c>
      <c r="E27" s="9" t="n">
        <f aca="false">WEEKDAY(A27,2)</f>
        <v>3</v>
      </c>
      <c r="F27" s="10" t="n">
        <f aca="false">WEEKNUM(A27,2) - WEEKNUM(DATE(YEAR(A27),MONTH(A27),1),2) + 1</f>
        <v>1</v>
      </c>
      <c r="G27" s="10"/>
      <c r="H27" s="11" t="n">
        <v>1000</v>
      </c>
      <c r="I27" s="12" t="s">
        <v>20</v>
      </c>
      <c r="J27" s="12" t="s">
        <v>32</v>
      </c>
      <c r="K27" s="12"/>
      <c r="L27" s="9"/>
      <c r="M27" s="10" t="str">
        <f aca="false">VLOOKUP(J27,RECATALOGANDO!A:C,2,0)</f>
        <v>TRANSFERENCIA ENTRE CUENTAS</v>
      </c>
      <c r="N27" s="12" t="str">
        <f aca="false">VLOOKUP(M27,RECATALOGANDO!B:C,2,0)</f>
        <v>TRANSFERENCIAS</v>
      </c>
      <c r="O27" s="2" t="s">
        <v>31</v>
      </c>
    </row>
    <row r="28" customFormat="false" ht="13.8" hidden="false" customHeight="false" outlineLevel="0" collapsed="false">
      <c r="A28" s="8" t="n">
        <v>44958</v>
      </c>
      <c r="B28" s="9" t="n">
        <f aca="false">DAY(A28)</f>
        <v>1</v>
      </c>
      <c r="C28" s="9" t="n">
        <f aca="false">MONTH(A28)</f>
        <v>2</v>
      </c>
      <c r="D28" s="9" t="n">
        <f aca="false">YEAR(A28)</f>
        <v>2023</v>
      </c>
      <c r="E28" s="9" t="n">
        <f aca="false">WEEKDAY(A28,2)</f>
        <v>3</v>
      </c>
      <c r="F28" s="10" t="n">
        <f aca="false">WEEKNUM(A28,2) - WEEKNUM(DATE(YEAR(A28),MONTH(A28),1),2) + 1</f>
        <v>1</v>
      </c>
      <c r="G28" s="10"/>
      <c r="H28" s="11" t="n">
        <v>1000</v>
      </c>
      <c r="I28" s="12" t="s">
        <v>20</v>
      </c>
      <c r="J28" s="12" t="s">
        <v>32</v>
      </c>
      <c r="K28" s="12"/>
      <c r="L28" s="9"/>
      <c r="M28" s="10" t="str">
        <f aca="false">VLOOKUP(J28,RECATALOGANDO!A:C,2,0)</f>
        <v>TRANSFERENCIA ENTRE CUENTAS</v>
      </c>
      <c r="N28" s="12" t="str">
        <f aca="false">VLOOKUP(M28,RECATALOGANDO!B:C,2,0)</f>
        <v>TRANSFERENCIAS</v>
      </c>
      <c r="O28" s="2" t="s">
        <v>31</v>
      </c>
    </row>
    <row r="29" customFormat="false" ht="13.8" hidden="false" customHeight="false" outlineLevel="0" collapsed="false">
      <c r="A29" s="8" t="n">
        <v>44965</v>
      </c>
      <c r="B29" s="9" t="n">
        <f aca="false">DAY(A29)</f>
        <v>8</v>
      </c>
      <c r="C29" s="9" t="n">
        <f aca="false">MONTH(A29)</f>
        <v>2</v>
      </c>
      <c r="D29" s="9" t="n">
        <f aca="false">YEAR(A29)</f>
        <v>2023</v>
      </c>
      <c r="E29" s="9" t="n">
        <f aca="false">WEEKDAY(A29,2)</f>
        <v>3</v>
      </c>
      <c r="F29" s="10" t="n">
        <f aca="false">WEEKNUM(A29,2) - WEEKNUM(DATE(YEAR(A29),MONTH(A29),1),2) + 1</f>
        <v>2</v>
      </c>
      <c r="G29" s="10"/>
      <c r="H29" s="11" t="n">
        <v>500</v>
      </c>
      <c r="I29" s="12" t="s">
        <v>20</v>
      </c>
      <c r="J29" s="12" t="s">
        <v>32</v>
      </c>
      <c r="K29" s="12"/>
      <c r="L29" s="9"/>
      <c r="M29" s="10" t="str">
        <f aca="false">VLOOKUP(J29,RECATALOGANDO!A:C,2,0)</f>
        <v>TRANSFERENCIA ENTRE CUENTAS</v>
      </c>
      <c r="N29" s="12" t="str">
        <f aca="false">VLOOKUP(M29,RECATALOGANDO!B:C,2,0)</f>
        <v>TRANSFERENCIAS</v>
      </c>
      <c r="O29" s="2" t="s">
        <v>31</v>
      </c>
    </row>
    <row r="30" customFormat="false" ht="13.8" hidden="false" customHeight="false" outlineLevel="0" collapsed="false">
      <c r="A30" s="8" t="n">
        <v>44965</v>
      </c>
      <c r="B30" s="9" t="n">
        <f aca="false">DAY(A30)</f>
        <v>8</v>
      </c>
      <c r="C30" s="9" t="n">
        <f aca="false">MONTH(A30)</f>
        <v>2</v>
      </c>
      <c r="D30" s="9" t="n">
        <f aca="false">YEAR(A30)</f>
        <v>2023</v>
      </c>
      <c r="E30" s="9" t="n">
        <f aca="false">WEEKDAY(A30,2)</f>
        <v>3</v>
      </c>
      <c r="F30" s="10" t="n">
        <f aca="false">WEEKNUM(A30,2) - WEEKNUM(DATE(YEAR(A30),MONTH(A30),1),2) + 1</f>
        <v>2</v>
      </c>
      <c r="G30" s="10"/>
      <c r="H30" s="11" t="n">
        <v>500</v>
      </c>
      <c r="I30" s="12" t="s">
        <v>20</v>
      </c>
      <c r="J30" s="12" t="s">
        <v>32</v>
      </c>
      <c r="K30" s="12"/>
      <c r="L30" s="9"/>
      <c r="M30" s="10" t="str">
        <f aca="false">VLOOKUP(J30,RECATALOGANDO!A:C,2,0)</f>
        <v>TRANSFERENCIA ENTRE CUENTAS</v>
      </c>
      <c r="N30" s="12" t="str">
        <f aca="false">VLOOKUP(M30,RECATALOGANDO!B:C,2,0)</f>
        <v>TRANSFERENCIAS</v>
      </c>
      <c r="O30" s="2" t="s">
        <v>31</v>
      </c>
    </row>
    <row r="31" customFormat="false" ht="13.8" hidden="false" customHeight="false" outlineLevel="0" collapsed="false">
      <c r="A31" s="8" t="n">
        <v>44970</v>
      </c>
      <c r="B31" s="9" t="n">
        <f aca="false">DAY(A31)</f>
        <v>13</v>
      </c>
      <c r="C31" s="9" t="n">
        <f aca="false">MONTH(A31)</f>
        <v>2</v>
      </c>
      <c r="D31" s="9" t="n">
        <f aca="false">YEAR(A31)</f>
        <v>2023</v>
      </c>
      <c r="E31" s="9" t="n">
        <f aca="false">WEEKDAY(A31,2)</f>
        <v>1</v>
      </c>
      <c r="F31" s="10" t="n">
        <f aca="false">WEEKNUM(A31,2) - WEEKNUM(DATE(YEAR(A31),MONTH(A31),1),2) + 1</f>
        <v>3</v>
      </c>
      <c r="G31" s="10"/>
      <c r="H31" s="11" t="n">
        <v>1700</v>
      </c>
      <c r="I31" s="12" t="s">
        <v>20</v>
      </c>
      <c r="J31" s="12" t="s">
        <v>32</v>
      </c>
      <c r="K31" s="12"/>
      <c r="L31" s="9"/>
      <c r="M31" s="10" t="str">
        <f aca="false">VLOOKUP(J31,RECATALOGANDO!A:C,2,0)</f>
        <v>TRANSFERENCIA ENTRE CUENTAS</v>
      </c>
      <c r="N31" s="12" t="str">
        <f aca="false">VLOOKUP(M31,RECATALOGANDO!B:C,2,0)</f>
        <v>TRANSFERENCIAS</v>
      </c>
      <c r="O31" s="2" t="s">
        <v>31</v>
      </c>
    </row>
    <row r="32" customFormat="false" ht="13.8" hidden="false" customHeight="false" outlineLevel="0" collapsed="false">
      <c r="A32" s="8" t="n">
        <v>44970</v>
      </c>
      <c r="B32" s="9" t="n">
        <f aca="false">DAY(A32)</f>
        <v>13</v>
      </c>
      <c r="C32" s="9" t="n">
        <f aca="false">MONTH(A32)</f>
        <v>2</v>
      </c>
      <c r="D32" s="9" t="n">
        <f aca="false">YEAR(A32)</f>
        <v>2023</v>
      </c>
      <c r="E32" s="9" t="n">
        <f aca="false">WEEKDAY(A32,2)</f>
        <v>1</v>
      </c>
      <c r="F32" s="10" t="n">
        <f aca="false">WEEKNUM(A32,2) - WEEKNUM(DATE(YEAR(A32),MONTH(A32),1),2) + 1</f>
        <v>3</v>
      </c>
      <c r="G32" s="10"/>
      <c r="H32" s="11" t="n">
        <v>1700</v>
      </c>
      <c r="I32" s="12" t="s">
        <v>20</v>
      </c>
      <c r="J32" s="12" t="s">
        <v>32</v>
      </c>
      <c r="K32" s="12"/>
      <c r="L32" s="9"/>
      <c r="M32" s="10" t="str">
        <f aca="false">VLOOKUP(J32,RECATALOGANDO!A:C,2,0)</f>
        <v>TRANSFERENCIA ENTRE CUENTAS</v>
      </c>
      <c r="N32" s="12" t="str">
        <f aca="false">VLOOKUP(M32,RECATALOGANDO!B:C,2,0)</f>
        <v>TRANSFERENCIAS</v>
      </c>
      <c r="O32" s="2" t="s">
        <v>31</v>
      </c>
    </row>
    <row r="33" customFormat="false" ht="13.8" hidden="false" customHeight="false" outlineLevel="0" collapsed="false">
      <c r="A33" s="8" t="n">
        <v>44974</v>
      </c>
      <c r="B33" s="9" t="n">
        <f aca="false">DAY(A33)</f>
        <v>17</v>
      </c>
      <c r="C33" s="9" t="n">
        <f aca="false">MONTH(A33)</f>
        <v>2</v>
      </c>
      <c r="D33" s="9" t="n">
        <f aca="false">YEAR(A33)</f>
        <v>2023</v>
      </c>
      <c r="E33" s="9" t="n">
        <f aca="false">WEEKDAY(A33,2)</f>
        <v>5</v>
      </c>
      <c r="F33" s="10" t="n">
        <f aca="false">WEEKNUM(A33,2) - WEEKNUM(DATE(YEAR(A33),MONTH(A33),1),2) + 1</f>
        <v>3</v>
      </c>
      <c r="G33" s="10"/>
      <c r="H33" s="11" t="n">
        <v>900</v>
      </c>
      <c r="I33" s="12" t="s">
        <v>15</v>
      </c>
      <c r="J33" s="12" t="s">
        <v>32</v>
      </c>
      <c r="K33" s="12"/>
      <c r="L33" s="9"/>
      <c r="M33" s="10" t="str">
        <f aca="false">VLOOKUP(J33,RECATALOGANDO!A:C,2,0)</f>
        <v>TRANSFERENCIA ENTRE CUENTAS</v>
      </c>
      <c r="N33" s="12" t="str">
        <f aca="false">VLOOKUP(M33,RECATALOGANDO!B:C,2,0)</f>
        <v>TRANSFERENCIAS</v>
      </c>
      <c r="O33" s="2" t="s">
        <v>31</v>
      </c>
    </row>
    <row r="34" customFormat="false" ht="13.8" hidden="false" customHeight="false" outlineLevel="0" collapsed="false">
      <c r="A34" s="8" t="n">
        <v>44974</v>
      </c>
      <c r="B34" s="9" t="n">
        <f aca="false">DAY(A34)</f>
        <v>17</v>
      </c>
      <c r="C34" s="9" t="n">
        <f aca="false">MONTH(A34)</f>
        <v>2</v>
      </c>
      <c r="D34" s="9" t="n">
        <f aca="false">YEAR(A34)</f>
        <v>2023</v>
      </c>
      <c r="E34" s="9" t="n">
        <f aca="false">WEEKDAY(A34,2)</f>
        <v>5</v>
      </c>
      <c r="F34" s="10" t="n">
        <f aca="false">WEEKNUM(A34,2) - WEEKNUM(DATE(YEAR(A34),MONTH(A34),1),2) + 1</f>
        <v>3</v>
      </c>
      <c r="G34" s="10"/>
      <c r="H34" s="11" t="n">
        <v>900</v>
      </c>
      <c r="I34" s="12" t="s">
        <v>15</v>
      </c>
      <c r="J34" s="12" t="s">
        <v>32</v>
      </c>
      <c r="K34" s="12"/>
      <c r="L34" s="9"/>
      <c r="M34" s="10" t="str">
        <f aca="false">VLOOKUP(J34,RECATALOGANDO!A:C,2,0)</f>
        <v>TRANSFERENCIA ENTRE CUENTAS</v>
      </c>
      <c r="N34" s="12" t="str">
        <f aca="false">VLOOKUP(M34,RECATALOGANDO!B:C,2,0)</f>
        <v>TRANSFERENCIAS</v>
      </c>
      <c r="O34" s="2" t="s">
        <v>31</v>
      </c>
    </row>
    <row r="35" customFormat="false" ht="13.8" hidden="false" customHeight="false" outlineLevel="0" collapsed="false">
      <c r="A35" s="8" t="n">
        <v>44982</v>
      </c>
      <c r="B35" s="9" t="n">
        <f aca="false">DAY(A35)</f>
        <v>25</v>
      </c>
      <c r="C35" s="9" t="n">
        <f aca="false">MONTH(A35)</f>
        <v>2</v>
      </c>
      <c r="D35" s="9" t="n">
        <f aca="false">YEAR(A35)</f>
        <v>2023</v>
      </c>
      <c r="E35" s="9" t="n">
        <f aca="false">WEEKDAY(A35,2)</f>
        <v>6</v>
      </c>
      <c r="F35" s="10" t="n">
        <f aca="false">WEEKNUM(A35,2) - WEEKNUM(DATE(YEAR(A35),MONTH(A35),1),2) + 1</f>
        <v>4</v>
      </c>
      <c r="G35" s="10"/>
      <c r="H35" s="11" t="n">
        <v>500</v>
      </c>
      <c r="I35" s="12" t="s">
        <v>15</v>
      </c>
      <c r="J35" s="12" t="s">
        <v>32</v>
      </c>
      <c r="K35" s="12"/>
      <c r="L35" s="9"/>
      <c r="M35" s="10" t="str">
        <f aca="false">VLOOKUP(J35,RECATALOGANDO!A:C,2,0)</f>
        <v>TRANSFERENCIA ENTRE CUENTAS</v>
      </c>
      <c r="N35" s="12" t="str">
        <f aca="false">VLOOKUP(M35,RECATALOGANDO!B:C,2,0)</f>
        <v>TRANSFERENCIAS</v>
      </c>
      <c r="O35" s="2" t="s">
        <v>31</v>
      </c>
    </row>
    <row r="36" customFormat="false" ht="13.8" hidden="false" customHeight="false" outlineLevel="0" collapsed="false">
      <c r="A36" s="8" t="n">
        <v>44982</v>
      </c>
      <c r="B36" s="9" t="n">
        <f aca="false">DAY(A36)</f>
        <v>25</v>
      </c>
      <c r="C36" s="9" t="n">
        <f aca="false">MONTH(A36)</f>
        <v>2</v>
      </c>
      <c r="D36" s="9" t="n">
        <f aca="false">YEAR(A36)</f>
        <v>2023</v>
      </c>
      <c r="E36" s="9" t="n">
        <f aca="false">WEEKDAY(A36,2)</f>
        <v>6</v>
      </c>
      <c r="F36" s="10" t="n">
        <f aca="false">WEEKNUM(A36,2) - WEEKNUM(DATE(YEAR(A36),MONTH(A36),1),2) + 1</f>
        <v>4</v>
      </c>
      <c r="G36" s="10"/>
      <c r="H36" s="11" t="n">
        <v>500</v>
      </c>
      <c r="I36" s="12" t="s">
        <v>15</v>
      </c>
      <c r="J36" s="12" t="s">
        <v>32</v>
      </c>
      <c r="K36" s="12"/>
      <c r="L36" s="9"/>
      <c r="M36" s="10" t="str">
        <f aca="false">VLOOKUP(J36,RECATALOGANDO!A:C,2,0)</f>
        <v>TRANSFERENCIA ENTRE CUENTAS</v>
      </c>
      <c r="N36" s="12" t="str">
        <f aca="false">VLOOKUP(M36,RECATALOGANDO!B:C,2,0)</f>
        <v>TRANSFERENCIAS</v>
      </c>
      <c r="O36" s="2" t="s">
        <v>31</v>
      </c>
    </row>
    <row r="37" customFormat="false" ht="13.8" hidden="false" customHeight="false" outlineLevel="0" collapsed="false">
      <c r="A37" s="29" t="n">
        <v>44988</v>
      </c>
      <c r="B37" s="9" t="n">
        <f aca="false">DAY(A37)</f>
        <v>3</v>
      </c>
      <c r="C37" s="9" t="n">
        <f aca="false">MONTH(A37)</f>
        <v>3</v>
      </c>
      <c r="D37" s="9" t="n">
        <f aca="false">YEAR(A37)</f>
        <v>2023</v>
      </c>
      <c r="E37" s="9" t="n">
        <f aca="false">WEEKDAY(A37,2)</f>
        <v>5</v>
      </c>
      <c r="F37" s="10" t="n">
        <f aca="false">WEEKNUM(A37,2) - WEEKNUM(DATE(YEAR(A37),MONTH(A37),1),2) + 1</f>
        <v>1</v>
      </c>
      <c r="G37" s="10"/>
      <c r="H37" s="30" t="n">
        <v>800</v>
      </c>
      <c r="I37" s="31" t="s">
        <v>15</v>
      </c>
      <c r="J37" s="31" t="s">
        <v>32</v>
      </c>
      <c r="K37" s="12"/>
      <c r="L37" s="9"/>
      <c r="M37" s="10" t="str">
        <f aca="false">VLOOKUP(J37,RECATALOGANDO!A:C,2,0)</f>
        <v>TRANSFERENCIA ENTRE CUENTAS</v>
      </c>
      <c r="N37" s="12" t="str">
        <f aca="false">VLOOKUP(M37,RECATALOGANDO!B:C,2,0)</f>
        <v>TRANSFERENCIAS</v>
      </c>
      <c r="O37" s="2" t="s">
        <v>31</v>
      </c>
    </row>
    <row r="38" customFormat="false" ht="13.8" hidden="false" customHeight="false" outlineLevel="0" collapsed="false">
      <c r="A38" s="29" t="n">
        <v>44995</v>
      </c>
      <c r="B38" s="9" t="n">
        <f aca="false">DAY(A38)</f>
        <v>10</v>
      </c>
      <c r="C38" s="9" t="n">
        <f aca="false">MONTH(A38)</f>
        <v>3</v>
      </c>
      <c r="D38" s="9" t="n">
        <f aca="false">YEAR(A38)</f>
        <v>2023</v>
      </c>
      <c r="E38" s="9" t="n">
        <f aca="false">WEEKDAY(A38,2)</f>
        <v>5</v>
      </c>
      <c r="F38" s="10" t="n">
        <f aca="false">WEEKNUM(A38,2) - WEEKNUM(DATE(YEAR(A38),MONTH(A38),1),2) + 1</f>
        <v>2</v>
      </c>
      <c r="G38" s="10"/>
      <c r="H38" s="30" t="n">
        <v>100</v>
      </c>
      <c r="I38" s="31" t="s">
        <v>20</v>
      </c>
      <c r="J38" s="31" t="s">
        <v>32</v>
      </c>
      <c r="K38" s="12"/>
      <c r="L38" s="9"/>
      <c r="M38" s="10" t="str">
        <f aca="false">VLOOKUP(J38,RECATALOGANDO!A:C,2,0)</f>
        <v>TRANSFERENCIA ENTRE CUENTAS</v>
      </c>
      <c r="N38" s="12" t="str">
        <f aca="false">VLOOKUP(M38,RECATALOGANDO!B:C,2,0)</f>
        <v>TRANSFERENCIAS</v>
      </c>
      <c r="O38" s="2" t="s">
        <v>31</v>
      </c>
    </row>
    <row r="39" customFormat="false" ht="13.8" hidden="false" customHeight="false" outlineLevel="0" collapsed="false">
      <c r="A39" s="29" t="n">
        <v>44998</v>
      </c>
      <c r="B39" s="9" t="n">
        <f aca="false">DAY(A39)</f>
        <v>13</v>
      </c>
      <c r="C39" s="9" t="n">
        <f aca="false">MONTH(A39)</f>
        <v>3</v>
      </c>
      <c r="D39" s="9" t="n">
        <f aca="false">YEAR(A39)</f>
        <v>2023</v>
      </c>
      <c r="E39" s="9" t="n">
        <f aca="false">WEEKDAY(A39,2)</f>
        <v>1</v>
      </c>
      <c r="F39" s="10" t="n">
        <f aca="false">WEEKNUM(A39,2) - WEEKNUM(DATE(YEAR(A39),MONTH(A39),1),2) + 1</f>
        <v>3</v>
      </c>
      <c r="G39" s="10"/>
      <c r="H39" s="30" t="n">
        <v>300</v>
      </c>
      <c r="I39" s="31" t="s">
        <v>20</v>
      </c>
      <c r="J39" s="31" t="s">
        <v>32</v>
      </c>
      <c r="K39" s="12"/>
      <c r="L39" s="9"/>
      <c r="M39" s="10" t="str">
        <f aca="false">VLOOKUP(J39,RECATALOGANDO!A:C,2,0)</f>
        <v>TRANSFERENCIA ENTRE CUENTAS</v>
      </c>
      <c r="N39" s="12" t="str">
        <f aca="false">VLOOKUP(M39,RECATALOGANDO!B:C,2,0)</f>
        <v>TRANSFERENCIAS</v>
      </c>
      <c r="O39" s="2" t="s">
        <v>31</v>
      </c>
    </row>
    <row r="40" customFormat="false" ht="13.8" hidden="false" customHeight="false" outlineLevel="0" collapsed="false">
      <c r="A40" s="29" t="n">
        <v>45007</v>
      </c>
      <c r="B40" s="9" t="n">
        <f aca="false">DAY(A40)</f>
        <v>22</v>
      </c>
      <c r="C40" s="9" t="n">
        <f aca="false">MONTH(A40)</f>
        <v>3</v>
      </c>
      <c r="D40" s="9" t="n">
        <f aca="false">YEAR(A40)</f>
        <v>2023</v>
      </c>
      <c r="E40" s="9" t="n">
        <f aca="false">WEEKDAY(A40,2)</f>
        <v>3</v>
      </c>
      <c r="F40" s="10" t="n">
        <f aca="false">WEEKNUM(A40,2) - WEEKNUM(DATE(YEAR(A40),MONTH(A40),1),2) + 1</f>
        <v>4</v>
      </c>
      <c r="G40" s="10"/>
      <c r="H40" s="30" t="n">
        <v>200</v>
      </c>
      <c r="I40" s="31" t="s">
        <v>20</v>
      </c>
      <c r="J40" s="31" t="s">
        <v>32</v>
      </c>
      <c r="K40" s="12"/>
      <c r="L40" s="9"/>
      <c r="M40" s="10" t="str">
        <f aca="false">VLOOKUP(J40,RECATALOGANDO!A:C,2,0)</f>
        <v>TRANSFERENCIA ENTRE CUENTAS</v>
      </c>
      <c r="N40" s="12" t="str">
        <f aca="false">VLOOKUP(M40,RECATALOGANDO!B:C,2,0)</f>
        <v>TRANSFERENCIAS</v>
      </c>
      <c r="O40" s="2" t="s">
        <v>31</v>
      </c>
    </row>
    <row r="41" customFormat="false" ht="13.8" hidden="false" customHeight="false" outlineLevel="0" collapsed="false">
      <c r="A41" s="29" t="n">
        <v>45012</v>
      </c>
      <c r="B41" s="9" t="n">
        <f aca="false">DAY(A41)</f>
        <v>27</v>
      </c>
      <c r="C41" s="9" t="n">
        <f aca="false">MONTH(A41)</f>
        <v>3</v>
      </c>
      <c r="D41" s="9" t="n">
        <f aca="false">YEAR(A41)</f>
        <v>2023</v>
      </c>
      <c r="E41" s="9" t="n">
        <f aca="false">WEEKDAY(A41,2)</f>
        <v>1</v>
      </c>
      <c r="F41" s="10" t="n">
        <f aca="false">WEEKNUM(A41,2) - WEEKNUM(DATE(YEAR(A41),MONTH(A41),1),2) + 1</f>
        <v>5</v>
      </c>
      <c r="G41" s="10"/>
      <c r="H41" s="30" t="n">
        <v>2000</v>
      </c>
      <c r="I41" s="31" t="s">
        <v>20</v>
      </c>
      <c r="J41" s="31" t="s">
        <v>32</v>
      </c>
      <c r="K41" s="12"/>
      <c r="L41" s="9"/>
      <c r="M41" s="10" t="str">
        <f aca="false">VLOOKUP(J41,RECATALOGANDO!A:C,2,0)</f>
        <v>TRANSFERENCIA ENTRE CUENTAS</v>
      </c>
      <c r="N41" s="12" t="str">
        <f aca="false">VLOOKUP(M41,RECATALOGANDO!B:C,2,0)</f>
        <v>TRANSFERENCIAS</v>
      </c>
      <c r="O41" s="2" t="s">
        <v>31</v>
      </c>
    </row>
    <row r="42" customFormat="false" ht="13.8" hidden="false" customHeight="false" outlineLevel="0" collapsed="false">
      <c r="A42" s="29" t="n">
        <v>45026</v>
      </c>
      <c r="B42" s="9" t="n">
        <f aca="false">DAY(A42)</f>
        <v>10</v>
      </c>
      <c r="C42" s="9" t="n">
        <f aca="false">MONTH(A42)</f>
        <v>4</v>
      </c>
      <c r="D42" s="9" t="n">
        <f aca="false">YEAR(A42)</f>
        <v>2023</v>
      </c>
      <c r="E42" s="9" t="n">
        <f aca="false">WEEKDAY(A42,2)</f>
        <v>1</v>
      </c>
      <c r="F42" s="10" t="n">
        <f aca="false">WEEKNUM(A42,2) - WEEKNUM(DATE(YEAR(A42),MONTH(A42),1),2) + 1</f>
        <v>3</v>
      </c>
      <c r="G42" s="10"/>
      <c r="H42" s="30" t="n">
        <v>5000</v>
      </c>
      <c r="I42" s="31" t="s">
        <v>15</v>
      </c>
      <c r="J42" s="31" t="s">
        <v>32</v>
      </c>
      <c r="K42" s="12"/>
      <c r="L42" s="9"/>
      <c r="M42" s="10" t="str">
        <f aca="false">VLOOKUP(J42,RECATALOGANDO!A:C,2,0)</f>
        <v>TRANSFERENCIA ENTRE CUENTAS</v>
      </c>
      <c r="N42" s="12" t="str">
        <f aca="false">VLOOKUP(M42,RECATALOGANDO!B:C,2,0)</f>
        <v>TRANSFERENCIAS</v>
      </c>
      <c r="O42" s="2" t="s">
        <v>31</v>
      </c>
    </row>
    <row r="43" customFormat="false" ht="13.8" hidden="false" customHeight="false" outlineLevel="0" collapsed="false">
      <c r="A43" s="29" t="n">
        <v>45028</v>
      </c>
      <c r="B43" s="9" t="n">
        <f aca="false">DAY(A43)</f>
        <v>12</v>
      </c>
      <c r="C43" s="9" t="n">
        <f aca="false">MONTH(A43)</f>
        <v>4</v>
      </c>
      <c r="D43" s="9" t="n">
        <f aca="false">YEAR(A43)</f>
        <v>2023</v>
      </c>
      <c r="E43" s="9" t="n">
        <f aca="false">WEEKDAY(A43,2)</f>
        <v>3</v>
      </c>
      <c r="F43" s="10" t="n">
        <f aca="false">WEEKNUM(A43,2) - WEEKNUM(DATE(YEAR(A43),MONTH(A43),1),2) + 1</f>
        <v>3</v>
      </c>
      <c r="G43" s="10"/>
      <c r="H43" s="30" t="n">
        <v>7000</v>
      </c>
      <c r="I43" s="31" t="s">
        <v>15</v>
      </c>
      <c r="J43" s="31" t="s">
        <v>32</v>
      </c>
      <c r="K43" s="12"/>
      <c r="L43" s="9"/>
      <c r="M43" s="10" t="str">
        <f aca="false">VLOOKUP(J43,RECATALOGANDO!A:C,2,0)</f>
        <v>TRANSFERENCIA ENTRE CUENTAS</v>
      </c>
      <c r="N43" s="12" t="str">
        <f aca="false">VLOOKUP(M43,RECATALOGANDO!B:C,2,0)</f>
        <v>TRANSFERENCIAS</v>
      </c>
      <c r="O43" s="2" t="s">
        <v>31</v>
      </c>
    </row>
    <row r="44" customFormat="false" ht="13.8" hidden="false" customHeight="false" outlineLevel="0" collapsed="false">
      <c r="A44" s="29" t="n">
        <v>45029</v>
      </c>
      <c r="B44" s="9" t="n">
        <f aca="false">DAY(A44)</f>
        <v>13</v>
      </c>
      <c r="C44" s="9" t="n">
        <f aca="false">MONTH(A44)</f>
        <v>4</v>
      </c>
      <c r="D44" s="9" t="n">
        <f aca="false">YEAR(A44)</f>
        <v>2023</v>
      </c>
      <c r="E44" s="9" t="n">
        <f aca="false">WEEKDAY(A44,2)</f>
        <v>4</v>
      </c>
      <c r="F44" s="10" t="n">
        <f aca="false">WEEKNUM(A44,2) - WEEKNUM(DATE(YEAR(A44),MONTH(A44),1),2) + 1</f>
        <v>3</v>
      </c>
      <c r="G44" s="10"/>
      <c r="H44" s="30" t="n">
        <v>280</v>
      </c>
      <c r="I44" s="31" t="s">
        <v>20</v>
      </c>
      <c r="J44" s="31" t="s">
        <v>32</v>
      </c>
      <c r="K44" s="12"/>
      <c r="L44" s="9"/>
      <c r="M44" s="10" t="str">
        <f aca="false">VLOOKUP(J44,RECATALOGANDO!A:C,2,0)</f>
        <v>TRANSFERENCIA ENTRE CUENTAS</v>
      </c>
      <c r="N44" s="12" t="str">
        <f aca="false">VLOOKUP(M44,RECATALOGANDO!B:C,2,0)</f>
        <v>TRANSFERENCIAS</v>
      </c>
      <c r="O44" s="2" t="s">
        <v>31</v>
      </c>
    </row>
    <row r="45" customFormat="false" ht="13.8" hidden="false" customHeight="false" outlineLevel="0" collapsed="false">
      <c r="A45" s="29" t="n">
        <v>45031</v>
      </c>
      <c r="B45" s="9" t="n">
        <f aca="false">DAY(A45)</f>
        <v>15</v>
      </c>
      <c r="C45" s="9" t="n">
        <f aca="false">MONTH(A45)</f>
        <v>4</v>
      </c>
      <c r="D45" s="9" t="n">
        <f aca="false">YEAR(A45)</f>
        <v>2023</v>
      </c>
      <c r="E45" s="9" t="n">
        <f aca="false">WEEKDAY(A45,2)</f>
        <v>6</v>
      </c>
      <c r="F45" s="10" t="n">
        <f aca="false">WEEKNUM(A45,2) - WEEKNUM(DATE(YEAR(A45),MONTH(A45),1),2) + 1</f>
        <v>3</v>
      </c>
      <c r="G45" s="10"/>
      <c r="H45" s="30" t="n">
        <v>1700</v>
      </c>
      <c r="I45" s="31" t="s">
        <v>20</v>
      </c>
      <c r="J45" s="31" t="s">
        <v>32</v>
      </c>
      <c r="K45" s="12"/>
      <c r="L45" s="9"/>
      <c r="M45" s="10" t="str">
        <f aca="false">VLOOKUP(J45,RECATALOGANDO!A:C,2,0)</f>
        <v>TRANSFERENCIA ENTRE CUENTAS</v>
      </c>
      <c r="N45" s="12" t="str">
        <f aca="false">VLOOKUP(M45,RECATALOGANDO!B:C,2,0)</f>
        <v>TRANSFERENCIAS</v>
      </c>
      <c r="O45" s="2" t="s">
        <v>31</v>
      </c>
    </row>
    <row r="46" customFormat="false" ht="13.8" hidden="false" customHeight="false" outlineLevel="0" collapsed="false">
      <c r="A46" s="29" t="n">
        <v>45040</v>
      </c>
      <c r="B46" s="9" t="n">
        <f aca="false">DAY(A46)</f>
        <v>24</v>
      </c>
      <c r="C46" s="9" t="n">
        <f aca="false">MONTH(A46)</f>
        <v>4</v>
      </c>
      <c r="D46" s="9" t="n">
        <f aca="false">YEAR(A46)</f>
        <v>2023</v>
      </c>
      <c r="E46" s="9" t="n">
        <f aca="false">WEEKDAY(A46,2)</f>
        <v>1</v>
      </c>
      <c r="F46" s="10" t="n">
        <f aca="false">WEEKNUM(A46,2) - WEEKNUM(DATE(YEAR(A46),MONTH(A46),1),2) + 1</f>
        <v>5</v>
      </c>
      <c r="G46" s="10"/>
      <c r="H46" s="30" t="n">
        <v>1400</v>
      </c>
      <c r="I46" s="31" t="s">
        <v>20</v>
      </c>
      <c r="J46" s="31" t="s">
        <v>32</v>
      </c>
      <c r="K46" s="12"/>
      <c r="L46" s="9"/>
      <c r="M46" s="10" t="str">
        <f aca="false">VLOOKUP(J46,RECATALOGANDO!A:C,2,0)</f>
        <v>TRANSFERENCIA ENTRE CUENTAS</v>
      </c>
      <c r="N46" s="12" t="str">
        <f aca="false">VLOOKUP(M46,RECATALOGANDO!B:C,2,0)</f>
        <v>TRANSFERENCIAS</v>
      </c>
      <c r="O46" s="2" t="s">
        <v>31</v>
      </c>
    </row>
    <row r="47" customFormat="false" ht="13.8" hidden="false" customHeight="false" outlineLevel="0" collapsed="false">
      <c r="A47" s="29" t="n">
        <v>45045</v>
      </c>
      <c r="B47" s="9" t="n">
        <f aca="false">DAY(A47)</f>
        <v>29</v>
      </c>
      <c r="C47" s="9" t="n">
        <f aca="false">MONTH(A47)</f>
        <v>4</v>
      </c>
      <c r="D47" s="9" t="n">
        <f aca="false">YEAR(A47)</f>
        <v>2023</v>
      </c>
      <c r="E47" s="9" t="n">
        <f aca="false">WEEKDAY(A47,2)</f>
        <v>6</v>
      </c>
      <c r="F47" s="10" t="n">
        <f aca="false">WEEKNUM(A47,2) - WEEKNUM(DATE(YEAR(A47),MONTH(A47),1),2) + 1</f>
        <v>5</v>
      </c>
      <c r="G47" s="10"/>
      <c r="H47" s="30" t="n">
        <v>3000</v>
      </c>
      <c r="I47" s="31" t="s">
        <v>20</v>
      </c>
      <c r="J47" s="31" t="s">
        <v>32</v>
      </c>
      <c r="K47" s="12"/>
      <c r="L47" s="9"/>
      <c r="M47" s="10" t="str">
        <f aca="false">VLOOKUP(J47,RECATALOGANDO!A:C,2,0)</f>
        <v>TRANSFERENCIA ENTRE CUENTAS</v>
      </c>
      <c r="N47" s="12" t="str">
        <f aca="false">VLOOKUP(M47,RECATALOGANDO!B:C,2,0)</f>
        <v>TRANSFERENCIAS</v>
      </c>
      <c r="O47" s="2" t="s">
        <v>31</v>
      </c>
    </row>
    <row r="48" customFormat="false" ht="13.8" hidden="false" customHeight="false" outlineLevel="0" collapsed="false">
      <c r="A48" s="29" t="n">
        <v>45048</v>
      </c>
      <c r="B48" s="9" t="n">
        <f aca="false">DAY(A48)</f>
        <v>2</v>
      </c>
      <c r="C48" s="9" t="n">
        <f aca="false">MONTH(A48)</f>
        <v>5</v>
      </c>
      <c r="D48" s="9" t="n">
        <f aca="false">YEAR(A48)</f>
        <v>2023</v>
      </c>
      <c r="E48" s="9" t="n">
        <f aca="false">WEEKDAY(A48,2)</f>
        <v>2</v>
      </c>
      <c r="F48" s="10" t="n">
        <f aca="false">WEEKNUM(A48,2) - WEEKNUM(DATE(YEAR(A48),MONTH(A48),1),2) + 1</f>
        <v>1</v>
      </c>
      <c r="G48" s="10"/>
      <c r="H48" s="30" t="n">
        <v>3041</v>
      </c>
      <c r="I48" s="31" t="s">
        <v>20</v>
      </c>
      <c r="J48" s="31" t="s">
        <v>32</v>
      </c>
      <c r="K48" s="12"/>
      <c r="L48" s="9"/>
      <c r="M48" s="10" t="str">
        <f aca="false">VLOOKUP(J48,RECATALOGANDO!A:C,2,0)</f>
        <v>TRANSFERENCIA ENTRE CUENTAS</v>
      </c>
      <c r="N48" s="12" t="str">
        <f aca="false">VLOOKUP(M48,RECATALOGANDO!B:C,2,0)</f>
        <v>TRANSFERENCIAS</v>
      </c>
      <c r="O48" s="2" t="s">
        <v>31</v>
      </c>
    </row>
    <row r="49" customFormat="false" ht="13.8" hidden="false" customHeight="false" outlineLevel="0" collapsed="false">
      <c r="A49" s="29" t="n">
        <v>45056</v>
      </c>
      <c r="B49" s="9" t="n">
        <f aca="false">DAY(A49)</f>
        <v>10</v>
      </c>
      <c r="C49" s="9" t="n">
        <f aca="false">MONTH(A49)</f>
        <v>5</v>
      </c>
      <c r="D49" s="9" t="n">
        <f aca="false">YEAR(A49)</f>
        <v>2023</v>
      </c>
      <c r="E49" s="9" t="n">
        <f aca="false">WEEKDAY(A49,2)</f>
        <v>3</v>
      </c>
      <c r="F49" s="10" t="n">
        <f aca="false">WEEKNUM(A49,2) - WEEKNUM(DATE(YEAR(A49),MONTH(A49),1),2) + 1</f>
        <v>2</v>
      </c>
      <c r="G49" s="10"/>
      <c r="H49" s="30" t="n">
        <v>250</v>
      </c>
      <c r="I49" s="31" t="s">
        <v>15</v>
      </c>
      <c r="J49" s="31" t="s">
        <v>32</v>
      </c>
      <c r="K49" s="12"/>
      <c r="L49" s="9"/>
      <c r="M49" s="10" t="str">
        <f aca="false">VLOOKUP(J49,RECATALOGANDO!A:C,2,0)</f>
        <v>TRANSFERENCIA ENTRE CUENTAS</v>
      </c>
      <c r="N49" s="12" t="str">
        <f aca="false">VLOOKUP(M49,RECATALOGANDO!B:C,2,0)</f>
        <v>TRANSFERENCIAS</v>
      </c>
      <c r="O49" s="2" t="s">
        <v>31</v>
      </c>
    </row>
    <row r="50" customFormat="false" ht="13.8" hidden="false" customHeight="false" outlineLevel="0" collapsed="false">
      <c r="A50" s="29" t="n">
        <v>45062</v>
      </c>
      <c r="B50" s="9" t="n">
        <f aca="false">DAY(A50)</f>
        <v>16</v>
      </c>
      <c r="C50" s="9" t="n">
        <f aca="false">MONTH(A50)</f>
        <v>5</v>
      </c>
      <c r="D50" s="9" t="n">
        <f aca="false">YEAR(A50)</f>
        <v>2023</v>
      </c>
      <c r="E50" s="9" t="n">
        <f aca="false">WEEKDAY(A50,2)</f>
        <v>2</v>
      </c>
      <c r="F50" s="10" t="n">
        <f aca="false">WEEKNUM(A50,2) - WEEKNUM(DATE(YEAR(A50),MONTH(A50),1),2) + 1</f>
        <v>3</v>
      </c>
      <c r="G50" s="10"/>
      <c r="H50" s="30" t="n">
        <v>2000</v>
      </c>
      <c r="I50" s="31" t="s">
        <v>20</v>
      </c>
      <c r="J50" s="31" t="s">
        <v>32</v>
      </c>
      <c r="K50" s="12"/>
      <c r="L50" s="9"/>
      <c r="M50" s="10" t="str">
        <f aca="false">VLOOKUP(J50,RECATALOGANDO!A:C,2,0)</f>
        <v>TRANSFERENCIA ENTRE CUENTAS</v>
      </c>
      <c r="N50" s="12" t="str">
        <f aca="false">VLOOKUP(M50,RECATALOGANDO!B:C,2,0)</f>
        <v>TRANSFERENCIAS</v>
      </c>
      <c r="O50" s="2" t="s">
        <v>31</v>
      </c>
    </row>
    <row r="51" customFormat="false" ht="13.8" hidden="false" customHeight="false" outlineLevel="0" collapsed="false">
      <c r="A51" s="29" t="n">
        <v>45069</v>
      </c>
      <c r="B51" s="9" t="n">
        <f aca="false">DAY(A51)</f>
        <v>23</v>
      </c>
      <c r="C51" s="9" t="n">
        <f aca="false">MONTH(A51)</f>
        <v>5</v>
      </c>
      <c r="D51" s="9" t="n">
        <f aca="false">YEAR(A51)</f>
        <v>2023</v>
      </c>
      <c r="E51" s="9" t="n">
        <f aca="false">WEEKDAY(A51,2)</f>
        <v>2</v>
      </c>
      <c r="F51" s="10" t="n">
        <f aca="false">WEEKNUM(A51,2) - WEEKNUM(DATE(YEAR(A51),MONTH(A51),1),2) + 1</f>
        <v>4</v>
      </c>
      <c r="G51" s="10"/>
      <c r="H51" s="30" t="n">
        <v>1500</v>
      </c>
      <c r="I51" s="31" t="s">
        <v>20</v>
      </c>
      <c r="J51" s="31" t="s">
        <v>32</v>
      </c>
      <c r="K51" s="12"/>
      <c r="L51" s="9"/>
      <c r="M51" s="10" t="str">
        <f aca="false">VLOOKUP(J51,RECATALOGANDO!A:C,2,0)</f>
        <v>TRANSFERENCIA ENTRE CUENTAS</v>
      </c>
      <c r="N51" s="12" t="str">
        <f aca="false">VLOOKUP(M51,RECATALOGANDO!B:C,2,0)</f>
        <v>TRANSFERENCIAS</v>
      </c>
      <c r="O51" s="2" t="s">
        <v>31</v>
      </c>
    </row>
    <row r="52" customFormat="false" ht="13.8" hidden="false" customHeight="false" outlineLevel="0" collapsed="false">
      <c r="A52" s="29" t="n">
        <v>45069</v>
      </c>
      <c r="B52" s="9" t="n">
        <f aca="false">DAY(A52)</f>
        <v>23</v>
      </c>
      <c r="C52" s="9" t="n">
        <f aca="false">MONTH(A52)</f>
        <v>5</v>
      </c>
      <c r="D52" s="9" t="n">
        <f aca="false">YEAR(A52)</f>
        <v>2023</v>
      </c>
      <c r="E52" s="9" t="n">
        <f aca="false">WEEKDAY(A52,2)</f>
        <v>2</v>
      </c>
      <c r="F52" s="10" t="n">
        <f aca="false">WEEKNUM(A52,2) - WEEKNUM(DATE(YEAR(A52),MONTH(A52),1),2) + 1</f>
        <v>4</v>
      </c>
      <c r="G52" s="10"/>
      <c r="H52" s="30" t="n">
        <v>2200</v>
      </c>
      <c r="I52" s="31" t="s">
        <v>15</v>
      </c>
      <c r="J52" s="31" t="s">
        <v>32</v>
      </c>
      <c r="K52" s="12"/>
      <c r="L52" s="9"/>
      <c r="M52" s="10" t="str">
        <f aca="false">VLOOKUP(J52,RECATALOGANDO!A:C,2,0)</f>
        <v>TRANSFERENCIA ENTRE CUENTAS</v>
      </c>
      <c r="N52" s="12" t="str">
        <f aca="false">VLOOKUP(M52,RECATALOGANDO!B:C,2,0)</f>
        <v>TRANSFERENCIAS</v>
      </c>
      <c r="O52" s="2" t="s">
        <v>31</v>
      </c>
    </row>
    <row r="53" customFormat="false" ht="13.8" hidden="false" customHeight="false" outlineLevel="0" collapsed="false">
      <c r="A53" s="29" t="n">
        <v>45070</v>
      </c>
      <c r="B53" s="9" t="n">
        <f aca="false">DAY(A53)</f>
        <v>24</v>
      </c>
      <c r="C53" s="9" t="n">
        <f aca="false">MONTH(A53)</f>
        <v>5</v>
      </c>
      <c r="D53" s="9" t="n">
        <f aca="false">YEAR(A53)</f>
        <v>2023</v>
      </c>
      <c r="E53" s="9" t="n">
        <f aca="false">WEEKDAY(A53,2)</f>
        <v>3</v>
      </c>
      <c r="F53" s="10" t="n">
        <f aca="false">WEEKNUM(A53,2) - WEEKNUM(DATE(YEAR(A53),MONTH(A53),1),2) + 1</f>
        <v>4</v>
      </c>
      <c r="G53" s="10"/>
      <c r="H53" s="30" t="n">
        <v>1400</v>
      </c>
      <c r="I53" s="31" t="s">
        <v>20</v>
      </c>
      <c r="J53" s="31" t="s">
        <v>32</v>
      </c>
      <c r="K53" s="12"/>
      <c r="L53" s="9"/>
      <c r="M53" s="10" t="str">
        <f aca="false">VLOOKUP(J53,RECATALOGANDO!A:C,2,0)</f>
        <v>TRANSFERENCIA ENTRE CUENTAS</v>
      </c>
      <c r="N53" s="12" t="str">
        <f aca="false">VLOOKUP(M53,RECATALOGANDO!B:C,2,0)</f>
        <v>TRANSFERENCIAS</v>
      </c>
      <c r="O53" s="2" t="s">
        <v>31</v>
      </c>
    </row>
    <row r="54" customFormat="false" ht="13.8" hidden="false" customHeight="false" outlineLevel="0" collapsed="false">
      <c r="A54" s="29" t="n">
        <v>45081</v>
      </c>
      <c r="B54" s="9" t="n">
        <f aca="false">DAY(A54)</f>
        <v>4</v>
      </c>
      <c r="C54" s="9" t="n">
        <f aca="false">MONTH(A54)</f>
        <v>6</v>
      </c>
      <c r="D54" s="9" t="n">
        <f aca="false">YEAR(A54)</f>
        <v>2023</v>
      </c>
      <c r="E54" s="9" t="n">
        <f aca="false">WEEKDAY(A54,2)</f>
        <v>7</v>
      </c>
      <c r="F54" s="10" t="n">
        <f aca="false">WEEKNUM(A54,2) - WEEKNUM(DATE(YEAR(A54),MONTH(A54),1),2) + 1</f>
        <v>1</v>
      </c>
      <c r="G54" s="10"/>
      <c r="H54" s="30" t="n">
        <v>1000</v>
      </c>
      <c r="I54" s="31" t="s">
        <v>15</v>
      </c>
      <c r="J54" s="31" t="s">
        <v>32</v>
      </c>
      <c r="K54" s="12"/>
      <c r="L54" s="9"/>
      <c r="M54" s="10" t="str">
        <f aca="false">VLOOKUP(J54,RECATALOGANDO!A:C,2,0)</f>
        <v>TRANSFERENCIA ENTRE CUENTAS</v>
      </c>
      <c r="N54" s="12" t="str">
        <f aca="false">VLOOKUP(M54,RECATALOGANDO!B:C,2,0)</f>
        <v>TRANSFERENCIAS</v>
      </c>
      <c r="O54" s="2" t="s">
        <v>31</v>
      </c>
    </row>
    <row r="55" customFormat="false" ht="13.8" hidden="false" customHeight="false" outlineLevel="0" collapsed="false">
      <c r="A55" s="29" t="n">
        <v>45082</v>
      </c>
      <c r="B55" s="9" t="n">
        <f aca="false">DAY(A55)</f>
        <v>5</v>
      </c>
      <c r="C55" s="9" t="n">
        <f aca="false">MONTH(A55)</f>
        <v>6</v>
      </c>
      <c r="D55" s="9" t="n">
        <f aca="false">YEAR(A55)</f>
        <v>2023</v>
      </c>
      <c r="E55" s="9" t="n">
        <f aca="false">WEEKDAY(A55,2)</f>
        <v>1</v>
      </c>
      <c r="F55" s="10" t="n">
        <f aca="false">WEEKNUM(A55,2) - WEEKNUM(DATE(YEAR(A55),MONTH(A55),1),2) + 1</f>
        <v>2</v>
      </c>
      <c r="G55" s="10"/>
      <c r="H55" s="30" t="n">
        <v>600</v>
      </c>
      <c r="I55" s="31" t="s">
        <v>15</v>
      </c>
      <c r="J55" s="31" t="s">
        <v>32</v>
      </c>
      <c r="K55" s="12"/>
      <c r="L55" s="9"/>
      <c r="M55" s="10" t="str">
        <f aca="false">VLOOKUP(J55,RECATALOGANDO!A:C,2,0)</f>
        <v>TRANSFERENCIA ENTRE CUENTAS</v>
      </c>
      <c r="N55" s="12" t="str">
        <f aca="false">VLOOKUP(M55,RECATALOGANDO!B:C,2,0)</f>
        <v>TRANSFERENCIAS</v>
      </c>
      <c r="O55" s="2" t="s">
        <v>31</v>
      </c>
    </row>
    <row r="56" customFormat="false" ht="13.8" hidden="false" customHeight="false" outlineLevel="0" collapsed="false">
      <c r="A56" s="29" t="n">
        <v>45091</v>
      </c>
      <c r="B56" s="9" t="n">
        <f aca="false">DAY(A56)</f>
        <v>14</v>
      </c>
      <c r="C56" s="9" t="n">
        <f aca="false">MONTH(A56)</f>
        <v>6</v>
      </c>
      <c r="D56" s="9" t="n">
        <f aca="false">YEAR(A56)</f>
        <v>2023</v>
      </c>
      <c r="E56" s="9" t="n">
        <f aca="false">WEEKDAY(A56,2)</f>
        <v>3</v>
      </c>
      <c r="F56" s="10" t="n">
        <f aca="false">WEEKNUM(A56,2) - WEEKNUM(DATE(YEAR(A56),MONTH(A56),1),2) + 1</f>
        <v>3</v>
      </c>
      <c r="G56" s="10"/>
      <c r="H56" s="30" t="n">
        <v>2000</v>
      </c>
      <c r="I56" s="31" t="s">
        <v>15</v>
      </c>
      <c r="J56" s="31" t="s">
        <v>32</v>
      </c>
      <c r="K56" s="12"/>
      <c r="L56" s="9"/>
      <c r="M56" s="10" t="str">
        <f aca="false">VLOOKUP(J56,RECATALOGANDO!A:C,2,0)</f>
        <v>TRANSFERENCIA ENTRE CUENTAS</v>
      </c>
      <c r="N56" s="12" t="str">
        <f aca="false">VLOOKUP(M56,RECATALOGANDO!B:C,2,0)</f>
        <v>TRANSFERENCIAS</v>
      </c>
      <c r="O56" s="2" t="s">
        <v>31</v>
      </c>
    </row>
    <row r="57" customFormat="false" ht="13.8" hidden="false" customHeight="false" outlineLevel="0" collapsed="false">
      <c r="A57" s="29" t="n">
        <v>45099</v>
      </c>
      <c r="B57" s="9" t="n">
        <f aca="false">DAY(A57)</f>
        <v>22</v>
      </c>
      <c r="C57" s="9" t="n">
        <f aca="false">MONTH(A57)</f>
        <v>6</v>
      </c>
      <c r="D57" s="9" t="n">
        <f aca="false">YEAR(A57)</f>
        <v>2023</v>
      </c>
      <c r="E57" s="9" t="n">
        <f aca="false">WEEKDAY(A57,2)</f>
        <v>4</v>
      </c>
      <c r="F57" s="10" t="n">
        <f aca="false">WEEKNUM(A57,2) - WEEKNUM(DATE(YEAR(A57),MONTH(A57),1),2) + 1</f>
        <v>4</v>
      </c>
      <c r="G57" s="10"/>
      <c r="H57" s="30" t="n">
        <v>3000</v>
      </c>
      <c r="I57" s="31" t="s">
        <v>15</v>
      </c>
      <c r="J57" s="31" t="s">
        <v>32</v>
      </c>
      <c r="K57" s="12"/>
      <c r="L57" s="9"/>
      <c r="M57" s="10" t="str">
        <f aca="false">VLOOKUP(J57,RECATALOGANDO!A:C,2,0)</f>
        <v>TRANSFERENCIA ENTRE CUENTAS</v>
      </c>
      <c r="N57" s="12" t="str">
        <f aca="false">VLOOKUP(M57,RECATALOGANDO!B:C,2,0)</f>
        <v>TRANSFERENCIAS</v>
      </c>
      <c r="O57" s="2" t="s">
        <v>31</v>
      </c>
    </row>
    <row r="58" customFormat="false" ht="13.8" hidden="false" customHeight="false" outlineLevel="0" collapsed="false">
      <c r="A58" s="29" t="n">
        <v>45105</v>
      </c>
      <c r="B58" s="9" t="n">
        <f aca="false">DAY(A58)</f>
        <v>28</v>
      </c>
      <c r="C58" s="9" t="n">
        <f aca="false">MONTH(A58)</f>
        <v>6</v>
      </c>
      <c r="D58" s="9" t="n">
        <f aca="false">YEAR(A58)</f>
        <v>2023</v>
      </c>
      <c r="E58" s="9" t="n">
        <f aca="false">WEEKDAY(A58,2)</f>
        <v>3</v>
      </c>
      <c r="F58" s="10" t="n">
        <f aca="false">WEEKNUM(A58,2) - WEEKNUM(DATE(YEAR(A58),MONTH(A58),1),2) + 1</f>
        <v>5</v>
      </c>
      <c r="G58" s="10"/>
      <c r="H58" s="30" t="n">
        <v>700</v>
      </c>
      <c r="I58" s="31" t="s">
        <v>20</v>
      </c>
      <c r="J58" s="31" t="s">
        <v>32</v>
      </c>
      <c r="K58" s="12"/>
      <c r="L58" s="9"/>
      <c r="M58" s="10" t="str">
        <f aca="false">VLOOKUP(J58,RECATALOGANDO!A:C,2,0)</f>
        <v>TRANSFERENCIA ENTRE CUENTAS</v>
      </c>
      <c r="N58" s="12" t="str">
        <f aca="false">VLOOKUP(M58,RECATALOGANDO!B:C,2,0)</f>
        <v>TRANSFERENCIAS</v>
      </c>
      <c r="O58" s="2" t="s">
        <v>31</v>
      </c>
    </row>
    <row r="59" customFormat="false" ht="13.8" hidden="false" customHeight="false" outlineLevel="0" collapsed="false">
      <c r="A59" s="29" t="n">
        <v>45111</v>
      </c>
      <c r="B59" s="9" t="n">
        <f aca="false">DAY(A59)</f>
        <v>4</v>
      </c>
      <c r="C59" s="9" t="n">
        <f aca="false">MONTH(A59)</f>
        <v>7</v>
      </c>
      <c r="D59" s="9" t="n">
        <f aca="false">YEAR(A59)</f>
        <v>2023</v>
      </c>
      <c r="E59" s="9" t="n">
        <f aca="false">WEEKDAY(A59,2)</f>
        <v>2</v>
      </c>
      <c r="F59" s="10" t="n">
        <f aca="false">WEEKNUM(A59,2) - WEEKNUM(DATE(YEAR(A59),MONTH(A59),1),2) + 1</f>
        <v>2</v>
      </c>
      <c r="G59" s="10"/>
      <c r="H59" s="30" t="n">
        <v>1000</v>
      </c>
      <c r="I59" s="31" t="s">
        <v>15</v>
      </c>
      <c r="J59" s="31" t="s">
        <v>32</v>
      </c>
      <c r="K59" s="12"/>
      <c r="L59" s="9"/>
      <c r="M59" s="10" t="str">
        <f aca="false">VLOOKUP(J59,RECATALOGANDO!A:C,2,0)</f>
        <v>TRANSFERENCIA ENTRE CUENTAS</v>
      </c>
      <c r="N59" s="12" t="str">
        <f aca="false">VLOOKUP(M59,RECATALOGANDO!B:C,2,0)</f>
        <v>TRANSFERENCIAS</v>
      </c>
      <c r="O59" s="2" t="s">
        <v>31</v>
      </c>
    </row>
    <row r="60" customFormat="false" ht="13.8" hidden="false" customHeight="false" outlineLevel="0" collapsed="false">
      <c r="A60" s="29" t="n">
        <v>45113</v>
      </c>
      <c r="B60" s="9" t="n">
        <f aca="false">DAY(A60)</f>
        <v>6</v>
      </c>
      <c r="C60" s="9" t="n">
        <f aca="false">MONTH(A60)</f>
        <v>7</v>
      </c>
      <c r="D60" s="9" t="n">
        <f aca="false">YEAR(A60)</f>
        <v>2023</v>
      </c>
      <c r="E60" s="9" t="n">
        <f aca="false">WEEKDAY(A60,2)</f>
        <v>4</v>
      </c>
      <c r="F60" s="10" t="n">
        <f aca="false">WEEKNUM(A60,2) - WEEKNUM(DATE(YEAR(A60),MONTH(A60),1),2) + 1</f>
        <v>2</v>
      </c>
      <c r="G60" s="10"/>
      <c r="H60" s="30" t="n">
        <v>2500</v>
      </c>
      <c r="I60" s="31" t="s">
        <v>15</v>
      </c>
      <c r="J60" s="31" t="s">
        <v>32</v>
      </c>
      <c r="K60" s="12"/>
      <c r="L60" s="9"/>
      <c r="M60" s="10" t="str">
        <f aca="false">VLOOKUP(J60,RECATALOGANDO!A:C,2,0)</f>
        <v>TRANSFERENCIA ENTRE CUENTAS</v>
      </c>
      <c r="N60" s="12" t="str">
        <f aca="false">VLOOKUP(M60,RECATALOGANDO!B:C,2,0)</f>
        <v>TRANSFERENCIAS</v>
      </c>
      <c r="O60" s="2" t="s">
        <v>31</v>
      </c>
    </row>
    <row r="61" customFormat="false" ht="13.8" hidden="false" customHeight="false" outlineLevel="0" collapsed="false">
      <c r="A61" s="29" t="n">
        <v>45133</v>
      </c>
      <c r="B61" s="9" t="n">
        <f aca="false">DAY(A61)</f>
        <v>26</v>
      </c>
      <c r="C61" s="9" t="n">
        <f aca="false">MONTH(A61)</f>
        <v>7</v>
      </c>
      <c r="D61" s="9" t="n">
        <f aca="false">YEAR(A61)</f>
        <v>2023</v>
      </c>
      <c r="E61" s="9" t="n">
        <f aca="false">WEEKDAY(A61,2)</f>
        <v>3</v>
      </c>
      <c r="F61" s="10" t="n">
        <f aca="false">WEEKNUM(A61,2) - WEEKNUM(DATE(YEAR(A61),MONTH(A61),1),2) + 1</f>
        <v>5</v>
      </c>
      <c r="G61" s="10"/>
      <c r="H61" s="30" t="n">
        <v>5000</v>
      </c>
      <c r="I61" s="31" t="s">
        <v>20</v>
      </c>
      <c r="J61" s="31" t="s">
        <v>32</v>
      </c>
      <c r="K61" s="12"/>
      <c r="L61" s="9"/>
      <c r="M61" s="10" t="str">
        <f aca="false">VLOOKUP(J61,RECATALOGANDO!A:C,2,0)</f>
        <v>TRANSFERENCIA ENTRE CUENTAS</v>
      </c>
      <c r="N61" s="12" t="str">
        <f aca="false">VLOOKUP(M61,RECATALOGANDO!B:C,2,0)</f>
        <v>TRANSFERENCIAS</v>
      </c>
      <c r="O61" s="2" t="s">
        <v>31</v>
      </c>
    </row>
    <row r="62" customFormat="false" ht="13.8" hidden="false" customHeight="false" outlineLevel="0" collapsed="false">
      <c r="A62" s="29" t="n">
        <v>45180</v>
      </c>
      <c r="B62" s="9" t="n">
        <f aca="false">DAY(A62)</f>
        <v>11</v>
      </c>
      <c r="C62" s="9" t="n">
        <f aca="false">MONTH(A62)</f>
        <v>9</v>
      </c>
      <c r="D62" s="9" t="n">
        <f aca="false">YEAR(A62)</f>
        <v>2023</v>
      </c>
      <c r="E62" s="9" t="n">
        <f aca="false">WEEKDAY(A62,2)</f>
        <v>1</v>
      </c>
      <c r="F62" s="10" t="n">
        <f aca="false">WEEKNUM(A62,2) - WEEKNUM(DATE(YEAR(A62),MONTH(A62),1),2) + 1</f>
        <v>3</v>
      </c>
      <c r="G62" s="10"/>
      <c r="H62" s="30" t="n">
        <v>400</v>
      </c>
      <c r="I62" s="31" t="s">
        <v>20</v>
      </c>
      <c r="J62" s="31" t="s">
        <v>32</v>
      </c>
      <c r="K62" s="12"/>
      <c r="L62" s="9"/>
      <c r="M62" s="10" t="str">
        <f aca="false">VLOOKUP(J62,RECATALOGANDO!A:C,2,0)</f>
        <v>TRANSFERENCIA ENTRE CUENTAS</v>
      </c>
      <c r="N62" s="12" t="str">
        <f aca="false">VLOOKUP(M62,RECATALOGANDO!B:C,2,0)</f>
        <v>TRANSFERENCIAS</v>
      </c>
      <c r="O62" s="2" t="s">
        <v>31</v>
      </c>
    </row>
    <row r="63" customFormat="false" ht="13.8" hidden="false" customHeight="false" outlineLevel="0" collapsed="false">
      <c r="A63" s="29" t="n">
        <v>45183</v>
      </c>
      <c r="B63" s="9" t="n">
        <f aca="false">DAY(A63)</f>
        <v>14</v>
      </c>
      <c r="C63" s="9" t="n">
        <f aca="false">MONTH(A63)</f>
        <v>9</v>
      </c>
      <c r="D63" s="9" t="n">
        <f aca="false">YEAR(A63)</f>
        <v>2023</v>
      </c>
      <c r="E63" s="9" t="n">
        <f aca="false">WEEKDAY(A63,2)</f>
        <v>4</v>
      </c>
      <c r="F63" s="10" t="n">
        <f aca="false">WEEKNUM(A63,2) - WEEKNUM(DATE(YEAR(A63),MONTH(A63),1),2) + 1</f>
        <v>3</v>
      </c>
      <c r="G63" s="10"/>
      <c r="H63" s="30" t="n">
        <v>1800</v>
      </c>
      <c r="I63" s="31" t="s">
        <v>20</v>
      </c>
      <c r="J63" s="31" t="s">
        <v>32</v>
      </c>
      <c r="K63" s="12"/>
      <c r="L63" s="9"/>
      <c r="M63" s="10" t="str">
        <f aca="false">VLOOKUP(J63,RECATALOGANDO!A:C,2,0)</f>
        <v>TRANSFERENCIA ENTRE CUENTAS</v>
      </c>
      <c r="N63" s="12" t="str">
        <f aca="false">VLOOKUP(M63,RECATALOGANDO!B:C,2,0)</f>
        <v>TRANSFERENCIAS</v>
      </c>
      <c r="O63" s="2" t="s">
        <v>31</v>
      </c>
    </row>
    <row r="64" customFormat="false" ht="13.8" hidden="false" customHeight="false" outlineLevel="0" collapsed="false">
      <c r="A64" s="29" t="n">
        <v>45188</v>
      </c>
      <c r="B64" s="9" t="n">
        <f aca="false">DAY(A64)</f>
        <v>19</v>
      </c>
      <c r="C64" s="9" t="n">
        <f aca="false">MONTH(A64)</f>
        <v>9</v>
      </c>
      <c r="D64" s="9" t="n">
        <f aca="false">YEAR(A64)</f>
        <v>2023</v>
      </c>
      <c r="E64" s="9" t="n">
        <f aca="false">WEEKDAY(A64,2)</f>
        <v>2</v>
      </c>
      <c r="F64" s="10" t="n">
        <f aca="false">WEEKNUM(A64,2) - WEEKNUM(DATE(YEAR(A64),MONTH(A64),1),2) + 1</f>
        <v>4</v>
      </c>
      <c r="G64" s="10"/>
      <c r="H64" s="30" t="n">
        <v>5330</v>
      </c>
      <c r="I64" s="31" t="s">
        <v>15</v>
      </c>
      <c r="J64" s="31" t="s">
        <v>32</v>
      </c>
      <c r="K64" s="12"/>
      <c r="L64" s="9"/>
      <c r="M64" s="10" t="str">
        <f aca="false">VLOOKUP(J64,RECATALOGANDO!A:C,2,0)</f>
        <v>TRANSFERENCIA ENTRE CUENTAS</v>
      </c>
      <c r="N64" s="12" t="str">
        <f aca="false">VLOOKUP(M64,RECATALOGANDO!B:C,2,0)</f>
        <v>TRANSFERENCIAS</v>
      </c>
      <c r="O64" s="2" t="s">
        <v>31</v>
      </c>
    </row>
    <row r="65" customFormat="false" ht="13.8" hidden="false" customHeight="false" outlineLevel="0" collapsed="false">
      <c r="A65" s="29" t="n">
        <v>45191</v>
      </c>
      <c r="B65" s="9" t="n">
        <f aca="false">DAY(A65)</f>
        <v>22</v>
      </c>
      <c r="C65" s="9" t="n">
        <f aca="false">MONTH(A65)</f>
        <v>9</v>
      </c>
      <c r="D65" s="9" t="n">
        <f aca="false">YEAR(A65)</f>
        <v>2023</v>
      </c>
      <c r="E65" s="9" t="n">
        <f aca="false">WEEKDAY(A65,2)</f>
        <v>5</v>
      </c>
      <c r="F65" s="10" t="n">
        <f aca="false">WEEKNUM(A65,2) - WEEKNUM(DATE(YEAR(A65),MONTH(A65),1),2) + 1</f>
        <v>4</v>
      </c>
      <c r="G65" s="10"/>
      <c r="H65" s="30" t="n">
        <v>4800</v>
      </c>
      <c r="I65" s="31" t="s">
        <v>15</v>
      </c>
      <c r="J65" s="31" t="s">
        <v>32</v>
      </c>
      <c r="K65" s="12"/>
      <c r="L65" s="9"/>
      <c r="M65" s="10" t="str">
        <f aca="false">VLOOKUP(J65,RECATALOGANDO!A:C,2,0)</f>
        <v>TRANSFERENCIA ENTRE CUENTAS</v>
      </c>
      <c r="N65" s="12" t="str">
        <f aca="false">VLOOKUP(M65,RECATALOGANDO!B:C,2,0)</f>
        <v>TRANSFERENCIAS</v>
      </c>
      <c r="O65" s="2" t="s">
        <v>31</v>
      </c>
    </row>
    <row r="66" customFormat="false" ht="13.8" hidden="false" customHeight="false" outlineLevel="0" collapsed="false">
      <c r="A66" s="29" t="n">
        <v>45191</v>
      </c>
      <c r="B66" s="9" t="n">
        <f aca="false">DAY(A66)</f>
        <v>22</v>
      </c>
      <c r="C66" s="9" t="n">
        <f aca="false">MONTH(A66)</f>
        <v>9</v>
      </c>
      <c r="D66" s="9" t="n">
        <f aca="false">YEAR(A66)</f>
        <v>2023</v>
      </c>
      <c r="E66" s="9" t="n">
        <f aca="false">WEEKDAY(A66,2)</f>
        <v>5</v>
      </c>
      <c r="F66" s="10" t="n">
        <f aca="false">WEEKNUM(A66,2) - WEEKNUM(DATE(YEAR(A66),MONTH(A66),1),2) + 1</f>
        <v>4</v>
      </c>
      <c r="G66" s="10"/>
      <c r="H66" s="30" t="n">
        <v>5000</v>
      </c>
      <c r="I66" s="31" t="s">
        <v>15</v>
      </c>
      <c r="J66" s="31" t="s">
        <v>32</v>
      </c>
      <c r="K66" s="12"/>
      <c r="L66" s="9"/>
      <c r="M66" s="10" t="str">
        <f aca="false">VLOOKUP(J66,RECATALOGANDO!A:C,2,0)</f>
        <v>TRANSFERENCIA ENTRE CUENTAS</v>
      </c>
      <c r="N66" s="12" t="str">
        <f aca="false">VLOOKUP(M66,RECATALOGANDO!B:C,2,0)</f>
        <v>TRANSFERENCIAS</v>
      </c>
      <c r="O66" s="2" t="s">
        <v>31</v>
      </c>
    </row>
    <row r="67" customFormat="false" ht="13.8" hidden="false" customHeight="false" outlineLevel="0" collapsed="false">
      <c r="A67" s="29" t="n">
        <v>45194</v>
      </c>
      <c r="B67" s="9" t="n">
        <f aca="false">DAY(A67)</f>
        <v>25</v>
      </c>
      <c r="C67" s="9" t="n">
        <f aca="false">MONTH(A67)</f>
        <v>9</v>
      </c>
      <c r="D67" s="9" t="n">
        <f aca="false">YEAR(A67)</f>
        <v>2023</v>
      </c>
      <c r="E67" s="9" t="n">
        <f aca="false">WEEKDAY(A67,2)</f>
        <v>1</v>
      </c>
      <c r="F67" s="10" t="n">
        <f aca="false">WEEKNUM(A67,2) - WEEKNUM(DATE(YEAR(A67),MONTH(A67),1),2) + 1</f>
        <v>5</v>
      </c>
      <c r="G67" s="10"/>
      <c r="H67" s="30" t="n">
        <v>500</v>
      </c>
      <c r="I67" s="31" t="s">
        <v>20</v>
      </c>
      <c r="J67" s="31" t="s">
        <v>32</v>
      </c>
      <c r="K67" s="12"/>
      <c r="L67" s="9"/>
      <c r="M67" s="10" t="str">
        <f aca="false">VLOOKUP(J67,RECATALOGANDO!A:C,2,0)</f>
        <v>TRANSFERENCIA ENTRE CUENTAS</v>
      </c>
      <c r="N67" s="12" t="str">
        <f aca="false">VLOOKUP(M67,RECATALOGANDO!B:C,2,0)</f>
        <v>TRANSFERENCIAS</v>
      </c>
      <c r="O67" s="2" t="s">
        <v>31</v>
      </c>
    </row>
    <row r="68" customFormat="false" ht="13.8" hidden="false" customHeight="false" outlineLevel="0" collapsed="false">
      <c r="A68" s="32" t="n">
        <v>45200</v>
      </c>
      <c r="B68" s="9" t="n">
        <f aca="false">DAY(A68)</f>
        <v>1</v>
      </c>
      <c r="C68" s="9" t="n">
        <f aca="false">MONTH(A68)</f>
        <v>10</v>
      </c>
      <c r="D68" s="9" t="n">
        <f aca="false">YEAR(A68)</f>
        <v>2023</v>
      </c>
      <c r="E68" s="9" t="n">
        <f aca="false">WEEKDAY(A68,2)</f>
        <v>7</v>
      </c>
      <c r="F68" s="10" t="n">
        <f aca="false">WEEKNUM(A68,2) - WEEKNUM(DATE(YEAR(A68),MONTH(A68),1),2) + 1</f>
        <v>1</v>
      </c>
      <c r="G68" s="10"/>
      <c r="H68" s="33" t="n">
        <v>1000</v>
      </c>
      <c r="I68" s="34" t="s">
        <v>15</v>
      </c>
      <c r="J68" s="34" t="s">
        <v>33</v>
      </c>
      <c r="K68" s="12"/>
      <c r="L68" s="9"/>
      <c r="M68" s="10" t="str">
        <f aca="false">VLOOKUP(J68,RECATALOGANDO!A:C,2,0)</f>
        <v>TRANSFERENCIA FAMILIAR</v>
      </c>
      <c r="N68" s="12" t="str">
        <f aca="false">VLOOKUP(M68,RECATALOGANDO!B:C,2,0)</f>
        <v>TRANSFERENCIAS</v>
      </c>
      <c r="O68" s="2" t="s">
        <v>31</v>
      </c>
    </row>
    <row r="69" customFormat="false" ht="13.8" hidden="false" customHeight="false" outlineLevel="0" collapsed="false">
      <c r="A69" s="29" t="n">
        <v>45201</v>
      </c>
      <c r="B69" s="9" t="n">
        <f aca="false">DAY(A69)</f>
        <v>2</v>
      </c>
      <c r="C69" s="9" t="n">
        <f aca="false">MONTH(A69)</f>
        <v>10</v>
      </c>
      <c r="D69" s="9" t="n">
        <f aca="false">YEAR(A69)</f>
        <v>2023</v>
      </c>
      <c r="E69" s="9" t="n">
        <f aca="false">WEEKDAY(A69,2)</f>
        <v>1</v>
      </c>
      <c r="F69" s="10" t="n">
        <f aca="false">WEEKNUM(A69,2) - WEEKNUM(DATE(YEAR(A69),MONTH(A69),1),2) + 1</f>
        <v>2</v>
      </c>
      <c r="G69" s="10"/>
      <c r="H69" s="30" t="n">
        <v>300</v>
      </c>
      <c r="I69" s="31" t="s">
        <v>20</v>
      </c>
      <c r="J69" s="31" t="s">
        <v>32</v>
      </c>
      <c r="K69" s="12"/>
      <c r="L69" s="9"/>
      <c r="M69" s="10" t="str">
        <f aca="false">VLOOKUP(J69,RECATALOGANDO!A:C,2,0)</f>
        <v>TRANSFERENCIA ENTRE CUENTAS</v>
      </c>
      <c r="N69" s="12" t="str">
        <f aca="false">VLOOKUP(M69,RECATALOGANDO!B:C,2,0)</f>
        <v>TRANSFERENCIAS</v>
      </c>
      <c r="O69" s="2" t="s">
        <v>31</v>
      </c>
    </row>
    <row r="70" customFormat="false" ht="13.8" hidden="false" customHeight="false" outlineLevel="0" collapsed="false">
      <c r="A70" s="32" t="n">
        <v>45203</v>
      </c>
      <c r="B70" s="9" t="n">
        <f aca="false">DAY(A70)</f>
        <v>4</v>
      </c>
      <c r="C70" s="9" t="n">
        <f aca="false">MONTH(A70)</f>
        <v>10</v>
      </c>
      <c r="D70" s="9" t="n">
        <f aca="false">YEAR(A70)</f>
        <v>2023</v>
      </c>
      <c r="E70" s="9" t="n">
        <f aca="false">WEEKDAY(A70,2)</f>
        <v>3</v>
      </c>
      <c r="F70" s="10" t="n">
        <f aca="false">WEEKNUM(A70,2) - WEEKNUM(DATE(YEAR(A70),MONTH(A70),1),2) + 1</f>
        <v>2</v>
      </c>
      <c r="G70" s="10"/>
      <c r="H70" s="33" t="n">
        <v>660</v>
      </c>
      <c r="I70" s="34" t="s">
        <v>15</v>
      </c>
      <c r="J70" s="34" t="s">
        <v>33</v>
      </c>
      <c r="K70" s="12"/>
      <c r="L70" s="9"/>
      <c r="M70" s="10" t="str">
        <f aca="false">VLOOKUP(J70,RECATALOGANDO!A:C,2,0)</f>
        <v>TRANSFERENCIA FAMILIAR</v>
      </c>
      <c r="N70" s="12" t="str">
        <f aca="false">VLOOKUP(M70,RECATALOGANDO!B:C,2,0)</f>
        <v>TRANSFERENCIAS</v>
      </c>
      <c r="O70" s="2" t="s">
        <v>31</v>
      </c>
    </row>
    <row r="71" customFormat="false" ht="13.8" hidden="false" customHeight="false" outlineLevel="0" collapsed="false">
      <c r="A71" s="32" t="n">
        <v>45203</v>
      </c>
      <c r="B71" s="9" t="n">
        <f aca="false">DAY(A71)</f>
        <v>4</v>
      </c>
      <c r="C71" s="9" t="n">
        <f aca="false">MONTH(A71)</f>
        <v>10</v>
      </c>
      <c r="D71" s="9" t="n">
        <f aca="false">YEAR(A71)</f>
        <v>2023</v>
      </c>
      <c r="E71" s="9" t="n">
        <f aca="false">WEEKDAY(A71,2)</f>
        <v>3</v>
      </c>
      <c r="F71" s="10" t="n">
        <f aca="false">WEEKNUM(A71,2) - WEEKNUM(DATE(YEAR(A71),MONTH(A71),1),2) + 1</f>
        <v>2</v>
      </c>
      <c r="G71" s="10"/>
      <c r="H71" s="33" t="n">
        <v>2500</v>
      </c>
      <c r="I71" s="34" t="s">
        <v>15</v>
      </c>
      <c r="J71" s="34" t="s">
        <v>33</v>
      </c>
      <c r="K71" s="12"/>
      <c r="L71" s="9"/>
      <c r="M71" s="10" t="str">
        <f aca="false">VLOOKUP(J71,RECATALOGANDO!A:C,2,0)</f>
        <v>TRANSFERENCIA FAMILIAR</v>
      </c>
      <c r="N71" s="12" t="str">
        <f aca="false">VLOOKUP(M71,RECATALOGANDO!B:C,2,0)</f>
        <v>TRANSFERENCIAS</v>
      </c>
      <c r="O71" s="2" t="s">
        <v>31</v>
      </c>
    </row>
    <row r="72" customFormat="false" ht="13.8" hidden="false" customHeight="false" outlineLevel="0" collapsed="false">
      <c r="A72" s="29" t="n">
        <v>45217</v>
      </c>
      <c r="B72" s="9" t="n">
        <f aca="false">DAY(A72)</f>
        <v>18</v>
      </c>
      <c r="C72" s="9" t="n">
        <f aca="false">MONTH(A72)</f>
        <v>10</v>
      </c>
      <c r="D72" s="9" t="n">
        <f aca="false">YEAR(A72)</f>
        <v>2023</v>
      </c>
      <c r="E72" s="9" t="n">
        <f aca="false">WEEKDAY(A72,2)</f>
        <v>3</v>
      </c>
      <c r="F72" s="10" t="n">
        <f aca="false">WEEKNUM(A72,2) - WEEKNUM(DATE(YEAR(A72),MONTH(A72),1),2) + 1</f>
        <v>4</v>
      </c>
      <c r="G72" s="10"/>
      <c r="H72" s="30" t="n">
        <v>2100</v>
      </c>
      <c r="I72" s="31" t="s">
        <v>20</v>
      </c>
      <c r="J72" s="31" t="s">
        <v>32</v>
      </c>
      <c r="K72" s="12"/>
      <c r="L72" s="9"/>
      <c r="M72" s="10" t="str">
        <f aca="false">VLOOKUP(J72,RECATALOGANDO!A:C,2,0)</f>
        <v>TRANSFERENCIA ENTRE CUENTAS</v>
      </c>
      <c r="N72" s="12" t="str">
        <f aca="false">VLOOKUP(M72,RECATALOGANDO!B:C,2,0)</f>
        <v>TRANSFERENCIAS</v>
      </c>
      <c r="O72" s="2" t="s">
        <v>31</v>
      </c>
    </row>
    <row r="73" customFormat="false" ht="13.8" hidden="false" customHeight="false" outlineLevel="0" collapsed="false">
      <c r="A73" s="29" t="n">
        <v>45229</v>
      </c>
      <c r="B73" s="9" t="n">
        <f aca="false">DAY(A73)</f>
        <v>30</v>
      </c>
      <c r="C73" s="9" t="n">
        <f aca="false">MONTH(A73)</f>
        <v>10</v>
      </c>
      <c r="D73" s="9" t="n">
        <f aca="false">YEAR(A73)</f>
        <v>2023</v>
      </c>
      <c r="E73" s="9" t="n">
        <f aca="false">WEEKDAY(A73,2)</f>
        <v>1</v>
      </c>
      <c r="F73" s="10" t="n">
        <f aca="false">WEEKNUM(A73,2) - WEEKNUM(DATE(YEAR(A73),MONTH(A73),1),2) + 1</f>
        <v>6</v>
      </c>
      <c r="G73" s="10" t="n">
        <v>2</v>
      </c>
      <c r="H73" s="30" t="n">
        <v>565</v>
      </c>
      <c r="I73" s="31" t="s">
        <v>20</v>
      </c>
      <c r="J73" s="31" t="s">
        <v>32</v>
      </c>
      <c r="K73" s="12"/>
      <c r="L73" s="9"/>
      <c r="M73" s="10" t="str">
        <f aca="false">VLOOKUP(J73,RECATALOGANDO!A:C,2,0)</f>
        <v>TRANSFERENCIA ENTRE CUENTAS</v>
      </c>
      <c r="N73" s="12" t="str">
        <f aca="false">VLOOKUP(M73,RECATALOGANDO!B:C,2,0)</f>
        <v>TRANSFERENCIAS</v>
      </c>
      <c r="O73" s="2" t="s">
        <v>31</v>
      </c>
    </row>
    <row r="74" customFormat="false" ht="13.8" hidden="false" customHeight="false" outlineLevel="0" collapsed="false">
      <c r="A74" s="35" t="n">
        <v>45237</v>
      </c>
      <c r="B74" s="9" t="n">
        <f aca="false">DAY(A74)</f>
        <v>7</v>
      </c>
      <c r="C74" s="9" t="n">
        <f aca="false">MONTH(A74)</f>
        <v>11</v>
      </c>
      <c r="D74" s="9" t="n">
        <f aca="false">YEAR(A74)</f>
        <v>2023</v>
      </c>
      <c r="E74" s="9" t="n">
        <f aca="false">WEEKDAY(A74,2)</f>
        <v>2</v>
      </c>
      <c r="F74" s="10" t="n">
        <f aca="false">WEEKNUM(A74,2) - WEEKNUM(DATE(YEAR(A74),MONTH(A74),1),2) + 1</f>
        <v>2</v>
      </c>
      <c r="G74" s="10"/>
      <c r="H74" s="36" t="n">
        <v>2375</v>
      </c>
      <c r="I74" s="37" t="s">
        <v>15</v>
      </c>
      <c r="J74" s="37" t="s">
        <v>34</v>
      </c>
      <c r="K74" s="12"/>
      <c r="L74" s="9"/>
      <c r="M74" s="10" t="str">
        <f aca="false">VLOOKUP(J74,RECATALOGANDO!A:C,2,0)</f>
        <v>TRANSFERENCIA FAMILIAR</v>
      </c>
      <c r="N74" s="12" t="str">
        <f aca="false">VLOOKUP(M74,RECATALOGANDO!B:C,2,0)</f>
        <v>TRANSFERENCIAS</v>
      </c>
      <c r="O74" s="2" t="s">
        <v>31</v>
      </c>
    </row>
    <row r="75" customFormat="false" ht="13.8" hidden="false" customHeight="false" outlineLevel="0" collapsed="false">
      <c r="A75" s="29" t="n">
        <v>45251</v>
      </c>
      <c r="B75" s="9" t="n">
        <f aca="false">DAY(A75)</f>
        <v>21</v>
      </c>
      <c r="C75" s="9" t="n">
        <f aca="false">MONTH(A75)</f>
        <v>11</v>
      </c>
      <c r="D75" s="9" t="n">
        <f aca="false">YEAR(A75)</f>
        <v>2023</v>
      </c>
      <c r="E75" s="9" t="n">
        <f aca="false">WEEKDAY(A75,2)</f>
        <v>2</v>
      </c>
      <c r="F75" s="10" t="n">
        <f aca="false">WEEKNUM(A75,2) - WEEKNUM(DATE(YEAR(A75),MONTH(A75),1),2) + 1</f>
        <v>4</v>
      </c>
      <c r="G75" s="10"/>
      <c r="H75" s="30" t="n">
        <v>300</v>
      </c>
      <c r="I75" s="31" t="s">
        <v>20</v>
      </c>
      <c r="J75" s="31" t="s">
        <v>32</v>
      </c>
      <c r="K75" s="12"/>
      <c r="L75" s="9"/>
      <c r="M75" s="10" t="str">
        <f aca="false">VLOOKUP(J75,RECATALOGANDO!A:C,2,0)</f>
        <v>TRANSFERENCIA ENTRE CUENTAS</v>
      </c>
      <c r="N75" s="12" t="str">
        <f aca="false">VLOOKUP(M75,RECATALOGANDO!B:C,2,0)</f>
        <v>TRANSFERENCIAS</v>
      </c>
      <c r="O75" s="2" t="s">
        <v>31</v>
      </c>
    </row>
    <row r="76" customFormat="false" ht="13.8" hidden="false" customHeight="false" outlineLevel="0" collapsed="false">
      <c r="A76" s="29" t="n">
        <v>45252</v>
      </c>
      <c r="B76" s="9" t="n">
        <f aca="false">DAY(A76)</f>
        <v>22</v>
      </c>
      <c r="C76" s="9" t="n">
        <f aca="false">MONTH(A76)</f>
        <v>11</v>
      </c>
      <c r="D76" s="9" t="n">
        <f aca="false">YEAR(A76)</f>
        <v>2023</v>
      </c>
      <c r="E76" s="9" t="n">
        <f aca="false">WEEKDAY(A76,2)</f>
        <v>3</v>
      </c>
      <c r="F76" s="10" t="n">
        <f aca="false">WEEKNUM(A76,2) - WEEKNUM(DATE(YEAR(A76),MONTH(A76),1),2) + 1</f>
        <v>4</v>
      </c>
      <c r="G76" s="10"/>
      <c r="H76" s="30" t="n">
        <v>1000</v>
      </c>
      <c r="I76" s="31" t="s">
        <v>20</v>
      </c>
      <c r="J76" s="31" t="s">
        <v>32</v>
      </c>
      <c r="K76" s="12"/>
      <c r="L76" s="9"/>
      <c r="M76" s="10" t="str">
        <f aca="false">VLOOKUP(J76,RECATALOGANDO!A:C,2,0)</f>
        <v>TRANSFERENCIA ENTRE CUENTAS</v>
      </c>
      <c r="N76" s="12" t="str">
        <f aca="false">VLOOKUP(M76,RECATALOGANDO!B:C,2,0)</f>
        <v>TRANSFERENCIAS</v>
      </c>
      <c r="O76" s="2" t="s">
        <v>31</v>
      </c>
    </row>
    <row r="77" customFormat="false" ht="13.8" hidden="false" customHeight="false" outlineLevel="0" collapsed="false">
      <c r="A77" s="29" t="n">
        <v>45253</v>
      </c>
      <c r="B77" s="9" t="n">
        <f aca="false">DAY(A77)</f>
        <v>23</v>
      </c>
      <c r="C77" s="9" t="n">
        <f aca="false">MONTH(A77)</f>
        <v>11</v>
      </c>
      <c r="D77" s="9" t="n">
        <f aca="false">YEAR(A77)</f>
        <v>2023</v>
      </c>
      <c r="E77" s="9" t="n">
        <f aca="false">WEEKDAY(A77,2)</f>
        <v>4</v>
      </c>
      <c r="F77" s="10" t="n">
        <f aca="false">WEEKNUM(A77,2) - WEEKNUM(DATE(YEAR(A77),MONTH(A77),1),2) + 1</f>
        <v>4</v>
      </c>
      <c r="G77" s="10"/>
      <c r="H77" s="30" t="n">
        <v>300</v>
      </c>
      <c r="I77" s="31" t="s">
        <v>20</v>
      </c>
      <c r="J77" s="31" t="s">
        <v>32</v>
      </c>
      <c r="K77" s="12"/>
      <c r="L77" s="9"/>
      <c r="M77" s="10" t="str">
        <f aca="false">VLOOKUP(J77,RECATALOGANDO!A:C,2,0)</f>
        <v>TRANSFERENCIA ENTRE CUENTAS</v>
      </c>
      <c r="N77" s="12" t="str">
        <f aca="false">VLOOKUP(M77,RECATALOGANDO!B:C,2,0)</f>
        <v>TRANSFERENCIAS</v>
      </c>
      <c r="O77" s="2" t="s">
        <v>31</v>
      </c>
    </row>
    <row r="78" customFormat="false" ht="13.8" hidden="false" customHeight="false" outlineLevel="0" collapsed="false">
      <c r="A78" s="29" t="n">
        <v>45253</v>
      </c>
      <c r="B78" s="9" t="n">
        <f aca="false">DAY(A78)</f>
        <v>23</v>
      </c>
      <c r="C78" s="9" t="n">
        <f aca="false">MONTH(A78)</f>
        <v>11</v>
      </c>
      <c r="D78" s="9" t="n">
        <f aca="false">YEAR(A78)</f>
        <v>2023</v>
      </c>
      <c r="E78" s="9" t="n">
        <f aca="false">WEEKDAY(A78,2)</f>
        <v>4</v>
      </c>
      <c r="F78" s="10" t="n">
        <f aca="false">WEEKNUM(A78,2) - WEEKNUM(DATE(YEAR(A78),MONTH(A78),1),2) + 1</f>
        <v>4</v>
      </c>
      <c r="G78" s="10"/>
      <c r="H78" s="30" t="n">
        <v>950</v>
      </c>
      <c r="I78" s="31" t="s">
        <v>20</v>
      </c>
      <c r="J78" s="31" t="s">
        <v>32</v>
      </c>
      <c r="K78" s="12"/>
      <c r="L78" s="9"/>
      <c r="M78" s="10" t="str">
        <f aca="false">VLOOKUP(J78,RECATALOGANDO!A:C,2,0)</f>
        <v>TRANSFERENCIA ENTRE CUENTAS</v>
      </c>
      <c r="N78" s="12" t="str">
        <f aca="false">VLOOKUP(M78,RECATALOGANDO!B:C,2,0)</f>
        <v>TRANSFERENCIAS</v>
      </c>
      <c r="O78" s="2" t="s">
        <v>31</v>
      </c>
    </row>
    <row r="79" customFormat="false" ht="13.8" hidden="false" customHeight="false" outlineLevel="0" collapsed="false">
      <c r="A79" s="29" t="n">
        <v>45269</v>
      </c>
      <c r="B79" s="9" t="n">
        <f aca="false">DAY(A79)</f>
        <v>9</v>
      </c>
      <c r="C79" s="9" t="n">
        <f aca="false">MONTH(A79)</f>
        <v>12</v>
      </c>
      <c r="D79" s="9" t="n">
        <f aca="false">YEAR(A79)</f>
        <v>2023</v>
      </c>
      <c r="E79" s="9" t="n">
        <f aca="false">WEEKDAY(A79,2)</f>
        <v>6</v>
      </c>
      <c r="F79" s="10" t="n">
        <f aca="false">WEEKNUM(A79,2) - WEEKNUM(DATE(YEAR(A79),MONTH(A79),1),2) + 1</f>
        <v>2</v>
      </c>
      <c r="G79" s="10"/>
      <c r="H79" s="30" t="n">
        <v>800</v>
      </c>
      <c r="I79" s="31" t="s">
        <v>15</v>
      </c>
      <c r="J79" s="31" t="s">
        <v>32</v>
      </c>
      <c r="K79" s="12"/>
      <c r="L79" s="9"/>
      <c r="M79" s="10" t="str">
        <f aca="false">VLOOKUP(J79,RECATALOGANDO!A:C,2,0)</f>
        <v>TRANSFERENCIA ENTRE CUENTAS</v>
      </c>
      <c r="N79" s="12" t="str">
        <f aca="false">VLOOKUP(M79,RECATALOGANDO!B:C,2,0)</f>
        <v>TRANSFERENCIAS</v>
      </c>
      <c r="O79" s="2" t="s">
        <v>31</v>
      </c>
    </row>
    <row r="80" customFormat="false" ht="13.8" hidden="false" customHeight="false" outlineLevel="0" collapsed="false">
      <c r="A80" s="29" t="n">
        <v>45269</v>
      </c>
      <c r="B80" s="9" t="n">
        <f aca="false">DAY(A80)</f>
        <v>9</v>
      </c>
      <c r="C80" s="9" t="n">
        <f aca="false">MONTH(A80)</f>
        <v>12</v>
      </c>
      <c r="D80" s="9" t="n">
        <f aca="false">YEAR(A80)</f>
        <v>2023</v>
      </c>
      <c r="E80" s="9" t="n">
        <f aca="false">WEEKDAY(A80,2)</f>
        <v>6</v>
      </c>
      <c r="F80" s="10" t="n">
        <f aca="false">WEEKNUM(A80,2) - WEEKNUM(DATE(YEAR(A80),MONTH(A80),1),2) + 1</f>
        <v>2</v>
      </c>
      <c r="G80" s="10"/>
      <c r="H80" s="30" t="n">
        <v>3000</v>
      </c>
      <c r="I80" s="31" t="s">
        <v>15</v>
      </c>
      <c r="J80" s="31" t="s">
        <v>32</v>
      </c>
      <c r="K80" s="12"/>
      <c r="L80" s="9"/>
      <c r="M80" s="10" t="str">
        <f aca="false">VLOOKUP(J80,RECATALOGANDO!A:C,2,0)</f>
        <v>TRANSFERENCIA ENTRE CUENTAS</v>
      </c>
      <c r="N80" s="12" t="str">
        <f aca="false">VLOOKUP(M80,RECATALOGANDO!B:C,2,0)</f>
        <v>TRANSFERENCIAS</v>
      </c>
      <c r="O80" s="2" t="s">
        <v>31</v>
      </c>
    </row>
    <row r="81" customFormat="false" ht="13.8" hidden="false" customHeight="false" outlineLevel="0" collapsed="false">
      <c r="A81" s="35" t="n">
        <v>45271</v>
      </c>
      <c r="B81" s="9" t="n">
        <f aca="false">DAY(A81)</f>
        <v>11</v>
      </c>
      <c r="C81" s="9" t="n">
        <f aca="false">MONTH(A81)</f>
        <v>12</v>
      </c>
      <c r="D81" s="9" t="n">
        <f aca="false">YEAR(A81)</f>
        <v>2023</v>
      </c>
      <c r="E81" s="9" t="n">
        <f aca="false">WEEKDAY(A81,2)</f>
        <v>1</v>
      </c>
      <c r="F81" s="10" t="n">
        <f aca="false">WEEKNUM(A81,2) - WEEKNUM(DATE(YEAR(A81),MONTH(A81),1),2) + 1</f>
        <v>3</v>
      </c>
      <c r="G81" s="10"/>
      <c r="H81" s="36" t="n">
        <v>1000</v>
      </c>
      <c r="I81" s="37" t="s">
        <v>15</v>
      </c>
      <c r="J81" s="37" t="s">
        <v>34</v>
      </c>
      <c r="K81" s="12"/>
      <c r="L81" s="9"/>
      <c r="M81" s="10" t="str">
        <f aca="false">VLOOKUP(J81,RECATALOGANDO!A:C,2,0)</f>
        <v>TRANSFERENCIA FAMILIAR</v>
      </c>
      <c r="N81" s="12" t="str">
        <f aca="false">VLOOKUP(M81,RECATALOGANDO!B:C,2,0)</f>
        <v>TRANSFERENCIAS</v>
      </c>
      <c r="O81" s="2" t="s">
        <v>31</v>
      </c>
    </row>
    <row r="82" customFormat="false" ht="13.8" hidden="false" customHeight="false" outlineLevel="0" collapsed="false">
      <c r="A82" s="35" t="n">
        <v>45274</v>
      </c>
      <c r="B82" s="9" t="n">
        <f aca="false">DAY(A82)</f>
        <v>14</v>
      </c>
      <c r="C82" s="9" t="n">
        <f aca="false">MONTH(A82)</f>
        <v>12</v>
      </c>
      <c r="D82" s="9" t="n">
        <f aca="false">YEAR(A82)</f>
        <v>2023</v>
      </c>
      <c r="E82" s="9" t="n">
        <f aca="false">WEEKDAY(A82,2)</f>
        <v>4</v>
      </c>
      <c r="F82" s="10" t="n">
        <f aca="false">WEEKNUM(A82,2) - WEEKNUM(DATE(YEAR(A82),MONTH(A82),1),2) + 1</f>
        <v>3</v>
      </c>
      <c r="G82" s="10"/>
      <c r="H82" s="36" t="n">
        <v>500</v>
      </c>
      <c r="I82" s="37" t="s">
        <v>15</v>
      </c>
      <c r="J82" s="37" t="s">
        <v>34</v>
      </c>
      <c r="K82" s="12"/>
      <c r="L82" s="9"/>
      <c r="M82" s="10" t="str">
        <f aca="false">VLOOKUP(J82,RECATALOGANDO!A:C,2,0)</f>
        <v>TRANSFERENCIA FAMILIAR</v>
      </c>
      <c r="N82" s="12" t="str">
        <f aca="false">VLOOKUP(M82,RECATALOGANDO!B:C,2,0)</f>
        <v>TRANSFERENCIAS</v>
      </c>
      <c r="O82" s="2" t="s">
        <v>31</v>
      </c>
    </row>
    <row r="83" customFormat="false" ht="13.8" hidden="false" customHeight="false" outlineLevel="0" collapsed="false">
      <c r="A83" s="29" t="n">
        <v>45275</v>
      </c>
      <c r="B83" s="9" t="n">
        <f aca="false">DAY(A83)</f>
        <v>15</v>
      </c>
      <c r="C83" s="9" t="n">
        <f aca="false">MONTH(A83)</f>
        <v>12</v>
      </c>
      <c r="D83" s="9" t="n">
        <f aca="false">YEAR(A83)</f>
        <v>2023</v>
      </c>
      <c r="E83" s="9" t="n">
        <f aca="false">WEEKDAY(A83,2)</f>
        <v>5</v>
      </c>
      <c r="F83" s="10" t="n">
        <f aca="false">WEEKNUM(A83,2) - WEEKNUM(DATE(YEAR(A83),MONTH(A83),1),2) + 1</f>
        <v>3</v>
      </c>
      <c r="G83" s="10" t="n">
        <v>1</v>
      </c>
      <c r="H83" s="30" t="n">
        <v>800</v>
      </c>
      <c r="I83" s="31" t="s">
        <v>15</v>
      </c>
      <c r="J83" s="31" t="s">
        <v>32</v>
      </c>
      <c r="K83" s="12"/>
      <c r="L83" s="9"/>
      <c r="M83" s="10" t="str">
        <f aca="false">VLOOKUP(J83,RECATALOGANDO!A:C,2,0)</f>
        <v>TRANSFERENCIA ENTRE CUENTAS</v>
      </c>
      <c r="N83" s="12" t="str">
        <f aca="false">VLOOKUP(M83,RECATALOGANDO!B:C,2,0)</f>
        <v>TRANSFERENCIAS</v>
      </c>
      <c r="O83" s="2" t="s">
        <v>31</v>
      </c>
    </row>
    <row r="84" customFormat="false" ht="13.8" hidden="false" customHeight="false" outlineLevel="0" collapsed="false">
      <c r="A84" s="35" t="n">
        <v>45275</v>
      </c>
      <c r="B84" s="9" t="n">
        <f aca="false">DAY(A84)</f>
        <v>15</v>
      </c>
      <c r="C84" s="9" t="n">
        <f aca="false">MONTH(A84)</f>
        <v>12</v>
      </c>
      <c r="D84" s="9" t="n">
        <f aca="false">YEAR(A84)</f>
        <v>2023</v>
      </c>
      <c r="E84" s="9" t="n">
        <f aca="false">WEEKDAY(A84,2)</f>
        <v>5</v>
      </c>
      <c r="F84" s="10" t="n">
        <f aca="false">WEEKNUM(A84,2) - WEEKNUM(DATE(YEAR(A84),MONTH(A84),1),2) + 1</f>
        <v>3</v>
      </c>
      <c r="G84" s="10" t="n">
        <v>1</v>
      </c>
      <c r="H84" s="36" t="n">
        <v>1600</v>
      </c>
      <c r="I84" s="37" t="s">
        <v>15</v>
      </c>
      <c r="J84" s="37" t="s">
        <v>34</v>
      </c>
      <c r="K84" s="12"/>
      <c r="L84" s="9"/>
      <c r="M84" s="10" t="str">
        <f aca="false">VLOOKUP(J84,RECATALOGANDO!A:C,2,0)</f>
        <v>TRANSFERENCIA FAMILIAR</v>
      </c>
      <c r="N84" s="12" t="str">
        <f aca="false">VLOOKUP(M84,RECATALOGANDO!B:C,2,0)</f>
        <v>TRANSFERENCIAS</v>
      </c>
      <c r="O84" s="2" t="s">
        <v>31</v>
      </c>
    </row>
    <row r="85" customFormat="false" ht="13.8" hidden="false" customHeight="false" outlineLevel="0" collapsed="false">
      <c r="A85" s="35" t="n">
        <v>45276</v>
      </c>
      <c r="B85" s="9" t="n">
        <f aca="false">DAY(A85)</f>
        <v>16</v>
      </c>
      <c r="C85" s="9" t="n">
        <f aca="false">MONTH(A85)</f>
        <v>12</v>
      </c>
      <c r="D85" s="9" t="n">
        <f aca="false">YEAR(A85)</f>
        <v>2023</v>
      </c>
      <c r="E85" s="9" t="n">
        <f aca="false">WEEKDAY(A85,2)</f>
        <v>6</v>
      </c>
      <c r="F85" s="10" t="n">
        <f aca="false">WEEKNUM(A85,2) - WEEKNUM(DATE(YEAR(A85),MONTH(A85),1),2) + 1</f>
        <v>3</v>
      </c>
      <c r="G85" s="10"/>
      <c r="H85" s="36" t="n">
        <v>650</v>
      </c>
      <c r="I85" s="37" t="s">
        <v>15</v>
      </c>
      <c r="J85" s="37" t="s">
        <v>34</v>
      </c>
      <c r="K85" s="12"/>
      <c r="L85" s="9"/>
      <c r="M85" s="10" t="str">
        <f aca="false">VLOOKUP(J85,RECATALOGANDO!A:C,2,0)</f>
        <v>TRANSFERENCIA FAMILIAR</v>
      </c>
      <c r="N85" s="12" t="str">
        <f aca="false">VLOOKUP(M85,RECATALOGANDO!B:C,2,0)</f>
        <v>TRANSFERENCIAS</v>
      </c>
      <c r="O85" s="2" t="s">
        <v>31</v>
      </c>
    </row>
    <row r="86" customFormat="false" ht="13.8" hidden="false" customHeight="false" outlineLevel="0" collapsed="false">
      <c r="A86" s="29" t="n">
        <v>45287</v>
      </c>
      <c r="B86" s="9" t="n">
        <f aca="false">DAY(A86)</f>
        <v>27</v>
      </c>
      <c r="C86" s="9" t="n">
        <f aca="false">MONTH(A86)</f>
        <v>12</v>
      </c>
      <c r="D86" s="9" t="n">
        <f aca="false">YEAR(A86)</f>
        <v>2023</v>
      </c>
      <c r="E86" s="9" t="n">
        <f aca="false">WEEKDAY(A86,2)</f>
        <v>3</v>
      </c>
      <c r="F86" s="10" t="n">
        <f aca="false">WEEKNUM(A86,2) - WEEKNUM(DATE(YEAR(A86),MONTH(A86),1),2) + 1</f>
        <v>5</v>
      </c>
      <c r="G86" s="10"/>
      <c r="H86" s="30" t="n">
        <v>500</v>
      </c>
      <c r="I86" s="31" t="s">
        <v>15</v>
      </c>
      <c r="J86" s="31" t="s">
        <v>32</v>
      </c>
      <c r="K86" s="12"/>
      <c r="L86" s="9"/>
      <c r="M86" s="10" t="str">
        <f aca="false">VLOOKUP(J86,RECATALOGANDO!A:C,2,0)</f>
        <v>TRANSFERENCIA ENTRE CUENTAS</v>
      </c>
      <c r="N86" s="12" t="str">
        <f aca="false">VLOOKUP(M86,RECATALOGANDO!B:C,2,0)</f>
        <v>TRANSFERENCIAS</v>
      </c>
      <c r="O86" s="2" t="s">
        <v>31</v>
      </c>
    </row>
    <row r="87" customFormat="false" ht="13.8" hidden="false" customHeight="false" outlineLevel="0" collapsed="false">
      <c r="A87" s="8" t="n">
        <v>45324</v>
      </c>
      <c r="B87" s="9" t="n">
        <f aca="false">DAY(A87)</f>
        <v>2</v>
      </c>
      <c r="C87" s="9" t="n">
        <f aca="false">MONTH(A87)</f>
        <v>2</v>
      </c>
      <c r="D87" s="9" t="n">
        <f aca="false">YEAR(A87)</f>
        <v>2024</v>
      </c>
      <c r="E87" s="9" t="n">
        <f aca="false">WEEKDAY(A87,2)</f>
        <v>5</v>
      </c>
      <c r="F87" s="10" t="n">
        <f aca="false">WEEKNUM(A87,2) - WEEKNUM(DATE(YEAR(A87),MONTH(A87),1),2) + 1</f>
        <v>1</v>
      </c>
      <c r="G87" s="10"/>
      <c r="H87" s="11" t="n">
        <v>350</v>
      </c>
      <c r="I87" s="12" t="s">
        <v>15</v>
      </c>
      <c r="J87" s="12" t="s">
        <v>35</v>
      </c>
      <c r="K87" s="12"/>
      <c r="L87" s="9"/>
      <c r="M87" s="10" t="str">
        <f aca="false">VLOOKUP(J87,RECATALOGANDO!A:C,2,0)</f>
        <v>TRANSFERENCIA ENTRE CUENTAS</v>
      </c>
      <c r="N87" s="12" t="str">
        <f aca="false">VLOOKUP(M87,RECATALOGANDO!B:C,2,0)</f>
        <v>TRANSFERENCIAS</v>
      </c>
      <c r="O87" s="2" t="s">
        <v>31</v>
      </c>
    </row>
    <row r="88" customFormat="false" ht="13.8" hidden="false" customHeight="false" outlineLevel="0" collapsed="false">
      <c r="A88" s="8" t="n">
        <v>45330</v>
      </c>
      <c r="B88" s="9" t="n">
        <f aca="false">DAY(A88)</f>
        <v>8</v>
      </c>
      <c r="C88" s="9" t="n">
        <f aca="false">MONTH(A88)</f>
        <v>2</v>
      </c>
      <c r="D88" s="9" t="n">
        <f aca="false">YEAR(A88)</f>
        <v>2024</v>
      </c>
      <c r="E88" s="9" t="n">
        <f aca="false">WEEKDAY(A88,2)</f>
        <v>4</v>
      </c>
      <c r="F88" s="10" t="n">
        <f aca="false">WEEKNUM(A88,2) - WEEKNUM(DATE(YEAR(A88),MONTH(A88),1),2) + 1</f>
        <v>2</v>
      </c>
      <c r="G88" s="10"/>
      <c r="H88" s="11" t="n">
        <v>960</v>
      </c>
      <c r="I88" s="12" t="s">
        <v>15</v>
      </c>
      <c r="J88" s="12" t="s">
        <v>33</v>
      </c>
      <c r="K88" s="12"/>
      <c r="L88" s="9"/>
      <c r="M88" s="10" t="str">
        <f aca="false">VLOOKUP(J88,RECATALOGANDO!A:C,2,0)</f>
        <v>TRANSFERENCIA FAMILIAR</v>
      </c>
      <c r="N88" s="12" t="str">
        <f aca="false">VLOOKUP(M88,RECATALOGANDO!B:C,2,0)</f>
        <v>TRANSFERENCIAS</v>
      </c>
      <c r="O88" s="2" t="s">
        <v>31</v>
      </c>
    </row>
    <row r="89" customFormat="false" ht="13.8" hidden="false" customHeight="false" outlineLevel="0" collapsed="false">
      <c r="A89" s="8" t="n">
        <v>45336</v>
      </c>
      <c r="B89" s="9" t="n">
        <f aca="false">DAY(A89)</f>
        <v>14</v>
      </c>
      <c r="C89" s="9" t="n">
        <f aca="false">MONTH(A89)</f>
        <v>2</v>
      </c>
      <c r="D89" s="9" t="n">
        <f aca="false">YEAR(A89)</f>
        <v>2024</v>
      </c>
      <c r="E89" s="9" t="n">
        <f aca="false">WEEKDAY(A89,2)</f>
        <v>3</v>
      </c>
      <c r="F89" s="10" t="n">
        <f aca="false">WEEKNUM(A89,2) - WEEKNUM(DATE(YEAR(A89),MONTH(A89),1),2) + 1</f>
        <v>3</v>
      </c>
      <c r="G89" s="10"/>
      <c r="H89" s="11" t="n">
        <v>1000</v>
      </c>
      <c r="I89" s="12" t="s">
        <v>20</v>
      </c>
      <c r="J89" s="12" t="s">
        <v>35</v>
      </c>
      <c r="K89" s="12"/>
      <c r="L89" s="9"/>
      <c r="M89" s="10" t="str">
        <f aca="false">VLOOKUP(J89,RECATALOGANDO!A:C,2,0)</f>
        <v>TRANSFERENCIA ENTRE CUENTAS</v>
      </c>
      <c r="N89" s="12" t="str">
        <f aca="false">VLOOKUP(M89,RECATALOGANDO!B:C,2,0)</f>
        <v>TRANSFERENCIAS</v>
      </c>
      <c r="O89" s="2" t="s">
        <v>31</v>
      </c>
    </row>
    <row r="90" customFormat="false" ht="13.8" hidden="false" customHeight="false" outlineLevel="0" collapsed="false">
      <c r="A90" s="8" t="n">
        <v>45337</v>
      </c>
      <c r="B90" s="9" t="n">
        <f aca="false">DAY(A90)</f>
        <v>15</v>
      </c>
      <c r="C90" s="9" t="n">
        <f aca="false">MONTH(A90)</f>
        <v>2</v>
      </c>
      <c r="D90" s="9" t="n">
        <f aca="false">YEAR(A90)</f>
        <v>2024</v>
      </c>
      <c r="E90" s="9" t="n">
        <f aca="false">WEEKDAY(A90,2)</f>
        <v>4</v>
      </c>
      <c r="F90" s="10" t="n">
        <f aca="false">WEEKNUM(A90,2) - WEEKNUM(DATE(YEAR(A90),MONTH(A90),1),2) + 1</f>
        <v>3</v>
      </c>
      <c r="G90" s="10" t="n">
        <v>1</v>
      </c>
      <c r="H90" s="11" t="n">
        <v>800</v>
      </c>
      <c r="I90" s="12" t="s">
        <v>15</v>
      </c>
      <c r="J90" s="12" t="s">
        <v>33</v>
      </c>
      <c r="K90" s="12"/>
      <c r="L90" s="9"/>
      <c r="M90" s="10" t="str">
        <f aca="false">VLOOKUP(J90,RECATALOGANDO!A:C,2,0)</f>
        <v>TRANSFERENCIA FAMILIAR</v>
      </c>
      <c r="N90" s="12" t="str">
        <f aca="false">VLOOKUP(M90,RECATALOGANDO!B:C,2,0)</f>
        <v>TRANSFERENCIAS</v>
      </c>
      <c r="O90" s="2" t="s">
        <v>31</v>
      </c>
    </row>
    <row r="91" customFormat="false" ht="13.8" hidden="false" customHeight="false" outlineLevel="0" collapsed="false">
      <c r="A91" s="8" t="n">
        <v>45338</v>
      </c>
      <c r="B91" s="9" t="n">
        <f aca="false">DAY(A91)</f>
        <v>16</v>
      </c>
      <c r="C91" s="9" t="n">
        <f aca="false">MONTH(A91)</f>
        <v>2</v>
      </c>
      <c r="D91" s="9" t="n">
        <f aca="false">YEAR(A91)</f>
        <v>2024</v>
      </c>
      <c r="E91" s="9" t="n">
        <f aca="false">WEEKDAY(A91,2)</f>
        <v>5</v>
      </c>
      <c r="F91" s="10" t="n">
        <f aca="false">WEEKNUM(A91,2) - WEEKNUM(DATE(YEAR(A91),MONTH(A91),1),2) + 1</f>
        <v>3</v>
      </c>
      <c r="G91" s="10"/>
      <c r="H91" s="11" t="n">
        <v>324</v>
      </c>
      <c r="I91" s="12" t="s">
        <v>20</v>
      </c>
      <c r="J91" s="12" t="s">
        <v>35</v>
      </c>
      <c r="K91" s="12"/>
      <c r="L91" s="9"/>
      <c r="M91" s="10" t="str">
        <f aca="false">VLOOKUP(J91,RECATALOGANDO!A:C,2,0)</f>
        <v>TRANSFERENCIA ENTRE CUENTAS</v>
      </c>
      <c r="N91" s="12" t="str">
        <f aca="false">VLOOKUP(M91,RECATALOGANDO!B:C,2,0)</f>
        <v>TRANSFERENCIAS</v>
      </c>
      <c r="O91" s="2" t="s">
        <v>31</v>
      </c>
    </row>
    <row r="92" customFormat="false" ht="13.8" hidden="false" customHeight="false" outlineLevel="0" collapsed="false">
      <c r="A92" s="8" t="n">
        <v>45338</v>
      </c>
      <c r="B92" s="9" t="n">
        <f aca="false">DAY(A92)</f>
        <v>16</v>
      </c>
      <c r="C92" s="9" t="n">
        <f aca="false">MONTH(A92)</f>
        <v>2</v>
      </c>
      <c r="D92" s="9" t="n">
        <f aca="false">YEAR(A92)</f>
        <v>2024</v>
      </c>
      <c r="E92" s="9" t="n">
        <f aca="false">WEEKDAY(A92,2)</f>
        <v>5</v>
      </c>
      <c r="F92" s="10" t="n">
        <f aca="false">WEEKNUM(A92,2) - WEEKNUM(DATE(YEAR(A92),MONTH(A92),1),2) + 1</f>
        <v>3</v>
      </c>
      <c r="G92" s="10"/>
      <c r="H92" s="11" t="n">
        <v>2000</v>
      </c>
      <c r="I92" s="12" t="s">
        <v>20</v>
      </c>
      <c r="J92" s="12" t="s">
        <v>33</v>
      </c>
      <c r="K92" s="12"/>
      <c r="L92" s="9"/>
      <c r="M92" s="10" t="str">
        <f aca="false">VLOOKUP(J92,RECATALOGANDO!A:C,2,0)</f>
        <v>TRANSFERENCIA FAMILIAR</v>
      </c>
      <c r="N92" s="12" t="str">
        <f aca="false">VLOOKUP(M92,RECATALOGANDO!B:C,2,0)</f>
        <v>TRANSFERENCIAS</v>
      </c>
      <c r="O92" s="2" t="s">
        <v>31</v>
      </c>
    </row>
    <row r="93" customFormat="false" ht="13.8" hidden="false" customHeight="false" outlineLevel="0" collapsed="false">
      <c r="A93" s="8" t="n">
        <v>45338</v>
      </c>
      <c r="B93" s="9" t="n">
        <f aca="false">DAY(A93)</f>
        <v>16</v>
      </c>
      <c r="C93" s="9" t="n">
        <f aca="false">MONTH(A93)</f>
        <v>2</v>
      </c>
      <c r="D93" s="9" t="n">
        <f aca="false">YEAR(A93)</f>
        <v>2024</v>
      </c>
      <c r="E93" s="9" t="n">
        <f aca="false">WEEKDAY(A93,2)</f>
        <v>5</v>
      </c>
      <c r="F93" s="10" t="n">
        <f aca="false">WEEKNUM(A93,2) - WEEKNUM(DATE(YEAR(A93),MONTH(A93),1),2) + 1</f>
        <v>3</v>
      </c>
      <c r="G93" s="10"/>
      <c r="H93" s="11" t="n">
        <v>2900</v>
      </c>
      <c r="I93" s="12" t="s">
        <v>15</v>
      </c>
      <c r="J93" s="12" t="s">
        <v>35</v>
      </c>
      <c r="K93" s="12"/>
      <c r="L93" s="9"/>
      <c r="M93" s="10" t="str">
        <f aca="false">VLOOKUP(J93,RECATALOGANDO!A:C,2,0)</f>
        <v>TRANSFERENCIA ENTRE CUENTAS</v>
      </c>
      <c r="N93" s="12" t="str">
        <f aca="false">VLOOKUP(M93,RECATALOGANDO!B:C,2,0)</f>
        <v>TRANSFERENCIAS</v>
      </c>
      <c r="O93" s="2" t="s">
        <v>31</v>
      </c>
    </row>
    <row r="94" customFormat="false" ht="13.8" hidden="false" customHeight="false" outlineLevel="0" collapsed="false">
      <c r="A94" s="8" t="n">
        <v>45342</v>
      </c>
      <c r="B94" s="9" t="n">
        <f aca="false">DAY(A94)</f>
        <v>20</v>
      </c>
      <c r="C94" s="9" t="n">
        <f aca="false">MONTH(A94)</f>
        <v>2</v>
      </c>
      <c r="D94" s="9" t="n">
        <f aca="false">YEAR(A94)</f>
        <v>2024</v>
      </c>
      <c r="E94" s="9" t="n">
        <f aca="false">WEEKDAY(A94,2)</f>
        <v>2</v>
      </c>
      <c r="F94" s="10" t="n">
        <f aca="false">WEEKNUM(A94,2) - WEEKNUM(DATE(YEAR(A94),MONTH(A94),1),2) + 1</f>
        <v>4</v>
      </c>
      <c r="G94" s="10"/>
      <c r="H94" s="11" t="n">
        <v>1100</v>
      </c>
      <c r="I94" s="12" t="s">
        <v>20</v>
      </c>
      <c r="J94" s="12" t="s">
        <v>35</v>
      </c>
      <c r="K94" s="12"/>
      <c r="L94" s="9"/>
      <c r="M94" s="10" t="str">
        <f aca="false">VLOOKUP(J94,RECATALOGANDO!A:C,2,0)</f>
        <v>TRANSFERENCIA ENTRE CUENTAS</v>
      </c>
      <c r="N94" s="12" t="str">
        <f aca="false">VLOOKUP(M94,RECATALOGANDO!B:C,2,0)</f>
        <v>TRANSFERENCIAS</v>
      </c>
      <c r="O94" s="2" t="s">
        <v>31</v>
      </c>
    </row>
    <row r="95" customFormat="false" ht="13.8" hidden="false" customHeight="false" outlineLevel="0" collapsed="false">
      <c r="A95" s="29" t="n">
        <v>45352</v>
      </c>
      <c r="B95" s="9" t="n">
        <f aca="false">DAY(A95)</f>
        <v>1</v>
      </c>
      <c r="C95" s="9" t="n">
        <f aca="false">MONTH(A95)</f>
        <v>3</v>
      </c>
      <c r="D95" s="9" t="n">
        <f aca="false">YEAR(A95)</f>
        <v>2024</v>
      </c>
      <c r="E95" s="9" t="n">
        <f aca="false">WEEKDAY(A95,2)</f>
        <v>5</v>
      </c>
      <c r="F95" s="10" t="n">
        <f aca="false">WEEKNUM(A95,2) - WEEKNUM(DATE(YEAR(A95),MONTH(A95),1),2) + 1</f>
        <v>1</v>
      </c>
      <c r="G95" s="10"/>
      <c r="H95" s="30" t="n">
        <v>300</v>
      </c>
      <c r="I95" s="31" t="s">
        <v>20</v>
      </c>
      <c r="J95" s="31" t="s">
        <v>35</v>
      </c>
      <c r="K95" s="12"/>
      <c r="L95" s="9"/>
      <c r="M95" s="10" t="str">
        <f aca="false">VLOOKUP(J95,RECATALOGANDO!A:C,2,0)</f>
        <v>TRANSFERENCIA ENTRE CUENTAS</v>
      </c>
      <c r="N95" s="12" t="str">
        <f aca="false">VLOOKUP(M95,RECATALOGANDO!B:C,2,0)</f>
        <v>TRANSFERENCIAS</v>
      </c>
      <c r="O95" s="2" t="s">
        <v>31</v>
      </c>
    </row>
    <row r="96" customFormat="false" ht="13.8" hidden="false" customHeight="false" outlineLevel="0" collapsed="false">
      <c r="A96" s="35" t="n">
        <v>45355</v>
      </c>
      <c r="B96" s="9" t="n">
        <f aca="false">DAY(A96)</f>
        <v>4</v>
      </c>
      <c r="C96" s="9" t="n">
        <f aca="false">MONTH(A96)</f>
        <v>3</v>
      </c>
      <c r="D96" s="9" t="n">
        <f aca="false">YEAR(A96)</f>
        <v>2024</v>
      </c>
      <c r="E96" s="9" t="n">
        <f aca="false">WEEKDAY(A96,2)</f>
        <v>1</v>
      </c>
      <c r="F96" s="10" t="n">
        <f aca="false">WEEKNUM(A96,2) - WEEKNUM(DATE(YEAR(A96),MONTH(A96),1),2) + 1</f>
        <v>2</v>
      </c>
      <c r="G96" s="10"/>
      <c r="H96" s="36" t="n">
        <v>700</v>
      </c>
      <c r="I96" s="37" t="s">
        <v>15</v>
      </c>
      <c r="J96" s="37" t="s">
        <v>34</v>
      </c>
      <c r="K96" s="12"/>
      <c r="L96" s="9"/>
      <c r="M96" s="10" t="str">
        <f aca="false">VLOOKUP(J96,RECATALOGANDO!A:C,2,0)</f>
        <v>TRANSFERENCIA FAMILIAR</v>
      </c>
      <c r="N96" s="12" t="str">
        <f aca="false">VLOOKUP(M96,RECATALOGANDO!B:C,2,0)</f>
        <v>TRANSFERENCIAS</v>
      </c>
      <c r="O96" s="2" t="s">
        <v>31</v>
      </c>
    </row>
    <row r="97" customFormat="false" ht="13.8" hidden="false" customHeight="false" outlineLevel="0" collapsed="false">
      <c r="A97" s="35" t="n">
        <v>45355</v>
      </c>
      <c r="B97" s="9" t="n">
        <f aca="false">DAY(A97)</f>
        <v>4</v>
      </c>
      <c r="C97" s="9" t="n">
        <f aca="false">MONTH(A97)</f>
        <v>3</v>
      </c>
      <c r="D97" s="9" t="n">
        <f aca="false">YEAR(A97)</f>
        <v>2024</v>
      </c>
      <c r="E97" s="9" t="n">
        <f aca="false">WEEKDAY(A97,2)</f>
        <v>1</v>
      </c>
      <c r="F97" s="10" t="n">
        <f aca="false">WEEKNUM(A97,2) - WEEKNUM(DATE(YEAR(A97),MONTH(A97),1),2) + 1</f>
        <v>2</v>
      </c>
      <c r="G97" s="10"/>
      <c r="H97" s="36" t="n">
        <v>2400</v>
      </c>
      <c r="I97" s="37" t="s">
        <v>20</v>
      </c>
      <c r="J97" s="37" t="s">
        <v>34</v>
      </c>
      <c r="K97" s="12"/>
      <c r="L97" s="9"/>
      <c r="M97" s="10" t="str">
        <f aca="false">VLOOKUP(J97,RECATALOGANDO!A:C,2,0)</f>
        <v>TRANSFERENCIA FAMILIAR</v>
      </c>
      <c r="N97" s="12" t="str">
        <f aca="false">VLOOKUP(M97,RECATALOGANDO!B:C,2,0)</f>
        <v>TRANSFERENCIAS</v>
      </c>
      <c r="O97" s="2" t="s">
        <v>31</v>
      </c>
    </row>
    <row r="98" customFormat="false" ht="13.8" hidden="false" customHeight="false" outlineLevel="0" collapsed="false">
      <c r="A98" s="29" t="n">
        <v>45357</v>
      </c>
      <c r="B98" s="9" t="n">
        <f aca="false">DAY(A98)</f>
        <v>6</v>
      </c>
      <c r="C98" s="9" t="n">
        <f aca="false">MONTH(A98)</f>
        <v>3</v>
      </c>
      <c r="D98" s="9" t="n">
        <f aca="false">YEAR(A98)</f>
        <v>2024</v>
      </c>
      <c r="E98" s="9" t="n">
        <f aca="false">WEEKDAY(A98,2)</f>
        <v>3</v>
      </c>
      <c r="F98" s="10" t="n">
        <f aca="false">WEEKNUM(A98,2) - WEEKNUM(DATE(YEAR(A98),MONTH(A98),1),2) + 1</f>
        <v>2</v>
      </c>
      <c r="G98" s="10"/>
      <c r="H98" s="30" t="n">
        <v>450</v>
      </c>
      <c r="I98" s="31" t="s">
        <v>15</v>
      </c>
      <c r="J98" s="31" t="s">
        <v>35</v>
      </c>
      <c r="K98" s="12"/>
      <c r="L98" s="9"/>
      <c r="M98" s="10" t="str">
        <f aca="false">VLOOKUP(J98,RECATALOGANDO!A:C,2,0)</f>
        <v>TRANSFERENCIA ENTRE CUENTAS</v>
      </c>
      <c r="N98" s="12" t="str">
        <f aca="false">VLOOKUP(M98,RECATALOGANDO!B:C,2,0)</f>
        <v>TRANSFERENCIAS</v>
      </c>
      <c r="O98" s="2" t="s">
        <v>31</v>
      </c>
    </row>
    <row r="99" customFormat="false" ht="13.8" hidden="false" customHeight="false" outlineLevel="0" collapsed="false">
      <c r="A99" s="35" t="n">
        <v>45357</v>
      </c>
      <c r="B99" s="9" t="n">
        <f aca="false">DAY(A99)</f>
        <v>6</v>
      </c>
      <c r="C99" s="9" t="n">
        <f aca="false">MONTH(A99)</f>
        <v>3</v>
      </c>
      <c r="D99" s="9" t="n">
        <f aca="false">YEAR(A99)</f>
        <v>2024</v>
      </c>
      <c r="E99" s="9" t="n">
        <f aca="false">WEEKDAY(A99,2)</f>
        <v>3</v>
      </c>
      <c r="F99" s="10" t="n">
        <f aca="false">WEEKNUM(A99,2) - WEEKNUM(DATE(YEAR(A99),MONTH(A99),1),2) + 1</f>
        <v>2</v>
      </c>
      <c r="G99" s="10"/>
      <c r="H99" s="36" t="n">
        <v>2750</v>
      </c>
      <c r="I99" s="37" t="s">
        <v>15</v>
      </c>
      <c r="J99" s="37" t="s">
        <v>34</v>
      </c>
      <c r="K99" s="12"/>
      <c r="L99" s="9"/>
      <c r="M99" s="10" t="str">
        <f aca="false">VLOOKUP(J99,RECATALOGANDO!A:C,2,0)</f>
        <v>TRANSFERENCIA FAMILIAR</v>
      </c>
      <c r="N99" s="12" t="str">
        <f aca="false">VLOOKUP(M99,RECATALOGANDO!B:C,2,0)</f>
        <v>TRANSFERENCIAS</v>
      </c>
      <c r="O99" s="2" t="s">
        <v>31</v>
      </c>
    </row>
    <row r="100" customFormat="false" ht="13.8" hidden="false" customHeight="false" outlineLevel="0" collapsed="false">
      <c r="A100" s="35" t="n">
        <v>45365</v>
      </c>
      <c r="B100" s="9" t="n">
        <f aca="false">DAY(A100)</f>
        <v>14</v>
      </c>
      <c r="C100" s="9" t="n">
        <f aca="false">MONTH(A100)</f>
        <v>3</v>
      </c>
      <c r="D100" s="9" t="n">
        <f aca="false">YEAR(A100)</f>
        <v>2024</v>
      </c>
      <c r="E100" s="9" t="n">
        <f aca="false">WEEKDAY(A100,2)</f>
        <v>4</v>
      </c>
      <c r="F100" s="10" t="n">
        <f aca="false">WEEKNUM(A100,2) - WEEKNUM(DATE(YEAR(A100),MONTH(A100),1),2) + 1</f>
        <v>3</v>
      </c>
      <c r="G100" s="10"/>
      <c r="H100" s="36" t="n">
        <v>2200</v>
      </c>
      <c r="I100" s="37" t="s">
        <v>15</v>
      </c>
      <c r="J100" s="37" t="s">
        <v>34</v>
      </c>
      <c r="K100" s="12"/>
      <c r="L100" s="9"/>
      <c r="M100" s="10" t="str">
        <f aca="false">VLOOKUP(J100,RECATALOGANDO!A:C,2,0)</f>
        <v>TRANSFERENCIA FAMILIAR</v>
      </c>
      <c r="N100" s="12" t="str">
        <f aca="false">VLOOKUP(M100,RECATALOGANDO!B:C,2,0)</f>
        <v>TRANSFERENCIAS</v>
      </c>
      <c r="O100" s="2" t="s">
        <v>31</v>
      </c>
    </row>
    <row r="101" customFormat="false" ht="13.8" hidden="false" customHeight="false" outlineLevel="0" collapsed="false">
      <c r="A101" s="35" t="n">
        <v>45369</v>
      </c>
      <c r="B101" s="9" t="n">
        <f aca="false">DAY(A101)</f>
        <v>18</v>
      </c>
      <c r="C101" s="9" t="n">
        <f aca="false">MONTH(A101)</f>
        <v>3</v>
      </c>
      <c r="D101" s="9" t="n">
        <f aca="false">YEAR(A101)</f>
        <v>2024</v>
      </c>
      <c r="E101" s="9" t="n">
        <f aca="false">WEEKDAY(A101,2)</f>
        <v>1</v>
      </c>
      <c r="F101" s="10" t="n">
        <f aca="false">WEEKNUM(A101,2) - WEEKNUM(DATE(YEAR(A101),MONTH(A101),1),2) + 1</f>
        <v>4</v>
      </c>
      <c r="G101" s="10"/>
      <c r="H101" s="36" t="n">
        <v>500</v>
      </c>
      <c r="I101" s="37" t="s">
        <v>15</v>
      </c>
      <c r="J101" s="37" t="s">
        <v>34</v>
      </c>
      <c r="K101" s="12"/>
      <c r="L101" s="9"/>
      <c r="M101" s="10" t="str">
        <f aca="false">VLOOKUP(J101,RECATALOGANDO!A:C,2,0)</f>
        <v>TRANSFERENCIA FAMILIAR</v>
      </c>
      <c r="N101" s="12" t="str">
        <f aca="false">VLOOKUP(M101,RECATALOGANDO!B:C,2,0)</f>
        <v>TRANSFERENCIAS</v>
      </c>
      <c r="O101" s="2" t="s">
        <v>31</v>
      </c>
    </row>
    <row r="102" customFormat="false" ht="13.8" hidden="false" customHeight="false" outlineLevel="0" collapsed="false">
      <c r="A102" s="8" t="n">
        <v>45376</v>
      </c>
      <c r="B102" s="9" t="n">
        <f aca="false">DAY(A102)</f>
        <v>25</v>
      </c>
      <c r="C102" s="9" t="n">
        <f aca="false">MONTH(A102)</f>
        <v>3</v>
      </c>
      <c r="D102" s="9" t="n">
        <f aca="false">YEAR(A102)</f>
        <v>2024</v>
      </c>
      <c r="E102" s="9" t="n">
        <f aca="false">WEEKDAY(A102,2)</f>
        <v>1</v>
      </c>
      <c r="F102" s="10" t="n">
        <f aca="false">WEEKNUM(A102,2) - WEEKNUM(DATE(YEAR(A102),MONTH(A102),1),2) + 1</f>
        <v>5</v>
      </c>
      <c r="G102" s="10"/>
      <c r="H102" s="11" t="n">
        <v>200</v>
      </c>
      <c r="I102" s="12" t="s">
        <v>20</v>
      </c>
      <c r="J102" s="12" t="s">
        <v>35</v>
      </c>
      <c r="K102" s="12"/>
      <c r="L102" s="9"/>
      <c r="M102" s="10" t="str">
        <f aca="false">VLOOKUP(J102,RECATALOGANDO!A:C,2,0)</f>
        <v>TRANSFERENCIA ENTRE CUENTAS</v>
      </c>
      <c r="N102" s="12" t="str">
        <f aca="false">VLOOKUP(M102,RECATALOGANDO!B:C,2,0)</f>
        <v>TRANSFERENCIAS</v>
      </c>
      <c r="O102" s="2" t="s">
        <v>31</v>
      </c>
    </row>
    <row r="103" customFormat="false" ht="13.8" hidden="false" customHeight="false" outlineLevel="0" collapsed="false">
      <c r="A103" s="29" t="n">
        <v>45383</v>
      </c>
      <c r="B103" s="9" t="n">
        <f aca="false">DAY(A103)</f>
        <v>1</v>
      </c>
      <c r="C103" s="9" t="n">
        <f aca="false">MONTH(A103)</f>
        <v>4</v>
      </c>
      <c r="D103" s="9" t="n">
        <f aca="false">YEAR(A103)</f>
        <v>2024</v>
      </c>
      <c r="E103" s="9" t="n">
        <f aca="false">WEEKDAY(A103,2)</f>
        <v>1</v>
      </c>
      <c r="F103" s="10" t="n">
        <f aca="false">WEEKNUM(A103,2) - WEEKNUM(DATE(YEAR(A103),MONTH(A103),1),2) + 1</f>
        <v>1</v>
      </c>
      <c r="G103" s="10"/>
      <c r="H103" s="30" t="n">
        <v>500</v>
      </c>
      <c r="I103" s="31" t="s">
        <v>20</v>
      </c>
      <c r="J103" s="31" t="s">
        <v>32</v>
      </c>
      <c r="K103" s="12"/>
      <c r="L103" s="9"/>
      <c r="M103" s="10" t="str">
        <f aca="false">VLOOKUP(J103,RECATALOGANDO!A:C,2,0)</f>
        <v>TRANSFERENCIA ENTRE CUENTAS</v>
      </c>
      <c r="N103" s="12" t="str">
        <f aca="false">VLOOKUP(M103,RECATALOGANDO!B:C,2,0)</f>
        <v>TRANSFERENCIAS</v>
      </c>
      <c r="O103" s="2" t="s">
        <v>31</v>
      </c>
    </row>
    <row r="104" customFormat="false" ht="13.8" hidden="false" customHeight="false" outlineLevel="0" collapsed="false">
      <c r="A104" s="29" t="n">
        <v>45386</v>
      </c>
      <c r="B104" s="9" t="n">
        <f aca="false">DAY(A104)</f>
        <v>4</v>
      </c>
      <c r="C104" s="9" t="n">
        <f aca="false">MONTH(A104)</f>
        <v>4</v>
      </c>
      <c r="D104" s="9" t="n">
        <f aca="false">YEAR(A104)</f>
        <v>2024</v>
      </c>
      <c r="E104" s="9" t="n">
        <f aca="false">WEEKDAY(A104,2)</f>
        <v>4</v>
      </c>
      <c r="F104" s="10" t="n">
        <f aca="false">WEEKNUM(A104,2) - WEEKNUM(DATE(YEAR(A104),MONTH(A104),1),2) + 1</f>
        <v>1</v>
      </c>
      <c r="G104" s="10"/>
      <c r="H104" s="30" t="n">
        <v>100</v>
      </c>
      <c r="I104" s="31" t="s">
        <v>20</v>
      </c>
      <c r="J104" s="31" t="s">
        <v>32</v>
      </c>
      <c r="K104" s="12"/>
      <c r="L104" s="9"/>
      <c r="M104" s="10" t="str">
        <f aca="false">VLOOKUP(J104,RECATALOGANDO!A:C,2,0)</f>
        <v>TRANSFERENCIA ENTRE CUENTAS</v>
      </c>
      <c r="N104" s="12" t="str">
        <f aca="false">VLOOKUP(M104,RECATALOGANDO!B:C,2,0)</f>
        <v>TRANSFERENCIAS</v>
      </c>
      <c r="O104" s="2" t="s">
        <v>31</v>
      </c>
    </row>
    <row r="105" customFormat="false" ht="13.8" hidden="false" customHeight="false" outlineLevel="0" collapsed="false">
      <c r="A105" s="29" t="n">
        <v>45386</v>
      </c>
      <c r="B105" s="9" t="n">
        <f aca="false">DAY(A105)</f>
        <v>4</v>
      </c>
      <c r="C105" s="9" t="n">
        <f aca="false">MONTH(A105)</f>
        <v>4</v>
      </c>
      <c r="D105" s="9" t="n">
        <f aca="false">YEAR(A105)</f>
        <v>2024</v>
      </c>
      <c r="E105" s="9" t="n">
        <f aca="false">WEEKDAY(A105,2)</f>
        <v>4</v>
      </c>
      <c r="F105" s="10" t="n">
        <f aca="false">WEEKNUM(A105,2) - WEEKNUM(DATE(YEAR(A105),MONTH(A105),1),2) + 1</f>
        <v>1</v>
      </c>
      <c r="G105" s="10"/>
      <c r="H105" s="30" t="n">
        <v>500</v>
      </c>
      <c r="I105" s="31" t="s">
        <v>20</v>
      </c>
      <c r="J105" s="31" t="s">
        <v>32</v>
      </c>
      <c r="K105" s="12"/>
      <c r="L105" s="9"/>
      <c r="M105" s="10" t="str">
        <f aca="false">VLOOKUP(J105,RECATALOGANDO!A:C,2,0)</f>
        <v>TRANSFERENCIA ENTRE CUENTAS</v>
      </c>
      <c r="N105" s="12" t="str">
        <f aca="false">VLOOKUP(M105,RECATALOGANDO!B:C,2,0)</f>
        <v>TRANSFERENCIAS</v>
      </c>
      <c r="O105" s="2" t="s">
        <v>31</v>
      </c>
    </row>
    <row r="106" customFormat="false" ht="13.8" hidden="false" customHeight="false" outlineLevel="0" collapsed="false">
      <c r="A106" s="35" t="n">
        <v>45386</v>
      </c>
      <c r="B106" s="9" t="n">
        <f aca="false">DAY(A106)</f>
        <v>4</v>
      </c>
      <c r="C106" s="9" t="n">
        <f aca="false">MONTH(A106)</f>
        <v>4</v>
      </c>
      <c r="D106" s="9" t="n">
        <f aca="false">YEAR(A106)</f>
        <v>2024</v>
      </c>
      <c r="E106" s="9" t="n">
        <f aca="false">WEEKDAY(A106,2)</f>
        <v>4</v>
      </c>
      <c r="F106" s="10" t="n">
        <f aca="false">WEEKNUM(A106,2) - WEEKNUM(DATE(YEAR(A106),MONTH(A106),1),2) + 1</f>
        <v>1</v>
      </c>
      <c r="G106" s="10"/>
      <c r="H106" s="36" t="n">
        <v>3000</v>
      </c>
      <c r="I106" s="37" t="s">
        <v>15</v>
      </c>
      <c r="J106" s="37" t="s">
        <v>33</v>
      </c>
      <c r="K106" s="12"/>
      <c r="L106" s="9"/>
      <c r="M106" s="10" t="str">
        <f aca="false">VLOOKUP(J106,RECATALOGANDO!A:C,2,0)</f>
        <v>TRANSFERENCIA FAMILIAR</v>
      </c>
      <c r="N106" s="12" t="str">
        <f aca="false">VLOOKUP(M106,RECATALOGANDO!B:C,2,0)</f>
        <v>TRANSFERENCIAS</v>
      </c>
      <c r="O106" s="2" t="s">
        <v>31</v>
      </c>
    </row>
    <row r="107" customFormat="false" ht="13.8" hidden="false" customHeight="false" outlineLevel="0" collapsed="false">
      <c r="A107" s="29" t="n">
        <v>45394</v>
      </c>
      <c r="B107" s="9" t="n">
        <f aca="false">DAY(A107)</f>
        <v>12</v>
      </c>
      <c r="C107" s="9" t="n">
        <f aca="false">MONTH(A107)</f>
        <v>4</v>
      </c>
      <c r="D107" s="9" t="n">
        <f aca="false">YEAR(A107)</f>
        <v>2024</v>
      </c>
      <c r="E107" s="9" t="n">
        <f aca="false">WEEKDAY(A107,2)</f>
        <v>5</v>
      </c>
      <c r="F107" s="10" t="n">
        <f aca="false">WEEKNUM(A107,2) - WEEKNUM(DATE(YEAR(A107),MONTH(A107),1),2) + 1</f>
        <v>2</v>
      </c>
      <c r="G107" s="10"/>
      <c r="H107" s="30" t="n">
        <v>730</v>
      </c>
      <c r="I107" s="31" t="s">
        <v>20</v>
      </c>
      <c r="J107" s="31" t="s">
        <v>32</v>
      </c>
      <c r="K107" s="12"/>
      <c r="L107" s="9"/>
      <c r="M107" s="10" t="str">
        <f aca="false">VLOOKUP(J107,RECATALOGANDO!A:C,2,0)</f>
        <v>TRANSFERENCIA ENTRE CUENTAS</v>
      </c>
      <c r="N107" s="12" t="str">
        <f aca="false">VLOOKUP(M107,RECATALOGANDO!B:C,2,0)</f>
        <v>TRANSFERENCIAS</v>
      </c>
      <c r="O107" s="2" t="s">
        <v>31</v>
      </c>
    </row>
    <row r="108" customFormat="false" ht="13.8" hidden="false" customHeight="false" outlineLevel="0" collapsed="false">
      <c r="A108" s="35" t="n">
        <v>45395</v>
      </c>
      <c r="B108" s="9" t="n">
        <f aca="false">DAY(A108)</f>
        <v>13</v>
      </c>
      <c r="C108" s="9" t="n">
        <f aca="false">MONTH(A108)</f>
        <v>4</v>
      </c>
      <c r="D108" s="9" t="n">
        <f aca="false">YEAR(A108)</f>
        <v>2024</v>
      </c>
      <c r="E108" s="9" t="n">
        <f aca="false">WEEKDAY(A108,2)</f>
        <v>6</v>
      </c>
      <c r="F108" s="10" t="n">
        <f aca="false">WEEKNUM(A108,2) - WEEKNUM(DATE(YEAR(A108),MONTH(A108),1),2) + 1</f>
        <v>2</v>
      </c>
      <c r="G108" s="10"/>
      <c r="H108" s="36" t="n">
        <v>225</v>
      </c>
      <c r="I108" s="37" t="s">
        <v>15</v>
      </c>
      <c r="J108" s="37" t="s">
        <v>33</v>
      </c>
      <c r="K108" s="12"/>
      <c r="L108" s="9"/>
      <c r="M108" s="10" t="str">
        <f aca="false">VLOOKUP(J108,RECATALOGANDO!A:C,2,0)</f>
        <v>TRANSFERENCIA FAMILIAR</v>
      </c>
      <c r="N108" s="12" t="str">
        <f aca="false">VLOOKUP(M108,RECATALOGANDO!B:C,2,0)</f>
        <v>TRANSFERENCIAS</v>
      </c>
      <c r="O108" s="2" t="s">
        <v>31</v>
      </c>
    </row>
    <row r="109" customFormat="false" ht="13.8" hidden="false" customHeight="false" outlineLevel="0" collapsed="false">
      <c r="A109" s="29" t="n">
        <v>45404</v>
      </c>
      <c r="B109" s="9" t="n">
        <f aca="false">DAY(A109)</f>
        <v>22</v>
      </c>
      <c r="C109" s="9" t="n">
        <f aca="false">MONTH(A109)</f>
        <v>4</v>
      </c>
      <c r="D109" s="9" t="n">
        <f aca="false">YEAR(A109)</f>
        <v>2024</v>
      </c>
      <c r="E109" s="9" t="n">
        <f aca="false">WEEKDAY(A109,2)</f>
        <v>1</v>
      </c>
      <c r="F109" s="10" t="n">
        <f aca="false">WEEKNUM(A109,2) - WEEKNUM(DATE(YEAR(A109),MONTH(A109),1),2) + 1</f>
        <v>4</v>
      </c>
      <c r="G109" s="10"/>
      <c r="H109" s="30" t="n">
        <v>650</v>
      </c>
      <c r="I109" s="31" t="s">
        <v>20</v>
      </c>
      <c r="J109" s="31" t="s">
        <v>32</v>
      </c>
      <c r="K109" s="12"/>
      <c r="L109" s="9"/>
      <c r="M109" s="10" t="str">
        <f aca="false">VLOOKUP(J109,RECATALOGANDO!A:C,2,0)</f>
        <v>TRANSFERENCIA ENTRE CUENTAS</v>
      </c>
      <c r="N109" s="12" t="str">
        <f aca="false">VLOOKUP(M109,RECATALOGANDO!B:C,2,0)</f>
        <v>TRANSFERENCIAS</v>
      </c>
      <c r="O109" s="2" t="s">
        <v>31</v>
      </c>
    </row>
    <row r="110" customFormat="false" ht="13.8" hidden="false" customHeight="false" outlineLevel="0" collapsed="false">
      <c r="A110" s="29" t="n">
        <v>45408</v>
      </c>
      <c r="B110" s="9" t="n">
        <f aca="false">DAY(A110)</f>
        <v>26</v>
      </c>
      <c r="C110" s="9" t="n">
        <f aca="false">MONTH(A110)</f>
        <v>4</v>
      </c>
      <c r="D110" s="9" t="n">
        <f aca="false">YEAR(A110)</f>
        <v>2024</v>
      </c>
      <c r="E110" s="9" t="n">
        <f aca="false">WEEKDAY(A110,2)</f>
        <v>5</v>
      </c>
      <c r="F110" s="10" t="n">
        <f aca="false">WEEKNUM(A110,2) - WEEKNUM(DATE(YEAR(A110),MONTH(A110),1),2) + 1</f>
        <v>4</v>
      </c>
      <c r="G110" s="10"/>
      <c r="H110" s="30" t="n">
        <v>500</v>
      </c>
      <c r="I110" s="31" t="s">
        <v>15</v>
      </c>
      <c r="J110" s="31" t="s">
        <v>32</v>
      </c>
      <c r="K110" s="12"/>
      <c r="L110" s="9"/>
      <c r="M110" s="10" t="str">
        <f aca="false">VLOOKUP(J110,RECATALOGANDO!A:C,2,0)</f>
        <v>TRANSFERENCIA ENTRE CUENTAS</v>
      </c>
      <c r="N110" s="12" t="str">
        <f aca="false">VLOOKUP(M110,RECATALOGANDO!B:C,2,0)</f>
        <v>TRANSFERENCIAS</v>
      </c>
      <c r="O110" s="2" t="s">
        <v>31</v>
      </c>
    </row>
    <row r="111" customFormat="false" ht="13.8" hidden="false" customHeight="false" outlineLevel="0" collapsed="false">
      <c r="A111" s="29" t="n">
        <v>45411</v>
      </c>
      <c r="B111" s="9" t="n">
        <f aca="false">DAY(A111)</f>
        <v>29</v>
      </c>
      <c r="C111" s="9" t="n">
        <f aca="false">MONTH(A111)</f>
        <v>4</v>
      </c>
      <c r="D111" s="9" t="n">
        <f aca="false">YEAR(A111)</f>
        <v>2024</v>
      </c>
      <c r="E111" s="9" t="n">
        <f aca="false">WEEKDAY(A111,2)</f>
        <v>1</v>
      </c>
      <c r="F111" s="10" t="n">
        <f aca="false">WEEKNUM(A111,2) - WEEKNUM(DATE(YEAR(A111),MONTH(A111),1),2) + 1</f>
        <v>5</v>
      </c>
      <c r="G111" s="10"/>
      <c r="H111" s="30" t="n">
        <v>265</v>
      </c>
      <c r="I111" s="31" t="s">
        <v>15</v>
      </c>
      <c r="J111" s="31" t="s">
        <v>32</v>
      </c>
      <c r="K111" s="12"/>
      <c r="L111" s="9"/>
      <c r="M111" s="10" t="str">
        <f aca="false">VLOOKUP(J111,RECATALOGANDO!A:C,2,0)</f>
        <v>TRANSFERENCIA ENTRE CUENTAS</v>
      </c>
      <c r="N111" s="12" t="str">
        <f aca="false">VLOOKUP(M111,RECATALOGANDO!B:C,2,0)</f>
        <v>TRANSFERENCIAS</v>
      </c>
      <c r="O111" s="2" t="s">
        <v>31</v>
      </c>
    </row>
    <row r="112" customFormat="false" ht="13.8" hidden="false" customHeight="false" outlineLevel="0" collapsed="false">
      <c r="A112" s="35" t="n">
        <v>45411</v>
      </c>
      <c r="B112" s="9" t="n">
        <f aca="false">DAY(A112)</f>
        <v>29</v>
      </c>
      <c r="C112" s="9" t="n">
        <f aca="false">MONTH(A112)</f>
        <v>4</v>
      </c>
      <c r="D112" s="9" t="n">
        <f aca="false">YEAR(A112)</f>
        <v>2024</v>
      </c>
      <c r="E112" s="9" t="n">
        <f aca="false">WEEKDAY(A112,2)</f>
        <v>1</v>
      </c>
      <c r="F112" s="10" t="n">
        <f aca="false">WEEKNUM(A112,2) - WEEKNUM(DATE(YEAR(A112),MONTH(A112),1),2) + 1</f>
        <v>5</v>
      </c>
      <c r="G112" s="10"/>
      <c r="H112" s="36" t="n">
        <v>500</v>
      </c>
      <c r="I112" s="37" t="s">
        <v>15</v>
      </c>
      <c r="J112" s="37" t="s">
        <v>34</v>
      </c>
      <c r="K112" s="12"/>
      <c r="L112" s="9"/>
      <c r="M112" s="10" t="str">
        <f aca="false">VLOOKUP(J112,RECATALOGANDO!A:C,2,0)</f>
        <v>TRANSFERENCIA FAMILIAR</v>
      </c>
      <c r="N112" s="12" t="str">
        <f aca="false">VLOOKUP(M112,RECATALOGANDO!B:C,2,0)</f>
        <v>TRANSFERENCIAS</v>
      </c>
      <c r="O112" s="2" t="s">
        <v>31</v>
      </c>
    </row>
    <row r="113" customFormat="false" ht="13.8" hidden="false" customHeight="false" outlineLevel="0" collapsed="false">
      <c r="A113" s="29" t="n">
        <v>45411</v>
      </c>
      <c r="B113" s="9" t="n">
        <f aca="false">DAY(A113)</f>
        <v>29</v>
      </c>
      <c r="C113" s="9" t="n">
        <f aca="false">MONTH(A113)</f>
        <v>4</v>
      </c>
      <c r="D113" s="9" t="n">
        <f aca="false">YEAR(A113)</f>
        <v>2024</v>
      </c>
      <c r="E113" s="9" t="n">
        <f aca="false">WEEKDAY(A113,2)</f>
        <v>1</v>
      </c>
      <c r="F113" s="10" t="n">
        <f aca="false">WEEKNUM(A113,2) - WEEKNUM(DATE(YEAR(A113),MONTH(A113),1),2) + 1</f>
        <v>5</v>
      </c>
      <c r="G113" s="10"/>
      <c r="H113" s="30" t="n">
        <v>500</v>
      </c>
      <c r="I113" s="31" t="s">
        <v>20</v>
      </c>
      <c r="J113" s="31" t="s">
        <v>32</v>
      </c>
      <c r="K113" s="12"/>
      <c r="L113" s="9"/>
      <c r="M113" s="10" t="str">
        <f aca="false">VLOOKUP(J113,RECATALOGANDO!A:C,2,0)</f>
        <v>TRANSFERENCIA ENTRE CUENTAS</v>
      </c>
      <c r="N113" s="12" t="str">
        <f aca="false">VLOOKUP(M113,RECATALOGANDO!B:C,2,0)</f>
        <v>TRANSFERENCIAS</v>
      </c>
      <c r="O113" s="2" t="s">
        <v>31</v>
      </c>
    </row>
    <row r="114" customFormat="false" ht="13.8" hidden="false" customHeight="false" outlineLevel="0" collapsed="false">
      <c r="A114" s="29" t="n">
        <v>45411</v>
      </c>
      <c r="B114" s="9" t="n">
        <f aca="false">DAY(A114)</f>
        <v>29</v>
      </c>
      <c r="C114" s="9" t="n">
        <f aca="false">MONTH(A114)</f>
        <v>4</v>
      </c>
      <c r="D114" s="9" t="n">
        <f aca="false">YEAR(A114)</f>
        <v>2024</v>
      </c>
      <c r="E114" s="9" t="n">
        <f aca="false">WEEKDAY(A114,2)</f>
        <v>1</v>
      </c>
      <c r="F114" s="10" t="n">
        <f aca="false">WEEKNUM(A114,2) - WEEKNUM(DATE(YEAR(A114),MONTH(A114),1),2) + 1</f>
        <v>5</v>
      </c>
      <c r="G114" s="10"/>
      <c r="H114" s="30" t="n">
        <v>2929</v>
      </c>
      <c r="I114" s="31" t="s">
        <v>20</v>
      </c>
      <c r="J114" s="31" t="s">
        <v>32</v>
      </c>
      <c r="K114" s="12"/>
      <c r="L114" s="9"/>
      <c r="M114" s="10" t="str">
        <f aca="false">VLOOKUP(J114,RECATALOGANDO!A:C,2,0)</f>
        <v>TRANSFERENCIA ENTRE CUENTAS</v>
      </c>
      <c r="N114" s="12" t="str">
        <f aca="false">VLOOKUP(M114,RECATALOGANDO!B:C,2,0)</f>
        <v>TRANSFERENCIAS</v>
      </c>
      <c r="O114" s="2" t="s">
        <v>31</v>
      </c>
    </row>
    <row r="115" customFormat="false" ht="13.8" hidden="false" customHeight="false" outlineLevel="0" collapsed="false">
      <c r="A115" s="29" t="n">
        <v>45414</v>
      </c>
      <c r="B115" s="9" t="n">
        <f aca="false">DAY(A115)</f>
        <v>2</v>
      </c>
      <c r="C115" s="9" t="n">
        <f aca="false">MONTH(A115)</f>
        <v>5</v>
      </c>
      <c r="D115" s="9" t="n">
        <f aca="false">YEAR(A115)</f>
        <v>2024</v>
      </c>
      <c r="E115" s="9" t="n">
        <f aca="false">WEEKDAY(A115,2)</f>
        <v>4</v>
      </c>
      <c r="F115" s="10" t="n">
        <f aca="false">WEEKNUM(A115,2) - WEEKNUM(DATE(YEAR(A115),MONTH(A115),1),2) + 1</f>
        <v>1</v>
      </c>
      <c r="G115" s="10"/>
      <c r="H115" s="30" t="n">
        <v>600</v>
      </c>
      <c r="I115" s="31" t="s">
        <v>20</v>
      </c>
      <c r="J115" s="31" t="s">
        <v>32</v>
      </c>
      <c r="K115" s="12"/>
      <c r="L115" s="9"/>
      <c r="M115" s="10" t="str">
        <f aca="false">VLOOKUP(J115,RECATALOGANDO!A:C,2,0)</f>
        <v>TRANSFERENCIA ENTRE CUENTAS</v>
      </c>
      <c r="N115" s="12" t="str">
        <f aca="false">VLOOKUP(M115,RECATALOGANDO!B:C,2,0)</f>
        <v>TRANSFERENCIAS</v>
      </c>
      <c r="O115" s="2" t="s">
        <v>31</v>
      </c>
    </row>
    <row r="116" customFormat="false" ht="13.8" hidden="false" customHeight="false" outlineLevel="0" collapsed="false">
      <c r="A116" s="8" t="n">
        <v>45426</v>
      </c>
      <c r="B116" s="9" t="n">
        <f aca="false">DAY(A116)</f>
        <v>14</v>
      </c>
      <c r="C116" s="9" t="n">
        <f aca="false">MONTH(A116)</f>
        <v>5</v>
      </c>
      <c r="D116" s="9" t="n">
        <f aca="false">YEAR(A116)</f>
        <v>2024</v>
      </c>
      <c r="E116" s="9" t="n">
        <f aca="false">WEEKDAY(A116,2)</f>
        <v>2</v>
      </c>
      <c r="F116" s="10" t="n">
        <f aca="false">WEEKNUM(A116,2) - WEEKNUM(DATE(YEAR(A116),MONTH(A116),1),2) + 1</f>
        <v>3</v>
      </c>
      <c r="G116" s="10"/>
      <c r="H116" s="11" t="n">
        <v>1500</v>
      </c>
      <c r="I116" s="12" t="s">
        <v>20</v>
      </c>
      <c r="J116" s="12" t="s">
        <v>35</v>
      </c>
      <c r="K116" s="12"/>
      <c r="L116" s="9"/>
      <c r="M116" s="10" t="str">
        <f aca="false">VLOOKUP(J116,RECATALOGANDO!A:C,2,0)</f>
        <v>TRANSFERENCIA ENTRE CUENTAS</v>
      </c>
      <c r="N116" s="12" t="str">
        <f aca="false">VLOOKUP(M116,RECATALOGANDO!B:C,2,0)</f>
        <v>TRANSFERENCIAS</v>
      </c>
      <c r="O116" s="2" t="s">
        <v>31</v>
      </c>
    </row>
    <row r="117" customFormat="false" ht="13.8" hidden="false" customHeight="false" outlineLevel="0" collapsed="false">
      <c r="A117" s="35" t="n">
        <v>45427</v>
      </c>
      <c r="B117" s="9" t="n">
        <f aca="false">DAY(A117)</f>
        <v>15</v>
      </c>
      <c r="C117" s="9" t="n">
        <f aca="false">MONTH(A117)</f>
        <v>5</v>
      </c>
      <c r="D117" s="9" t="n">
        <f aca="false">YEAR(A117)</f>
        <v>2024</v>
      </c>
      <c r="E117" s="9" t="n">
        <f aca="false">WEEKDAY(A117,2)</f>
        <v>3</v>
      </c>
      <c r="F117" s="10" t="n">
        <f aca="false">WEEKNUM(A117,2) - WEEKNUM(DATE(YEAR(A117),MONTH(A117),1),2) + 1</f>
        <v>3</v>
      </c>
      <c r="G117" s="10" t="n">
        <v>1</v>
      </c>
      <c r="H117" s="36" t="n">
        <v>500</v>
      </c>
      <c r="I117" s="37" t="s">
        <v>20</v>
      </c>
      <c r="J117" s="37" t="s">
        <v>33</v>
      </c>
      <c r="K117" s="12"/>
      <c r="L117" s="9"/>
      <c r="M117" s="10" t="str">
        <f aca="false">VLOOKUP(J117,RECATALOGANDO!A:C,2,0)</f>
        <v>TRANSFERENCIA FAMILIAR</v>
      </c>
      <c r="N117" s="12" t="str">
        <f aca="false">VLOOKUP(M117,RECATALOGANDO!B:C,2,0)</f>
        <v>TRANSFERENCIAS</v>
      </c>
      <c r="O117" s="2" t="s">
        <v>31</v>
      </c>
    </row>
    <row r="118" customFormat="false" ht="13.8" hidden="false" customHeight="false" outlineLevel="0" collapsed="false">
      <c r="A118" s="29" t="n">
        <v>45428</v>
      </c>
      <c r="B118" s="9" t="n">
        <f aca="false">DAY(A118)</f>
        <v>16</v>
      </c>
      <c r="C118" s="9" t="n">
        <f aca="false">MONTH(A118)</f>
        <v>5</v>
      </c>
      <c r="D118" s="9" t="n">
        <f aca="false">YEAR(A118)</f>
        <v>2024</v>
      </c>
      <c r="E118" s="9" t="n">
        <f aca="false">WEEKDAY(A118,2)</f>
        <v>4</v>
      </c>
      <c r="F118" s="10" t="n">
        <f aca="false">WEEKNUM(A118,2) - WEEKNUM(DATE(YEAR(A118),MONTH(A118),1),2) + 1</f>
        <v>3</v>
      </c>
      <c r="G118" s="10"/>
      <c r="H118" s="30" t="n">
        <v>490</v>
      </c>
      <c r="I118" s="31" t="s">
        <v>15</v>
      </c>
      <c r="J118" s="31" t="s">
        <v>32</v>
      </c>
      <c r="K118" s="12"/>
      <c r="L118" s="9"/>
      <c r="M118" s="10" t="str">
        <f aca="false">VLOOKUP(J118,RECATALOGANDO!A:C,2,0)</f>
        <v>TRANSFERENCIA ENTRE CUENTAS</v>
      </c>
      <c r="N118" s="12" t="str">
        <f aca="false">VLOOKUP(M118,RECATALOGANDO!B:C,2,0)</f>
        <v>TRANSFERENCIAS</v>
      </c>
      <c r="O118" s="2" t="s">
        <v>31</v>
      </c>
    </row>
    <row r="119" customFormat="false" ht="13.8" hidden="false" customHeight="false" outlineLevel="0" collapsed="false">
      <c r="A119" s="8" t="n">
        <v>45428</v>
      </c>
      <c r="B119" s="9" t="n">
        <f aca="false">DAY(A119)</f>
        <v>16</v>
      </c>
      <c r="C119" s="9" t="n">
        <f aca="false">MONTH(A119)</f>
        <v>5</v>
      </c>
      <c r="D119" s="9" t="n">
        <f aca="false">YEAR(A119)</f>
        <v>2024</v>
      </c>
      <c r="E119" s="9" t="n">
        <f aca="false">WEEKDAY(A119,2)</f>
        <v>4</v>
      </c>
      <c r="F119" s="10" t="n">
        <f aca="false">WEEKNUM(A119,2) - WEEKNUM(DATE(YEAR(A119),MONTH(A119),1),2) + 1</f>
        <v>3</v>
      </c>
      <c r="G119" s="10"/>
      <c r="H119" s="11" t="n">
        <v>550</v>
      </c>
      <c r="I119" s="12" t="s">
        <v>20</v>
      </c>
      <c r="J119" s="12" t="s">
        <v>33</v>
      </c>
      <c r="K119" s="12"/>
      <c r="L119" s="9"/>
      <c r="M119" s="10" t="str">
        <f aca="false">VLOOKUP(J119,RECATALOGANDO!A:C,2,0)</f>
        <v>TRANSFERENCIA FAMILIAR</v>
      </c>
      <c r="N119" s="12" t="str">
        <f aca="false">VLOOKUP(M119,RECATALOGANDO!B:C,2,0)</f>
        <v>TRANSFERENCIAS</v>
      </c>
      <c r="O119" s="2" t="s">
        <v>31</v>
      </c>
    </row>
    <row r="120" customFormat="false" ht="13.8" hidden="false" customHeight="false" outlineLevel="0" collapsed="false">
      <c r="A120" s="29" t="n">
        <v>45428</v>
      </c>
      <c r="B120" s="9" t="n">
        <f aca="false">DAY(A120)</f>
        <v>16</v>
      </c>
      <c r="C120" s="9" t="n">
        <f aca="false">MONTH(A120)</f>
        <v>5</v>
      </c>
      <c r="D120" s="9" t="n">
        <f aca="false">YEAR(A120)</f>
        <v>2024</v>
      </c>
      <c r="E120" s="9" t="n">
        <f aca="false">WEEKDAY(A120,2)</f>
        <v>4</v>
      </c>
      <c r="F120" s="10" t="n">
        <f aca="false">WEEKNUM(A120,2) - WEEKNUM(DATE(YEAR(A120),MONTH(A120),1),2) + 1</f>
        <v>3</v>
      </c>
      <c r="G120" s="10"/>
      <c r="H120" s="30" t="n">
        <v>800</v>
      </c>
      <c r="I120" s="31" t="s">
        <v>20</v>
      </c>
      <c r="J120" s="31" t="s">
        <v>32</v>
      </c>
      <c r="K120" s="12"/>
      <c r="L120" s="9"/>
      <c r="M120" s="10" t="str">
        <f aca="false">VLOOKUP(J120,RECATALOGANDO!A:C,2,0)</f>
        <v>TRANSFERENCIA ENTRE CUENTAS</v>
      </c>
      <c r="N120" s="12" t="str">
        <f aca="false">VLOOKUP(M120,RECATALOGANDO!B:C,2,0)</f>
        <v>TRANSFERENCIAS</v>
      </c>
      <c r="O120" s="2" t="s">
        <v>31</v>
      </c>
    </row>
    <row r="121" customFormat="false" ht="13.8" hidden="false" customHeight="false" outlineLevel="0" collapsed="false">
      <c r="A121" s="35" t="n">
        <v>45432</v>
      </c>
      <c r="B121" s="9" t="n">
        <f aca="false">DAY(A121)</f>
        <v>20</v>
      </c>
      <c r="C121" s="9" t="n">
        <f aca="false">MONTH(A121)</f>
        <v>5</v>
      </c>
      <c r="D121" s="9" t="n">
        <f aca="false">YEAR(A121)</f>
        <v>2024</v>
      </c>
      <c r="E121" s="9" t="n">
        <f aca="false">WEEKDAY(A121,2)</f>
        <v>1</v>
      </c>
      <c r="F121" s="10" t="n">
        <f aca="false">WEEKNUM(A121,2) - WEEKNUM(DATE(YEAR(A121),MONTH(A121),1),2) + 1</f>
        <v>4</v>
      </c>
      <c r="G121" s="10"/>
      <c r="H121" s="36" t="n">
        <v>200</v>
      </c>
      <c r="I121" s="37" t="s">
        <v>20</v>
      </c>
      <c r="J121" s="37" t="s">
        <v>33</v>
      </c>
      <c r="K121" s="12"/>
      <c r="L121" s="9"/>
      <c r="M121" s="10" t="str">
        <f aca="false">VLOOKUP(J121,RECATALOGANDO!A:C,2,0)</f>
        <v>TRANSFERENCIA FAMILIAR</v>
      </c>
      <c r="N121" s="12" t="str">
        <f aca="false">VLOOKUP(M121,RECATALOGANDO!B:C,2,0)</f>
        <v>TRANSFERENCIAS</v>
      </c>
      <c r="O121" s="2" t="s">
        <v>31</v>
      </c>
    </row>
    <row r="122" customFormat="false" ht="13.8" hidden="false" customHeight="false" outlineLevel="0" collapsed="false">
      <c r="A122" s="35" t="n">
        <v>45433</v>
      </c>
      <c r="B122" s="9" t="n">
        <f aca="false">DAY(A122)</f>
        <v>21</v>
      </c>
      <c r="C122" s="9" t="n">
        <f aca="false">MONTH(A122)</f>
        <v>5</v>
      </c>
      <c r="D122" s="9" t="n">
        <f aca="false">YEAR(A122)</f>
        <v>2024</v>
      </c>
      <c r="E122" s="9" t="n">
        <f aca="false">WEEKDAY(A122,2)</f>
        <v>2</v>
      </c>
      <c r="F122" s="10" t="n">
        <f aca="false">WEEKNUM(A122,2) - WEEKNUM(DATE(YEAR(A122),MONTH(A122),1),2) + 1</f>
        <v>4</v>
      </c>
      <c r="G122" s="10"/>
      <c r="H122" s="36" t="n">
        <v>500</v>
      </c>
      <c r="I122" s="37" t="s">
        <v>15</v>
      </c>
      <c r="J122" s="37" t="s">
        <v>33</v>
      </c>
      <c r="K122" s="12"/>
      <c r="L122" s="9"/>
      <c r="M122" s="10" t="str">
        <f aca="false">VLOOKUP(J122,RECATALOGANDO!A:C,2,0)</f>
        <v>TRANSFERENCIA FAMILIAR</v>
      </c>
      <c r="N122" s="12" t="str">
        <f aca="false">VLOOKUP(M122,RECATALOGANDO!B:C,2,0)</f>
        <v>TRANSFERENCIAS</v>
      </c>
      <c r="O122" s="2" t="s">
        <v>31</v>
      </c>
    </row>
    <row r="123" customFormat="false" ht="13.8" hidden="false" customHeight="false" outlineLevel="0" collapsed="false">
      <c r="A123" s="29" t="n">
        <v>45433</v>
      </c>
      <c r="B123" s="9" t="n">
        <f aca="false">DAY(A123)</f>
        <v>21</v>
      </c>
      <c r="C123" s="9" t="n">
        <f aca="false">MONTH(A123)</f>
        <v>5</v>
      </c>
      <c r="D123" s="9" t="n">
        <f aca="false">YEAR(A123)</f>
        <v>2024</v>
      </c>
      <c r="E123" s="9" t="n">
        <f aca="false">WEEKDAY(A123,2)</f>
        <v>2</v>
      </c>
      <c r="F123" s="10" t="n">
        <f aca="false">WEEKNUM(A123,2) - WEEKNUM(DATE(YEAR(A123),MONTH(A123),1),2) + 1</f>
        <v>4</v>
      </c>
      <c r="G123" s="10"/>
      <c r="H123" s="30" t="n">
        <v>1500</v>
      </c>
      <c r="I123" s="31" t="s">
        <v>15</v>
      </c>
      <c r="J123" s="31" t="s">
        <v>32</v>
      </c>
      <c r="K123" s="12"/>
      <c r="L123" s="9"/>
      <c r="M123" s="10" t="str">
        <f aca="false">VLOOKUP(J123,RECATALOGANDO!A:C,2,0)</f>
        <v>TRANSFERENCIA ENTRE CUENTAS</v>
      </c>
      <c r="N123" s="12" t="str">
        <f aca="false">VLOOKUP(M123,RECATALOGANDO!B:C,2,0)</f>
        <v>TRANSFERENCIAS</v>
      </c>
      <c r="O123" s="2" t="s">
        <v>31</v>
      </c>
    </row>
    <row r="124" customFormat="false" ht="13.8" hidden="false" customHeight="false" outlineLevel="0" collapsed="false">
      <c r="A124" s="35" t="n">
        <v>45434</v>
      </c>
      <c r="B124" s="9" t="n">
        <f aca="false">DAY(A124)</f>
        <v>22</v>
      </c>
      <c r="C124" s="9" t="n">
        <f aca="false">MONTH(A124)</f>
        <v>5</v>
      </c>
      <c r="D124" s="9" t="n">
        <f aca="false">YEAR(A124)</f>
        <v>2024</v>
      </c>
      <c r="E124" s="9" t="n">
        <f aca="false">WEEKDAY(A124,2)</f>
        <v>3</v>
      </c>
      <c r="F124" s="10" t="n">
        <f aca="false">WEEKNUM(A124,2) - WEEKNUM(DATE(YEAR(A124),MONTH(A124),1),2) + 1</f>
        <v>4</v>
      </c>
      <c r="G124" s="10"/>
      <c r="H124" s="36" t="n">
        <v>500</v>
      </c>
      <c r="I124" s="37" t="s">
        <v>20</v>
      </c>
      <c r="J124" s="37" t="s">
        <v>33</v>
      </c>
      <c r="K124" s="12"/>
      <c r="L124" s="9"/>
      <c r="M124" s="10" t="str">
        <f aca="false">VLOOKUP(J124,RECATALOGANDO!A:C,2,0)</f>
        <v>TRANSFERENCIA FAMILIAR</v>
      </c>
      <c r="N124" s="12" t="str">
        <f aca="false">VLOOKUP(M124,RECATALOGANDO!B:C,2,0)</f>
        <v>TRANSFERENCIAS</v>
      </c>
      <c r="O124" s="2" t="s">
        <v>31</v>
      </c>
    </row>
    <row r="125" customFormat="false" ht="13.8" hidden="false" customHeight="false" outlineLevel="0" collapsed="false">
      <c r="A125" s="35" t="n">
        <v>45434</v>
      </c>
      <c r="B125" s="9" t="n">
        <f aca="false">DAY(A125)</f>
        <v>22</v>
      </c>
      <c r="C125" s="9" t="n">
        <f aca="false">MONTH(A125)</f>
        <v>5</v>
      </c>
      <c r="D125" s="9" t="n">
        <f aca="false">YEAR(A125)</f>
        <v>2024</v>
      </c>
      <c r="E125" s="9" t="n">
        <f aca="false">WEEKDAY(A125,2)</f>
        <v>3</v>
      </c>
      <c r="F125" s="10" t="n">
        <f aca="false">WEEKNUM(A125,2) - WEEKNUM(DATE(YEAR(A125),MONTH(A125),1),2) + 1</f>
        <v>4</v>
      </c>
      <c r="G125" s="10"/>
      <c r="H125" s="36" t="n">
        <v>614</v>
      </c>
      <c r="I125" s="37" t="s">
        <v>15</v>
      </c>
      <c r="J125" s="37" t="s">
        <v>33</v>
      </c>
      <c r="K125" s="12"/>
      <c r="L125" s="9"/>
      <c r="M125" s="10" t="str">
        <f aca="false">VLOOKUP(J125,RECATALOGANDO!A:C,2,0)</f>
        <v>TRANSFERENCIA FAMILIAR</v>
      </c>
      <c r="N125" s="12" t="str">
        <f aca="false">VLOOKUP(M125,RECATALOGANDO!B:C,2,0)</f>
        <v>TRANSFERENCIAS</v>
      </c>
      <c r="O125" s="2" t="s">
        <v>31</v>
      </c>
    </row>
    <row r="126" customFormat="false" ht="13.8" hidden="false" customHeight="false" outlineLevel="0" collapsed="false">
      <c r="A126" s="29" t="n">
        <v>45436</v>
      </c>
      <c r="B126" s="9" t="n">
        <f aca="false">DAY(A126)</f>
        <v>24</v>
      </c>
      <c r="C126" s="9" t="n">
        <f aca="false">MONTH(A126)</f>
        <v>5</v>
      </c>
      <c r="D126" s="9" t="n">
        <f aca="false">YEAR(A126)</f>
        <v>2024</v>
      </c>
      <c r="E126" s="9" t="n">
        <f aca="false">WEEKDAY(A126,2)</f>
        <v>5</v>
      </c>
      <c r="F126" s="10" t="n">
        <f aca="false">WEEKNUM(A126,2) - WEEKNUM(DATE(YEAR(A126),MONTH(A126),1),2) + 1</f>
        <v>4</v>
      </c>
      <c r="G126" s="10"/>
      <c r="H126" s="30" t="n">
        <v>250</v>
      </c>
      <c r="I126" s="31" t="s">
        <v>20</v>
      </c>
      <c r="J126" s="31" t="s">
        <v>32</v>
      </c>
      <c r="K126" s="12"/>
      <c r="L126" s="9"/>
      <c r="M126" s="10" t="str">
        <f aca="false">VLOOKUP(J126,RECATALOGANDO!A:C,2,0)</f>
        <v>TRANSFERENCIA ENTRE CUENTAS</v>
      </c>
      <c r="N126" s="12" t="str">
        <f aca="false">VLOOKUP(M126,RECATALOGANDO!B:C,2,0)</f>
        <v>TRANSFERENCIAS</v>
      </c>
      <c r="O126" s="2" t="s">
        <v>31</v>
      </c>
    </row>
    <row r="127" customFormat="false" ht="13.8" hidden="false" customHeight="false" outlineLevel="0" collapsed="false">
      <c r="A127" s="29" t="n">
        <v>45439</v>
      </c>
      <c r="B127" s="9" t="n">
        <f aca="false">DAY(A127)</f>
        <v>27</v>
      </c>
      <c r="C127" s="9" t="n">
        <f aca="false">MONTH(A127)</f>
        <v>5</v>
      </c>
      <c r="D127" s="9" t="n">
        <f aca="false">YEAR(A127)</f>
        <v>2024</v>
      </c>
      <c r="E127" s="9" t="n">
        <f aca="false">WEEKDAY(A127,2)</f>
        <v>1</v>
      </c>
      <c r="F127" s="10" t="n">
        <f aca="false">WEEKNUM(A127,2) - WEEKNUM(DATE(YEAR(A127),MONTH(A127),1),2) + 1</f>
        <v>5</v>
      </c>
      <c r="G127" s="10"/>
      <c r="H127" s="30" t="n">
        <v>800</v>
      </c>
      <c r="I127" s="31" t="s">
        <v>20</v>
      </c>
      <c r="J127" s="31" t="s">
        <v>32</v>
      </c>
      <c r="K127" s="12"/>
      <c r="L127" s="9"/>
      <c r="M127" s="10" t="str">
        <f aca="false">VLOOKUP(J127,RECATALOGANDO!A:C,2,0)</f>
        <v>TRANSFERENCIA ENTRE CUENTAS</v>
      </c>
      <c r="N127" s="12" t="str">
        <f aca="false">VLOOKUP(M127,RECATALOGANDO!B:C,2,0)</f>
        <v>TRANSFERENCIAS</v>
      </c>
      <c r="O127" s="2" t="s">
        <v>31</v>
      </c>
    </row>
    <row r="128" customFormat="false" ht="13.8" hidden="false" customHeight="false" outlineLevel="0" collapsed="false">
      <c r="A128" s="35" t="n">
        <v>45440</v>
      </c>
      <c r="B128" s="9" t="n">
        <f aca="false">DAY(A128)</f>
        <v>28</v>
      </c>
      <c r="C128" s="9" t="n">
        <f aca="false">MONTH(A128)</f>
        <v>5</v>
      </c>
      <c r="D128" s="9" t="n">
        <f aca="false">YEAR(A128)</f>
        <v>2024</v>
      </c>
      <c r="E128" s="9" t="n">
        <f aca="false">WEEKDAY(A128,2)</f>
        <v>2</v>
      </c>
      <c r="F128" s="10" t="n">
        <f aca="false">WEEKNUM(A128,2) - WEEKNUM(DATE(YEAR(A128),MONTH(A128),1),2) + 1</f>
        <v>5</v>
      </c>
      <c r="G128" s="10"/>
      <c r="H128" s="36" t="n">
        <v>500</v>
      </c>
      <c r="I128" s="37" t="s">
        <v>20</v>
      </c>
      <c r="J128" s="37" t="s">
        <v>33</v>
      </c>
      <c r="K128" s="12"/>
      <c r="L128" s="9"/>
      <c r="M128" s="10" t="str">
        <f aca="false">VLOOKUP(J128,RECATALOGANDO!A:C,2,0)</f>
        <v>TRANSFERENCIA FAMILIAR</v>
      </c>
      <c r="N128" s="12" t="str">
        <f aca="false">VLOOKUP(M128,RECATALOGANDO!B:C,2,0)</f>
        <v>TRANSFERENCIAS</v>
      </c>
      <c r="O128" s="2" t="s">
        <v>31</v>
      </c>
    </row>
    <row r="129" customFormat="false" ht="13.8" hidden="false" customHeight="false" outlineLevel="0" collapsed="false">
      <c r="A129" s="29" t="n">
        <v>45440</v>
      </c>
      <c r="B129" s="9" t="n">
        <f aca="false">DAY(A129)</f>
        <v>28</v>
      </c>
      <c r="C129" s="9" t="n">
        <f aca="false">MONTH(A129)</f>
        <v>5</v>
      </c>
      <c r="D129" s="9" t="n">
        <f aca="false">YEAR(A129)</f>
        <v>2024</v>
      </c>
      <c r="E129" s="9" t="n">
        <f aca="false">WEEKDAY(A129,2)</f>
        <v>2</v>
      </c>
      <c r="F129" s="10" t="n">
        <f aca="false">WEEKNUM(A129,2) - WEEKNUM(DATE(YEAR(A129),MONTH(A129),1),2) + 1</f>
        <v>5</v>
      </c>
      <c r="G129" s="10"/>
      <c r="H129" s="30" t="n">
        <v>800</v>
      </c>
      <c r="I129" s="31" t="s">
        <v>20</v>
      </c>
      <c r="J129" s="31" t="s">
        <v>32</v>
      </c>
      <c r="K129" s="12"/>
      <c r="L129" s="9"/>
      <c r="M129" s="10" t="str">
        <f aca="false">VLOOKUP(J129,RECATALOGANDO!A:C,2,0)</f>
        <v>TRANSFERENCIA ENTRE CUENTAS</v>
      </c>
      <c r="N129" s="12" t="str">
        <f aca="false">VLOOKUP(M129,RECATALOGANDO!B:C,2,0)</f>
        <v>TRANSFERENCIAS</v>
      </c>
      <c r="O129" s="2" t="s">
        <v>31</v>
      </c>
    </row>
    <row r="130" customFormat="false" ht="13.8" hidden="false" customHeight="false" outlineLevel="0" collapsed="false">
      <c r="A130" s="29" t="n">
        <v>45443</v>
      </c>
      <c r="B130" s="9" t="n">
        <f aca="false">DAY(A130)</f>
        <v>31</v>
      </c>
      <c r="C130" s="9" t="n">
        <f aca="false">MONTH(A130)</f>
        <v>5</v>
      </c>
      <c r="D130" s="9" t="n">
        <f aca="false">YEAR(A130)</f>
        <v>2024</v>
      </c>
      <c r="E130" s="9" t="n">
        <f aca="false">WEEKDAY(A130,2)</f>
        <v>5</v>
      </c>
      <c r="F130" s="10" t="n">
        <f aca="false">WEEKNUM(A130,2) - WEEKNUM(DATE(YEAR(A130),MONTH(A130),1),2) + 1</f>
        <v>5</v>
      </c>
      <c r="G130" s="10"/>
      <c r="H130" s="30" t="n">
        <v>250</v>
      </c>
      <c r="I130" s="31" t="s">
        <v>20</v>
      </c>
      <c r="J130" s="31" t="s">
        <v>32</v>
      </c>
      <c r="K130" s="12"/>
      <c r="L130" s="9"/>
      <c r="M130" s="10" t="str">
        <f aca="false">VLOOKUP(J130,RECATALOGANDO!A:C,2,0)</f>
        <v>TRANSFERENCIA ENTRE CUENTAS</v>
      </c>
      <c r="N130" s="12" t="str">
        <f aca="false">VLOOKUP(M130,RECATALOGANDO!B:C,2,0)</f>
        <v>TRANSFERENCIAS</v>
      </c>
      <c r="O130" s="2" t="s">
        <v>31</v>
      </c>
    </row>
    <row r="131" customFormat="false" ht="13.8" hidden="false" customHeight="false" outlineLevel="0" collapsed="false">
      <c r="A131" s="29" t="n">
        <v>45447</v>
      </c>
      <c r="B131" s="9" t="n">
        <f aca="false">DAY(A131)</f>
        <v>4</v>
      </c>
      <c r="C131" s="9" t="n">
        <f aca="false">MONTH(A131)</f>
        <v>6</v>
      </c>
      <c r="D131" s="9" t="n">
        <f aca="false">YEAR(A131)</f>
        <v>2024</v>
      </c>
      <c r="E131" s="9" t="n">
        <f aca="false">WEEKDAY(A131,2)</f>
        <v>2</v>
      </c>
      <c r="F131" s="10" t="n">
        <f aca="false">WEEKNUM(A131,2) - WEEKNUM(DATE(YEAR(A131),MONTH(A131),1),2) + 1</f>
        <v>2</v>
      </c>
      <c r="G131" s="10"/>
      <c r="H131" s="30" t="n">
        <v>2200</v>
      </c>
      <c r="I131" s="31" t="s">
        <v>15</v>
      </c>
      <c r="J131" s="31" t="s">
        <v>32</v>
      </c>
      <c r="K131" s="12"/>
      <c r="L131" s="9"/>
      <c r="M131" s="10" t="str">
        <f aca="false">VLOOKUP(J131,RECATALOGANDO!A:C,2,0)</f>
        <v>TRANSFERENCIA ENTRE CUENTAS</v>
      </c>
      <c r="N131" s="12" t="str">
        <f aca="false">VLOOKUP(M131,RECATALOGANDO!B:C,2,0)</f>
        <v>TRANSFERENCIAS</v>
      </c>
      <c r="O131" s="2" t="s">
        <v>31</v>
      </c>
    </row>
    <row r="132" customFormat="false" ht="13.8" hidden="false" customHeight="false" outlineLevel="0" collapsed="false">
      <c r="A132" s="29" t="n">
        <v>45449</v>
      </c>
      <c r="B132" s="9" t="n">
        <f aca="false">DAY(A132)</f>
        <v>6</v>
      </c>
      <c r="C132" s="9" t="n">
        <f aca="false">MONTH(A132)</f>
        <v>6</v>
      </c>
      <c r="D132" s="9" t="n">
        <f aca="false">YEAR(A132)</f>
        <v>2024</v>
      </c>
      <c r="E132" s="9" t="n">
        <f aca="false">WEEKDAY(A132,2)</f>
        <v>4</v>
      </c>
      <c r="F132" s="10" t="n">
        <f aca="false">WEEKNUM(A132,2) - WEEKNUM(DATE(YEAR(A132),MONTH(A132),1),2) + 1</f>
        <v>2</v>
      </c>
      <c r="G132" s="10"/>
      <c r="H132" s="30" t="n">
        <v>350</v>
      </c>
      <c r="I132" s="31" t="s">
        <v>15</v>
      </c>
      <c r="J132" s="31" t="s">
        <v>32</v>
      </c>
      <c r="K132" s="12"/>
      <c r="L132" s="9"/>
      <c r="M132" s="10" t="str">
        <f aca="false">VLOOKUP(J132,RECATALOGANDO!A:C,2,0)</f>
        <v>TRANSFERENCIA ENTRE CUENTAS</v>
      </c>
      <c r="N132" s="12" t="str">
        <f aca="false">VLOOKUP(M132,RECATALOGANDO!B:C,2,0)</f>
        <v>TRANSFERENCIAS</v>
      </c>
      <c r="O132" s="2" t="s">
        <v>31</v>
      </c>
    </row>
    <row r="133" customFormat="false" ht="13.8" hidden="false" customHeight="false" outlineLevel="0" collapsed="false">
      <c r="A133" s="29" t="n">
        <v>45450</v>
      </c>
      <c r="B133" s="9" t="n">
        <f aca="false">DAY(A133)</f>
        <v>7</v>
      </c>
      <c r="C133" s="9" t="n">
        <f aca="false">MONTH(A133)</f>
        <v>6</v>
      </c>
      <c r="D133" s="9" t="n">
        <f aca="false">YEAR(A133)</f>
        <v>2024</v>
      </c>
      <c r="E133" s="9" t="n">
        <f aca="false">WEEKDAY(A133,2)</f>
        <v>5</v>
      </c>
      <c r="F133" s="10" t="n">
        <f aca="false">WEEKNUM(A133,2) - WEEKNUM(DATE(YEAR(A133),MONTH(A133),1),2) + 1</f>
        <v>2</v>
      </c>
      <c r="G133" s="10"/>
      <c r="H133" s="30" t="n">
        <v>350</v>
      </c>
      <c r="I133" s="31" t="s">
        <v>20</v>
      </c>
      <c r="J133" s="31" t="s">
        <v>32</v>
      </c>
      <c r="K133" s="12"/>
      <c r="L133" s="9"/>
      <c r="M133" s="10" t="str">
        <f aca="false">VLOOKUP(J133,RECATALOGANDO!A:C,2,0)</f>
        <v>TRANSFERENCIA ENTRE CUENTAS</v>
      </c>
      <c r="N133" s="12" t="str">
        <f aca="false">VLOOKUP(M133,RECATALOGANDO!B:C,2,0)</f>
        <v>TRANSFERENCIAS</v>
      </c>
      <c r="O133" s="2" t="s">
        <v>31</v>
      </c>
    </row>
    <row r="134" customFormat="false" ht="13.8" hidden="false" customHeight="false" outlineLevel="0" collapsed="false">
      <c r="A134" s="35" t="n">
        <v>45452</v>
      </c>
      <c r="B134" s="9" t="n">
        <f aca="false">DAY(A134)</f>
        <v>9</v>
      </c>
      <c r="C134" s="9" t="n">
        <f aca="false">MONTH(A134)</f>
        <v>6</v>
      </c>
      <c r="D134" s="9" t="n">
        <f aca="false">YEAR(A134)</f>
        <v>2024</v>
      </c>
      <c r="E134" s="9" t="n">
        <f aca="false">WEEKDAY(A134,2)</f>
        <v>7</v>
      </c>
      <c r="F134" s="10" t="n">
        <f aca="false">WEEKNUM(A134,2) - WEEKNUM(DATE(YEAR(A134),MONTH(A134),1),2) + 1</f>
        <v>2</v>
      </c>
      <c r="G134" s="10"/>
      <c r="H134" s="36" t="n">
        <v>500</v>
      </c>
      <c r="I134" s="37" t="s">
        <v>15</v>
      </c>
      <c r="J134" s="37" t="s">
        <v>33</v>
      </c>
      <c r="K134" s="12"/>
      <c r="L134" s="9"/>
      <c r="M134" s="10" t="str">
        <f aca="false">VLOOKUP(J134,RECATALOGANDO!A:C,2,0)</f>
        <v>TRANSFERENCIA FAMILIAR</v>
      </c>
      <c r="N134" s="12" t="str">
        <f aca="false">VLOOKUP(M134,RECATALOGANDO!B:C,2,0)</f>
        <v>TRANSFERENCIAS</v>
      </c>
      <c r="O134" s="2" t="s">
        <v>31</v>
      </c>
    </row>
    <row r="135" customFormat="false" ht="13.8" hidden="false" customHeight="false" outlineLevel="0" collapsed="false">
      <c r="A135" s="35" t="n">
        <v>45452</v>
      </c>
      <c r="B135" s="9" t="n">
        <f aca="false">DAY(A135)</f>
        <v>9</v>
      </c>
      <c r="C135" s="9" t="n">
        <f aca="false">MONTH(A135)</f>
        <v>6</v>
      </c>
      <c r="D135" s="9" t="n">
        <f aca="false">YEAR(A135)</f>
        <v>2024</v>
      </c>
      <c r="E135" s="9" t="n">
        <f aca="false">WEEKDAY(A135,2)</f>
        <v>7</v>
      </c>
      <c r="F135" s="10" t="n">
        <f aca="false">WEEKNUM(A135,2) - WEEKNUM(DATE(YEAR(A135),MONTH(A135),1),2) + 1</f>
        <v>2</v>
      </c>
      <c r="G135" s="10"/>
      <c r="H135" s="36" t="n">
        <v>666</v>
      </c>
      <c r="I135" s="37" t="s">
        <v>15</v>
      </c>
      <c r="J135" s="37" t="s">
        <v>33</v>
      </c>
      <c r="K135" s="12"/>
      <c r="L135" s="9"/>
      <c r="M135" s="10" t="str">
        <f aca="false">VLOOKUP(J135,RECATALOGANDO!A:C,2,0)</f>
        <v>TRANSFERENCIA FAMILIAR</v>
      </c>
      <c r="N135" s="12" t="str">
        <f aca="false">VLOOKUP(M135,RECATALOGANDO!B:C,2,0)</f>
        <v>TRANSFERENCIAS</v>
      </c>
      <c r="O135" s="2" t="s">
        <v>31</v>
      </c>
    </row>
    <row r="136" customFormat="false" ht="13.8" hidden="false" customHeight="false" outlineLevel="0" collapsed="false">
      <c r="A136" s="29" t="n">
        <v>45454</v>
      </c>
      <c r="B136" s="9" t="n">
        <f aca="false">DAY(A136)</f>
        <v>11</v>
      </c>
      <c r="C136" s="9" t="n">
        <f aca="false">MONTH(A136)</f>
        <v>6</v>
      </c>
      <c r="D136" s="9" t="n">
        <f aca="false">YEAR(A136)</f>
        <v>2024</v>
      </c>
      <c r="E136" s="9" t="n">
        <f aca="false">WEEKDAY(A136,2)</f>
        <v>2</v>
      </c>
      <c r="F136" s="10" t="n">
        <f aca="false">WEEKNUM(A136,2) - WEEKNUM(DATE(YEAR(A136),MONTH(A136),1),2) + 1</f>
        <v>3</v>
      </c>
      <c r="G136" s="10"/>
      <c r="H136" s="30" t="n">
        <v>329</v>
      </c>
      <c r="I136" s="31" t="s">
        <v>20</v>
      </c>
      <c r="J136" s="31" t="s">
        <v>32</v>
      </c>
      <c r="K136" s="12"/>
      <c r="L136" s="9"/>
      <c r="M136" s="10" t="str">
        <f aca="false">VLOOKUP(J136,RECATALOGANDO!A:C,2,0)</f>
        <v>TRANSFERENCIA ENTRE CUENTAS</v>
      </c>
      <c r="N136" s="12" t="str">
        <f aca="false">VLOOKUP(M136,RECATALOGANDO!B:C,2,0)</f>
        <v>TRANSFERENCIAS</v>
      </c>
      <c r="O136" s="2" t="s">
        <v>31</v>
      </c>
    </row>
    <row r="137" customFormat="false" ht="13.8" hidden="false" customHeight="false" outlineLevel="0" collapsed="false">
      <c r="A137" s="29" t="n">
        <v>45454</v>
      </c>
      <c r="B137" s="9" t="n">
        <f aca="false">DAY(A137)</f>
        <v>11</v>
      </c>
      <c r="C137" s="9" t="n">
        <f aca="false">MONTH(A137)</f>
        <v>6</v>
      </c>
      <c r="D137" s="9" t="n">
        <f aca="false">YEAR(A137)</f>
        <v>2024</v>
      </c>
      <c r="E137" s="9" t="n">
        <f aca="false">WEEKDAY(A137,2)</f>
        <v>2</v>
      </c>
      <c r="F137" s="10" t="n">
        <f aca="false">WEEKNUM(A137,2) - WEEKNUM(DATE(YEAR(A137),MONTH(A137),1),2) + 1</f>
        <v>3</v>
      </c>
      <c r="G137" s="10"/>
      <c r="H137" s="30" t="n">
        <v>1365</v>
      </c>
      <c r="I137" s="31" t="s">
        <v>20</v>
      </c>
      <c r="J137" s="31" t="s">
        <v>32</v>
      </c>
      <c r="K137" s="12"/>
      <c r="L137" s="9"/>
      <c r="M137" s="10" t="str">
        <f aca="false">VLOOKUP(J137,RECATALOGANDO!A:C,2,0)</f>
        <v>TRANSFERENCIA ENTRE CUENTAS</v>
      </c>
      <c r="N137" s="12" t="str">
        <f aca="false">VLOOKUP(M137,RECATALOGANDO!B:C,2,0)</f>
        <v>TRANSFERENCIAS</v>
      </c>
      <c r="O137" s="2" t="s">
        <v>31</v>
      </c>
    </row>
    <row r="138" customFormat="false" ht="13.8" hidden="false" customHeight="false" outlineLevel="0" collapsed="false">
      <c r="A138" s="35" t="n">
        <v>45455</v>
      </c>
      <c r="B138" s="9" t="n">
        <f aca="false">DAY(A138)</f>
        <v>12</v>
      </c>
      <c r="C138" s="9" t="n">
        <f aca="false">MONTH(A138)</f>
        <v>6</v>
      </c>
      <c r="D138" s="9" t="n">
        <f aca="false">YEAR(A138)</f>
        <v>2024</v>
      </c>
      <c r="E138" s="9" t="n">
        <f aca="false">WEEKDAY(A138,2)</f>
        <v>3</v>
      </c>
      <c r="F138" s="10" t="n">
        <f aca="false">WEEKNUM(A138,2) - WEEKNUM(DATE(YEAR(A138),MONTH(A138),1),2) + 1</f>
        <v>3</v>
      </c>
      <c r="G138" s="10"/>
      <c r="H138" s="36" t="n">
        <v>540</v>
      </c>
      <c r="I138" s="37" t="s">
        <v>20</v>
      </c>
      <c r="J138" s="37" t="s">
        <v>33</v>
      </c>
      <c r="K138" s="12"/>
      <c r="L138" s="9"/>
      <c r="M138" s="10" t="str">
        <f aca="false">VLOOKUP(J138,RECATALOGANDO!A:C,2,0)</f>
        <v>TRANSFERENCIA FAMILIAR</v>
      </c>
      <c r="N138" s="12" t="str">
        <f aca="false">VLOOKUP(M138,RECATALOGANDO!B:C,2,0)</f>
        <v>TRANSFERENCIAS</v>
      </c>
      <c r="O138" s="2" t="s">
        <v>31</v>
      </c>
    </row>
    <row r="139" customFormat="false" ht="13.8" hidden="false" customHeight="false" outlineLevel="0" collapsed="false">
      <c r="A139" s="35" t="n">
        <v>45457</v>
      </c>
      <c r="B139" s="9" t="n">
        <f aca="false">DAY(A139)</f>
        <v>14</v>
      </c>
      <c r="C139" s="9" t="n">
        <f aca="false">MONTH(A139)</f>
        <v>6</v>
      </c>
      <c r="D139" s="9" t="n">
        <f aca="false">YEAR(A139)</f>
        <v>2024</v>
      </c>
      <c r="E139" s="9" t="n">
        <f aca="false">WEEKDAY(A139,2)</f>
        <v>5</v>
      </c>
      <c r="F139" s="10" t="n">
        <f aca="false">WEEKNUM(A139,2) - WEEKNUM(DATE(YEAR(A139),MONTH(A139),1),2) + 1</f>
        <v>3</v>
      </c>
      <c r="G139" s="10" t="n">
        <v>1</v>
      </c>
      <c r="H139" s="36" t="n">
        <v>400</v>
      </c>
      <c r="I139" s="37" t="s">
        <v>15</v>
      </c>
      <c r="J139" s="37" t="s">
        <v>33</v>
      </c>
      <c r="K139" s="12"/>
      <c r="L139" s="9"/>
      <c r="M139" s="10" t="str">
        <f aca="false">VLOOKUP(J139,RECATALOGANDO!A:C,2,0)</f>
        <v>TRANSFERENCIA FAMILIAR</v>
      </c>
      <c r="N139" s="12" t="str">
        <f aca="false">VLOOKUP(M139,RECATALOGANDO!B:C,2,0)</f>
        <v>TRANSFERENCIAS</v>
      </c>
      <c r="O139" s="2" t="s">
        <v>31</v>
      </c>
    </row>
    <row r="140" customFormat="false" ht="13.8" hidden="false" customHeight="false" outlineLevel="0" collapsed="false">
      <c r="A140" s="29" t="n">
        <v>45457</v>
      </c>
      <c r="B140" s="9" t="n">
        <f aca="false">DAY(A140)</f>
        <v>14</v>
      </c>
      <c r="C140" s="9" t="n">
        <f aca="false">MONTH(A140)</f>
        <v>6</v>
      </c>
      <c r="D140" s="9" t="n">
        <f aca="false">YEAR(A140)</f>
        <v>2024</v>
      </c>
      <c r="E140" s="9" t="n">
        <f aca="false">WEEKDAY(A140,2)</f>
        <v>5</v>
      </c>
      <c r="F140" s="10" t="n">
        <f aca="false">WEEKNUM(A140,2) - WEEKNUM(DATE(YEAR(A140),MONTH(A140),1),2) + 1</f>
        <v>3</v>
      </c>
      <c r="G140" s="10" t="n">
        <v>1</v>
      </c>
      <c r="H140" s="30" t="n">
        <v>583</v>
      </c>
      <c r="I140" s="31" t="s">
        <v>15</v>
      </c>
      <c r="J140" s="31" t="s">
        <v>32</v>
      </c>
      <c r="K140" s="12"/>
      <c r="L140" s="9"/>
      <c r="M140" s="10" t="str">
        <f aca="false">VLOOKUP(J140,RECATALOGANDO!A:C,2,0)</f>
        <v>TRANSFERENCIA ENTRE CUENTAS</v>
      </c>
      <c r="N140" s="12" t="str">
        <f aca="false">VLOOKUP(M140,RECATALOGANDO!B:C,2,0)</f>
        <v>TRANSFERENCIAS</v>
      </c>
      <c r="O140" s="2" t="s">
        <v>31</v>
      </c>
    </row>
    <row r="141" customFormat="false" ht="13.8" hidden="false" customHeight="false" outlineLevel="0" collapsed="false">
      <c r="A141" s="29" t="n">
        <v>45461</v>
      </c>
      <c r="B141" s="9" t="n">
        <f aca="false">DAY(A141)</f>
        <v>18</v>
      </c>
      <c r="C141" s="9" t="n">
        <f aca="false">MONTH(A141)</f>
        <v>6</v>
      </c>
      <c r="D141" s="9" t="n">
        <f aca="false">YEAR(A141)</f>
        <v>2024</v>
      </c>
      <c r="E141" s="9" t="n">
        <f aca="false">WEEKDAY(A141,2)</f>
        <v>2</v>
      </c>
      <c r="F141" s="10" t="n">
        <f aca="false">WEEKNUM(A141,2) - WEEKNUM(DATE(YEAR(A141),MONTH(A141),1),2) + 1</f>
        <v>4</v>
      </c>
      <c r="G141" s="10"/>
      <c r="H141" s="30" t="n">
        <v>2000</v>
      </c>
      <c r="I141" s="31" t="s">
        <v>15</v>
      </c>
      <c r="J141" s="31" t="s">
        <v>32</v>
      </c>
      <c r="K141" s="12"/>
      <c r="L141" s="9"/>
      <c r="M141" s="10" t="str">
        <f aca="false">VLOOKUP(J141,RECATALOGANDO!A:C,2,0)</f>
        <v>TRANSFERENCIA ENTRE CUENTAS</v>
      </c>
      <c r="N141" s="12" t="str">
        <f aca="false">VLOOKUP(M141,RECATALOGANDO!B:C,2,0)</f>
        <v>TRANSFERENCIAS</v>
      </c>
      <c r="O141" s="2" t="s">
        <v>31</v>
      </c>
    </row>
    <row r="142" customFormat="false" ht="13.8" hidden="false" customHeight="false" outlineLevel="0" collapsed="false">
      <c r="A142" s="35" t="n">
        <v>45463</v>
      </c>
      <c r="B142" s="9" t="n">
        <f aca="false">DAY(A142)</f>
        <v>20</v>
      </c>
      <c r="C142" s="9" t="n">
        <f aca="false">MONTH(A142)</f>
        <v>6</v>
      </c>
      <c r="D142" s="9" t="n">
        <f aca="false">YEAR(A142)</f>
        <v>2024</v>
      </c>
      <c r="E142" s="9" t="n">
        <f aca="false">WEEKDAY(A142,2)</f>
        <v>4</v>
      </c>
      <c r="F142" s="10" t="n">
        <f aca="false">WEEKNUM(A142,2) - WEEKNUM(DATE(YEAR(A142),MONTH(A142),1),2) + 1</f>
        <v>4</v>
      </c>
      <c r="G142" s="10"/>
      <c r="H142" s="36" t="n">
        <v>300</v>
      </c>
      <c r="I142" s="37" t="s">
        <v>20</v>
      </c>
      <c r="J142" s="37" t="s">
        <v>33</v>
      </c>
      <c r="K142" s="12"/>
      <c r="L142" s="9"/>
      <c r="M142" s="10" t="str">
        <f aca="false">VLOOKUP(J142,RECATALOGANDO!A:C,2,0)</f>
        <v>TRANSFERENCIA FAMILIAR</v>
      </c>
      <c r="N142" s="12" t="str">
        <f aca="false">VLOOKUP(M142,RECATALOGANDO!B:C,2,0)</f>
        <v>TRANSFERENCIAS</v>
      </c>
      <c r="O142" s="2" t="s">
        <v>31</v>
      </c>
    </row>
    <row r="143" customFormat="false" ht="13.8" hidden="false" customHeight="false" outlineLevel="0" collapsed="false">
      <c r="A143" s="29" t="n">
        <v>45477</v>
      </c>
      <c r="B143" s="9" t="n">
        <f aca="false">DAY(A143)</f>
        <v>4</v>
      </c>
      <c r="C143" s="9" t="n">
        <f aca="false">MONTH(A143)</f>
        <v>7</v>
      </c>
      <c r="D143" s="9" t="n">
        <f aca="false">YEAR(A143)</f>
        <v>2024</v>
      </c>
      <c r="E143" s="9" t="n">
        <f aca="false">WEEKDAY(A143,2)</f>
        <v>4</v>
      </c>
      <c r="F143" s="10" t="n">
        <f aca="false">WEEKNUM(A143,2) - WEEKNUM(DATE(YEAR(A143),MONTH(A143),1),2) + 1</f>
        <v>1</v>
      </c>
      <c r="G143" s="10"/>
      <c r="H143" s="30" t="n">
        <v>1000</v>
      </c>
      <c r="I143" s="31" t="s">
        <v>15</v>
      </c>
      <c r="J143" s="31" t="s">
        <v>32</v>
      </c>
      <c r="K143" s="12"/>
      <c r="L143" s="9"/>
      <c r="M143" s="10" t="str">
        <f aca="false">VLOOKUP(J143,RECATALOGANDO!A:C,2,0)</f>
        <v>TRANSFERENCIA ENTRE CUENTAS</v>
      </c>
      <c r="N143" s="12" t="str">
        <f aca="false">VLOOKUP(M143,RECATALOGANDO!B:C,2,0)</f>
        <v>TRANSFERENCIAS</v>
      </c>
      <c r="O143" s="2" t="s">
        <v>31</v>
      </c>
    </row>
    <row r="144" customFormat="false" ht="13.8" hidden="false" customHeight="false" outlineLevel="0" collapsed="false">
      <c r="A144" s="29" t="n">
        <v>45479</v>
      </c>
      <c r="B144" s="9" t="n">
        <f aca="false">DAY(A144)</f>
        <v>6</v>
      </c>
      <c r="C144" s="9" t="n">
        <f aca="false">MONTH(A144)</f>
        <v>7</v>
      </c>
      <c r="D144" s="9" t="n">
        <f aca="false">YEAR(A144)</f>
        <v>2024</v>
      </c>
      <c r="E144" s="9" t="n">
        <f aca="false">WEEKDAY(A144,2)</f>
        <v>6</v>
      </c>
      <c r="F144" s="10" t="n">
        <f aca="false">WEEKNUM(A144,2) - WEEKNUM(DATE(YEAR(A144),MONTH(A144),1),2) + 1</f>
        <v>1</v>
      </c>
      <c r="G144" s="10"/>
      <c r="H144" s="30" t="n">
        <v>2500</v>
      </c>
      <c r="I144" s="31" t="s">
        <v>15</v>
      </c>
      <c r="J144" s="31" t="s">
        <v>32</v>
      </c>
      <c r="K144" s="12"/>
      <c r="L144" s="9"/>
      <c r="M144" s="10" t="str">
        <f aca="false">VLOOKUP(J144,RECATALOGANDO!A:C,2,0)</f>
        <v>TRANSFERENCIA ENTRE CUENTAS</v>
      </c>
      <c r="N144" s="12" t="str">
        <f aca="false">VLOOKUP(M144,RECATALOGANDO!B:C,2,0)</f>
        <v>TRANSFERENCIAS</v>
      </c>
      <c r="O144" s="2" t="s">
        <v>31</v>
      </c>
    </row>
    <row r="145" customFormat="false" ht="13.8" hidden="false" customHeight="false" outlineLevel="0" collapsed="false">
      <c r="A145" s="29" t="n">
        <v>45505</v>
      </c>
      <c r="B145" s="9" t="n">
        <f aca="false">DAY(A145)</f>
        <v>1</v>
      </c>
      <c r="C145" s="9" t="n">
        <f aca="false">MONTH(A145)</f>
        <v>8</v>
      </c>
      <c r="D145" s="9" t="n">
        <f aca="false">YEAR(A145)</f>
        <v>2024</v>
      </c>
      <c r="E145" s="9" t="n">
        <f aca="false">WEEKDAY(A145,2)</f>
        <v>4</v>
      </c>
      <c r="F145" s="10" t="n">
        <f aca="false">WEEKNUM(A145,2) - WEEKNUM(DATE(YEAR(A145),MONTH(A145),1),2) + 1</f>
        <v>1</v>
      </c>
      <c r="G145" s="10"/>
      <c r="H145" s="30" t="n">
        <v>500</v>
      </c>
      <c r="I145" s="31" t="s">
        <v>20</v>
      </c>
      <c r="J145" s="31" t="s">
        <v>33</v>
      </c>
      <c r="K145" s="12"/>
      <c r="L145" s="9"/>
      <c r="M145" s="10" t="str">
        <f aca="false">VLOOKUP(J145,RECATALOGANDO!A:C,2,0)</f>
        <v>TRANSFERENCIA FAMILIAR</v>
      </c>
      <c r="N145" s="12" t="str">
        <f aca="false">VLOOKUP(M145,RECATALOGANDO!B:C,2,0)</f>
        <v>TRANSFERENCIAS</v>
      </c>
      <c r="O145" s="2" t="s">
        <v>31</v>
      </c>
    </row>
    <row r="146" customFormat="false" ht="13.8" hidden="false" customHeight="false" outlineLevel="0" collapsed="false">
      <c r="A146" s="29" t="n">
        <v>45505</v>
      </c>
      <c r="B146" s="9" t="n">
        <f aca="false">DAY(A146)</f>
        <v>1</v>
      </c>
      <c r="C146" s="9" t="n">
        <f aca="false">MONTH(A146)</f>
        <v>8</v>
      </c>
      <c r="D146" s="9" t="n">
        <f aca="false">YEAR(A146)</f>
        <v>2024</v>
      </c>
      <c r="E146" s="9" t="n">
        <f aca="false">WEEKDAY(A146,2)</f>
        <v>4</v>
      </c>
      <c r="F146" s="10" t="n">
        <f aca="false">WEEKNUM(A146,2) - WEEKNUM(DATE(YEAR(A146),MONTH(A146),1),2) + 1</f>
        <v>1</v>
      </c>
      <c r="G146" s="10"/>
      <c r="H146" s="30" t="n">
        <v>500</v>
      </c>
      <c r="I146" s="31" t="s">
        <v>20</v>
      </c>
      <c r="J146" s="31" t="s">
        <v>33</v>
      </c>
      <c r="K146" s="12"/>
      <c r="L146" s="9"/>
      <c r="M146" s="10" t="str">
        <f aca="false">VLOOKUP(J146,RECATALOGANDO!A:C,2,0)</f>
        <v>TRANSFERENCIA FAMILIAR</v>
      </c>
      <c r="N146" s="12" t="str">
        <f aca="false">VLOOKUP(M146,RECATALOGANDO!B:C,2,0)</f>
        <v>TRANSFERENCIAS</v>
      </c>
      <c r="O146" s="2" t="s">
        <v>31</v>
      </c>
    </row>
    <row r="147" customFormat="false" ht="13.8" hidden="false" customHeight="false" outlineLevel="0" collapsed="false">
      <c r="A147" s="35" t="n">
        <v>45505</v>
      </c>
      <c r="B147" s="9" t="n">
        <f aca="false">DAY(A147)</f>
        <v>1</v>
      </c>
      <c r="C147" s="9" t="n">
        <f aca="false">MONTH(A147)</f>
        <v>8</v>
      </c>
      <c r="D147" s="9" t="n">
        <f aca="false">YEAR(A147)</f>
        <v>2024</v>
      </c>
      <c r="E147" s="9" t="n">
        <f aca="false">WEEKDAY(A147,2)</f>
        <v>4</v>
      </c>
      <c r="F147" s="10" t="n">
        <f aca="false">WEEKNUM(A147,2) - WEEKNUM(DATE(YEAR(A147),MONTH(A147),1),2) + 1</f>
        <v>1</v>
      </c>
      <c r="G147" s="10"/>
      <c r="H147" s="36" t="n">
        <v>900</v>
      </c>
      <c r="I147" s="37" t="s">
        <v>20</v>
      </c>
      <c r="J147" s="37" t="s">
        <v>35</v>
      </c>
      <c r="K147" s="12"/>
      <c r="L147" s="9"/>
      <c r="M147" s="10" t="str">
        <f aca="false">VLOOKUP(J147,RECATALOGANDO!A:C,2,0)</f>
        <v>TRANSFERENCIA ENTRE CUENTAS</v>
      </c>
      <c r="N147" s="12" t="str">
        <f aca="false">VLOOKUP(M147,RECATALOGANDO!B:C,2,0)</f>
        <v>TRANSFERENCIAS</v>
      </c>
      <c r="O147" s="2" t="s">
        <v>31</v>
      </c>
    </row>
    <row r="148" customFormat="false" ht="13.8" hidden="false" customHeight="false" outlineLevel="0" collapsed="false">
      <c r="A148" s="35" t="n">
        <v>45505</v>
      </c>
      <c r="B148" s="9" t="n">
        <f aca="false">DAY(A148)</f>
        <v>1</v>
      </c>
      <c r="C148" s="9" t="n">
        <f aca="false">MONTH(A148)</f>
        <v>8</v>
      </c>
      <c r="D148" s="9" t="n">
        <f aca="false">YEAR(A148)</f>
        <v>2024</v>
      </c>
      <c r="E148" s="9" t="n">
        <f aca="false">WEEKDAY(A148,2)</f>
        <v>4</v>
      </c>
      <c r="F148" s="10" t="n">
        <f aca="false">WEEKNUM(A148,2) - WEEKNUM(DATE(YEAR(A148),MONTH(A148),1),2) + 1</f>
        <v>1</v>
      </c>
      <c r="G148" s="10"/>
      <c r="H148" s="36" t="n">
        <v>900</v>
      </c>
      <c r="I148" s="37" t="s">
        <v>20</v>
      </c>
      <c r="J148" s="37" t="s">
        <v>35</v>
      </c>
      <c r="K148" s="12"/>
      <c r="L148" s="9"/>
      <c r="M148" s="10" t="str">
        <f aca="false">VLOOKUP(J148,RECATALOGANDO!A:C,2,0)</f>
        <v>TRANSFERENCIA ENTRE CUENTAS</v>
      </c>
      <c r="N148" s="12" t="str">
        <f aca="false">VLOOKUP(M148,RECATALOGANDO!B:C,2,0)</f>
        <v>TRANSFERENCIAS</v>
      </c>
      <c r="O148" s="2" t="s">
        <v>31</v>
      </c>
    </row>
    <row r="149" customFormat="false" ht="13.8" hidden="false" customHeight="false" outlineLevel="0" collapsed="false">
      <c r="A149" s="8" t="n">
        <v>45506</v>
      </c>
      <c r="B149" s="9" t="n">
        <f aca="false">DAY(A149)</f>
        <v>2</v>
      </c>
      <c r="C149" s="9" t="n">
        <f aca="false">MONTH(A149)</f>
        <v>8</v>
      </c>
      <c r="D149" s="9" t="n">
        <f aca="false">YEAR(A149)</f>
        <v>2024</v>
      </c>
      <c r="E149" s="9" t="n">
        <f aca="false">WEEKDAY(A149,2)</f>
        <v>5</v>
      </c>
      <c r="F149" s="10" t="n">
        <f aca="false">WEEKNUM(A149,2) - WEEKNUM(DATE(YEAR(A149),MONTH(A149),1),2) + 1</f>
        <v>1</v>
      </c>
      <c r="G149" s="10"/>
      <c r="H149" s="11" t="n">
        <v>300</v>
      </c>
      <c r="I149" s="12" t="s">
        <v>20</v>
      </c>
      <c r="J149" s="12" t="s">
        <v>35</v>
      </c>
      <c r="K149" s="12"/>
      <c r="L149" s="9"/>
      <c r="M149" s="10" t="str">
        <f aca="false">VLOOKUP(J149,RECATALOGANDO!A:C,2,0)</f>
        <v>TRANSFERENCIA ENTRE CUENTAS</v>
      </c>
      <c r="N149" s="12" t="str">
        <f aca="false">VLOOKUP(M149,RECATALOGANDO!B:C,2,0)</f>
        <v>TRANSFERENCIAS</v>
      </c>
      <c r="O149" s="2" t="s">
        <v>31</v>
      </c>
    </row>
    <row r="150" customFormat="false" ht="13.8" hidden="false" customHeight="false" outlineLevel="0" collapsed="false">
      <c r="A150" s="35" t="n">
        <v>45506</v>
      </c>
      <c r="B150" s="9" t="n">
        <f aca="false">DAY(A150)</f>
        <v>2</v>
      </c>
      <c r="C150" s="9" t="n">
        <f aca="false">MONTH(A150)</f>
        <v>8</v>
      </c>
      <c r="D150" s="9" t="n">
        <f aca="false">YEAR(A150)</f>
        <v>2024</v>
      </c>
      <c r="E150" s="9" t="n">
        <f aca="false">WEEKDAY(A150,2)</f>
        <v>5</v>
      </c>
      <c r="F150" s="10" t="n">
        <f aca="false">WEEKNUM(A150,2) - WEEKNUM(DATE(YEAR(A150),MONTH(A150),1),2) + 1</f>
        <v>1</v>
      </c>
      <c r="G150" s="10"/>
      <c r="H150" s="36" t="n">
        <v>300</v>
      </c>
      <c r="I150" s="37" t="s">
        <v>20</v>
      </c>
      <c r="J150" s="37" t="s">
        <v>35</v>
      </c>
      <c r="K150" s="12"/>
      <c r="L150" s="9"/>
      <c r="M150" s="10" t="str">
        <f aca="false">VLOOKUP(J150,RECATALOGANDO!A:C,2,0)</f>
        <v>TRANSFERENCIA ENTRE CUENTAS</v>
      </c>
      <c r="N150" s="12" t="str">
        <f aca="false">VLOOKUP(M150,RECATALOGANDO!B:C,2,0)</f>
        <v>TRANSFERENCIAS</v>
      </c>
      <c r="O150" s="2" t="s">
        <v>31</v>
      </c>
    </row>
    <row r="151" customFormat="false" ht="13.8" hidden="false" customHeight="false" outlineLevel="0" collapsed="false">
      <c r="A151" s="8" t="n">
        <v>45506</v>
      </c>
      <c r="B151" s="9" t="n">
        <f aca="false">DAY(A151)</f>
        <v>2</v>
      </c>
      <c r="C151" s="9" t="n">
        <f aca="false">MONTH(A151)</f>
        <v>8</v>
      </c>
      <c r="D151" s="9" t="n">
        <f aca="false">YEAR(A151)</f>
        <v>2024</v>
      </c>
      <c r="E151" s="9" t="n">
        <f aca="false">WEEKDAY(A151,2)</f>
        <v>5</v>
      </c>
      <c r="F151" s="10" t="n">
        <f aca="false">WEEKNUM(A151,2) - WEEKNUM(DATE(YEAR(A151),MONTH(A151),1),2) + 1</f>
        <v>1</v>
      </c>
      <c r="G151" s="10"/>
      <c r="H151" s="11" t="n">
        <v>644</v>
      </c>
      <c r="I151" s="12" t="s">
        <v>15</v>
      </c>
      <c r="J151" s="22" t="s">
        <v>35</v>
      </c>
      <c r="K151" s="12"/>
      <c r="L151" s="9"/>
      <c r="M151" s="10" t="str">
        <f aca="false">VLOOKUP(J151,RECATALOGANDO!A:C,2,0)</f>
        <v>TRANSFERENCIA ENTRE CUENTAS</v>
      </c>
      <c r="N151" s="12" t="str">
        <f aca="false">VLOOKUP(M151,RECATALOGANDO!B:C,2,0)</f>
        <v>TRANSFERENCIAS</v>
      </c>
      <c r="O151" s="2" t="s">
        <v>31</v>
      </c>
    </row>
    <row r="152" customFormat="false" ht="13.8" hidden="false" customHeight="false" outlineLevel="0" collapsed="false">
      <c r="A152" s="35" t="n">
        <v>45506</v>
      </c>
      <c r="B152" s="9" t="n">
        <f aca="false">DAY(A152)</f>
        <v>2</v>
      </c>
      <c r="C152" s="9" t="n">
        <f aca="false">MONTH(A152)</f>
        <v>8</v>
      </c>
      <c r="D152" s="9" t="n">
        <f aca="false">YEAR(A152)</f>
        <v>2024</v>
      </c>
      <c r="E152" s="9" t="n">
        <f aca="false">WEEKDAY(A152,2)</f>
        <v>5</v>
      </c>
      <c r="F152" s="10" t="n">
        <f aca="false">WEEKNUM(A152,2) - WEEKNUM(DATE(YEAR(A152),MONTH(A152),1),2) + 1</f>
        <v>1</v>
      </c>
      <c r="G152" s="10"/>
      <c r="H152" s="36" t="n">
        <v>644</v>
      </c>
      <c r="I152" s="37" t="s">
        <v>15</v>
      </c>
      <c r="J152" s="37" t="s">
        <v>35</v>
      </c>
      <c r="K152" s="12"/>
      <c r="L152" s="9"/>
      <c r="M152" s="10" t="str">
        <f aca="false">VLOOKUP(J152,RECATALOGANDO!A:C,2,0)</f>
        <v>TRANSFERENCIA ENTRE CUENTAS</v>
      </c>
      <c r="N152" s="12" t="str">
        <f aca="false">VLOOKUP(M152,RECATALOGANDO!B:C,2,0)</f>
        <v>TRANSFERENCIAS</v>
      </c>
      <c r="O152" s="2" t="s">
        <v>31</v>
      </c>
    </row>
    <row r="153" customFormat="false" ht="13.8" hidden="false" customHeight="false" outlineLevel="0" collapsed="false">
      <c r="A153" s="35" t="n">
        <v>45506</v>
      </c>
      <c r="B153" s="9" t="n">
        <f aca="false">DAY(A153)</f>
        <v>2</v>
      </c>
      <c r="C153" s="9" t="n">
        <f aca="false">MONTH(A153)</f>
        <v>8</v>
      </c>
      <c r="D153" s="9" t="n">
        <f aca="false">YEAR(A153)</f>
        <v>2024</v>
      </c>
      <c r="E153" s="9" t="n">
        <f aca="false">WEEKDAY(A153,2)</f>
        <v>5</v>
      </c>
      <c r="F153" s="10" t="n">
        <f aca="false">WEEKNUM(A153,2) - WEEKNUM(DATE(YEAR(A153),MONTH(A153),1),2) + 1</f>
        <v>1</v>
      </c>
      <c r="G153" s="10"/>
      <c r="H153" s="36" t="n">
        <v>2600</v>
      </c>
      <c r="I153" s="37" t="s">
        <v>15</v>
      </c>
      <c r="J153" s="37" t="s">
        <v>35</v>
      </c>
      <c r="K153" s="12"/>
      <c r="L153" s="9"/>
      <c r="M153" s="10" t="str">
        <f aca="false">VLOOKUP(J153,RECATALOGANDO!A:C,2,0)</f>
        <v>TRANSFERENCIA ENTRE CUENTAS</v>
      </c>
      <c r="N153" s="12" t="str">
        <f aca="false">VLOOKUP(M153,RECATALOGANDO!B:C,2,0)</f>
        <v>TRANSFERENCIAS</v>
      </c>
      <c r="O153" s="2" t="s">
        <v>31</v>
      </c>
    </row>
    <row r="154" customFormat="false" ht="13.8" hidden="false" customHeight="false" outlineLevel="0" collapsed="false">
      <c r="A154" s="35" t="n">
        <v>45506</v>
      </c>
      <c r="B154" s="9" t="n">
        <f aca="false">DAY(A154)</f>
        <v>2</v>
      </c>
      <c r="C154" s="9" t="n">
        <f aca="false">MONTH(A154)</f>
        <v>8</v>
      </c>
      <c r="D154" s="9" t="n">
        <f aca="false">YEAR(A154)</f>
        <v>2024</v>
      </c>
      <c r="E154" s="9" t="n">
        <f aca="false">WEEKDAY(A154,2)</f>
        <v>5</v>
      </c>
      <c r="F154" s="10" t="n">
        <f aca="false">WEEKNUM(A154,2) - WEEKNUM(DATE(YEAR(A154),MONTH(A154),1),2) + 1</f>
        <v>1</v>
      </c>
      <c r="G154" s="10"/>
      <c r="H154" s="36" t="n">
        <v>2600</v>
      </c>
      <c r="I154" s="37" t="s">
        <v>15</v>
      </c>
      <c r="J154" s="37" t="s">
        <v>35</v>
      </c>
      <c r="K154" s="12"/>
      <c r="L154" s="9"/>
      <c r="M154" s="10" t="str">
        <f aca="false">VLOOKUP(J154,RECATALOGANDO!A:C,2,0)</f>
        <v>TRANSFERENCIA ENTRE CUENTAS</v>
      </c>
      <c r="N154" s="12" t="str">
        <f aca="false">VLOOKUP(M154,RECATALOGANDO!B:C,2,0)</f>
        <v>TRANSFERENCIAS</v>
      </c>
      <c r="O154" s="2" t="s">
        <v>31</v>
      </c>
    </row>
    <row r="155" customFormat="false" ht="13.8" hidden="false" customHeight="false" outlineLevel="0" collapsed="false">
      <c r="A155" s="8" t="n">
        <v>45509</v>
      </c>
      <c r="B155" s="9" t="n">
        <f aca="false">DAY(A155)</f>
        <v>5</v>
      </c>
      <c r="C155" s="9" t="n">
        <f aca="false">MONTH(A155)</f>
        <v>8</v>
      </c>
      <c r="D155" s="9" t="n">
        <f aca="false">YEAR(A155)</f>
        <v>2024</v>
      </c>
      <c r="E155" s="9" t="n">
        <f aca="false">WEEKDAY(A155,2)</f>
        <v>1</v>
      </c>
      <c r="F155" s="10" t="n">
        <f aca="false">WEEKNUM(A155,2) - WEEKNUM(DATE(YEAR(A155),MONTH(A155),1),2) + 1</f>
        <v>2</v>
      </c>
      <c r="G155" s="10"/>
      <c r="H155" s="11" t="n">
        <v>1000</v>
      </c>
      <c r="I155" s="12" t="s">
        <v>20</v>
      </c>
      <c r="J155" s="12" t="s">
        <v>35</v>
      </c>
      <c r="K155" s="12"/>
      <c r="L155" s="9"/>
      <c r="M155" s="10" t="str">
        <f aca="false">VLOOKUP(J155,RECATALOGANDO!A:C,2,0)</f>
        <v>TRANSFERENCIA ENTRE CUENTAS</v>
      </c>
      <c r="N155" s="12" t="str">
        <f aca="false">VLOOKUP(M155,RECATALOGANDO!B:C,2,0)</f>
        <v>TRANSFERENCIAS</v>
      </c>
      <c r="O155" s="2" t="s">
        <v>31</v>
      </c>
    </row>
    <row r="156" customFormat="false" ht="13.8" hidden="false" customHeight="false" outlineLevel="0" collapsed="false">
      <c r="A156" s="35" t="n">
        <v>45509</v>
      </c>
      <c r="B156" s="9" t="n">
        <f aca="false">DAY(A156)</f>
        <v>5</v>
      </c>
      <c r="C156" s="9" t="n">
        <f aca="false">MONTH(A156)</f>
        <v>8</v>
      </c>
      <c r="D156" s="9" t="n">
        <f aca="false">YEAR(A156)</f>
        <v>2024</v>
      </c>
      <c r="E156" s="9" t="n">
        <f aca="false">WEEKDAY(A156,2)</f>
        <v>1</v>
      </c>
      <c r="F156" s="10" t="n">
        <f aca="false">WEEKNUM(A156,2) - WEEKNUM(DATE(YEAR(A156),MONTH(A156),1),2) + 1</f>
        <v>2</v>
      </c>
      <c r="G156" s="10"/>
      <c r="H156" s="36" t="n">
        <v>1000</v>
      </c>
      <c r="I156" s="37" t="s">
        <v>20</v>
      </c>
      <c r="J156" s="37" t="s">
        <v>35</v>
      </c>
      <c r="K156" s="12"/>
      <c r="L156" s="9"/>
      <c r="M156" s="10" t="str">
        <f aca="false">VLOOKUP(J156,RECATALOGANDO!A:C,2,0)</f>
        <v>TRANSFERENCIA ENTRE CUENTAS</v>
      </c>
      <c r="N156" s="12" t="str">
        <f aca="false">VLOOKUP(M156,RECATALOGANDO!B:C,2,0)</f>
        <v>TRANSFERENCIAS</v>
      </c>
      <c r="O156" s="2" t="s">
        <v>31</v>
      </c>
    </row>
    <row r="157" customFormat="false" ht="13.8" hidden="false" customHeight="false" outlineLevel="0" collapsed="false">
      <c r="A157" s="35" t="n">
        <v>45518</v>
      </c>
      <c r="B157" s="9" t="n">
        <f aca="false">DAY(A157)</f>
        <v>14</v>
      </c>
      <c r="C157" s="9" t="n">
        <f aca="false">MONTH(A157)</f>
        <v>8</v>
      </c>
      <c r="D157" s="9" t="n">
        <f aca="false">YEAR(A157)</f>
        <v>2024</v>
      </c>
      <c r="E157" s="9" t="n">
        <f aca="false">WEEKDAY(A157,2)</f>
        <v>3</v>
      </c>
      <c r="F157" s="10" t="n">
        <f aca="false">WEEKNUM(A157,2) - WEEKNUM(DATE(YEAR(A157),MONTH(A157),1),2) + 1</f>
        <v>3</v>
      </c>
      <c r="G157" s="10"/>
      <c r="H157" s="36" t="n">
        <v>180</v>
      </c>
      <c r="I157" s="37" t="s">
        <v>20</v>
      </c>
      <c r="J157" s="37" t="s">
        <v>35</v>
      </c>
      <c r="K157" s="12"/>
      <c r="L157" s="9"/>
      <c r="M157" s="10" t="str">
        <f aca="false">VLOOKUP(J157,RECATALOGANDO!A:C,2,0)</f>
        <v>TRANSFERENCIA ENTRE CUENTAS</v>
      </c>
      <c r="N157" s="12" t="str">
        <f aca="false">VLOOKUP(M157,RECATALOGANDO!B:C,2,0)</f>
        <v>TRANSFERENCIAS</v>
      </c>
      <c r="O157" s="2" t="s">
        <v>31</v>
      </c>
    </row>
    <row r="158" customFormat="false" ht="13.8" hidden="false" customHeight="false" outlineLevel="0" collapsed="false">
      <c r="A158" s="8" t="n">
        <v>45522</v>
      </c>
      <c r="B158" s="9" t="n">
        <f aca="false">DAY(A158)</f>
        <v>18</v>
      </c>
      <c r="C158" s="9" t="n">
        <f aca="false">MONTH(A158)</f>
        <v>8</v>
      </c>
      <c r="D158" s="9" t="n">
        <f aca="false">YEAR(A158)</f>
        <v>2024</v>
      </c>
      <c r="E158" s="9" t="n">
        <f aca="false">WEEKDAY(A158,2)</f>
        <v>7</v>
      </c>
      <c r="F158" s="10" t="n">
        <f aca="false">WEEKNUM(A158,2) - WEEKNUM(DATE(YEAR(A158),MONTH(A158),1),2) + 1</f>
        <v>3</v>
      </c>
      <c r="G158" s="10"/>
      <c r="H158" s="11" t="n">
        <v>835</v>
      </c>
      <c r="I158" s="12" t="s">
        <v>15</v>
      </c>
      <c r="J158" s="12" t="s">
        <v>35</v>
      </c>
      <c r="K158" s="12"/>
      <c r="L158" s="9"/>
      <c r="M158" s="10" t="str">
        <f aca="false">VLOOKUP(J158,RECATALOGANDO!A:C,2,0)</f>
        <v>TRANSFERENCIA ENTRE CUENTAS</v>
      </c>
      <c r="N158" s="12" t="str">
        <f aca="false">VLOOKUP(M158,RECATALOGANDO!B:C,2,0)</f>
        <v>TRANSFERENCIAS</v>
      </c>
      <c r="O158" s="2" t="s">
        <v>31</v>
      </c>
    </row>
    <row r="159" customFormat="false" ht="13.8" hidden="false" customHeight="false" outlineLevel="0" collapsed="false">
      <c r="A159" s="35" t="n">
        <v>45522</v>
      </c>
      <c r="B159" s="9" t="n">
        <f aca="false">DAY(A159)</f>
        <v>18</v>
      </c>
      <c r="C159" s="9" t="n">
        <f aca="false">MONTH(A159)</f>
        <v>8</v>
      </c>
      <c r="D159" s="9" t="n">
        <f aca="false">YEAR(A159)</f>
        <v>2024</v>
      </c>
      <c r="E159" s="9" t="n">
        <f aca="false">WEEKDAY(A159,2)</f>
        <v>7</v>
      </c>
      <c r="F159" s="10" t="n">
        <f aca="false">WEEKNUM(A159,2) - WEEKNUM(DATE(YEAR(A159),MONTH(A159),1),2) + 1</f>
        <v>3</v>
      </c>
      <c r="G159" s="10"/>
      <c r="H159" s="36" t="n">
        <v>835</v>
      </c>
      <c r="I159" s="37" t="s">
        <v>15</v>
      </c>
      <c r="J159" s="37" t="s">
        <v>35</v>
      </c>
      <c r="K159" s="12"/>
      <c r="L159" s="9"/>
      <c r="M159" s="10" t="str">
        <f aca="false">VLOOKUP(J159,RECATALOGANDO!A:C,2,0)</f>
        <v>TRANSFERENCIA ENTRE CUENTAS</v>
      </c>
      <c r="N159" s="12" t="str">
        <f aca="false">VLOOKUP(M159,RECATALOGANDO!B:C,2,0)</f>
        <v>TRANSFERENCIAS</v>
      </c>
      <c r="O159" s="2" t="s">
        <v>31</v>
      </c>
    </row>
    <row r="160" customFormat="false" ht="13.8" hidden="false" customHeight="false" outlineLevel="0" collapsed="false">
      <c r="A160" s="35" t="n">
        <v>45558</v>
      </c>
      <c r="B160" s="9" t="n">
        <f aca="false">DAY(A160)</f>
        <v>23</v>
      </c>
      <c r="C160" s="9" t="n">
        <f aca="false">MONTH(A160)</f>
        <v>9</v>
      </c>
      <c r="D160" s="9" t="n">
        <f aca="false">YEAR(A160)</f>
        <v>2024</v>
      </c>
      <c r="E160" s="9" t="n">
        <f aca="false">WEEKDAY(A160,2)</f>
        <v>1</v>
      </c>
      <c r="F160" s="10" t="n">
        <f aca="false">WEEKNUM(A160,2) - WEEKNUM(DATE(YEAR(A160),MONTH(A160),1),2) + 1</f>
        <v>5</v>
      </c>
      <c r="G160" s="10"/>
      <c r="H160" s="36" t="n">
        <v>563.16</v>
      </c>
      <c r="I160" s="37" t="s">
        <v>20</v>
      </c>
      <c r="J160" s="37" t="s">
        <v>33</v>
      </c>
      <c r="K160" s="12"/>
      <c r="L160" s="9"/>
      <c r="M160" s="10" t="str">
        <f aca="false">VLOOKUP(J160,RECATALOGANDO!A:C,2,0)</f>
        <v>TRANSFERENCIA FAMILIAR</v>
      </c>
      <c r="N160" s="12" t="str">
        <f aca="false">VLOOKUP(M160,RECATALOGANDO!B:C,2,0)</f>
        <v>TRANSFERENCIAS</v>
      </c>
      <c r="O160" s="2" t="s">
        <v>31</v>
      </c>
    </row>
    <row r="161" customFormat="false" ht="13.8" hidden="false" customHeight="false" outlineLevel="0" collapsed="false">
      <c r="A161" s="35" t="n">
        <v>45572</v>
      </c>
      <c r="B161" s="9" t="n">
        <f aca="false">DAY(A161)</f>
        <v>7</v>
      </c>
      <c r="C161" s="9" t="n">
        <f aca="false">MONTH(A161)</f>
        <v>10</v>
      </c>
      <c r="D161" s="9" t="n">
        <f aca="false">YEAR(A161)</f>
        <v>2024</v>
      </c>
      <c r="E161" s="9" t="n">
        <f aca="false">WEEKDAY(A161,2)</f>
        <v>1</v>
      </c>
      <c r="F161" s="10" t="n">
        <f aca="false">WEEKNUM(A161,2) - WEEKNUM(DATE(YEAR(A161),MONTH(A161),1),2) + 1</f>
        <v>2</v>
      </c>
      <c r="G161" s="10"/>
      <c r="H161" s="36" t="n">
        <v>250</v>
      </c>
      <c r="I161" s="37" t="s">
        <v>20</v>
      </c>
      <c r="J161" s="37" t="s">
        <v>36</v>
      </c>
      <c r="K161" s="12"/>
      <c r="L161" s="9"/>
      <c r="M161" s="10" t="str">
        <f aca="false">VLOOKUP(J161,RECATALOGANDO!A:C,2,0)</f>
        <v>TRANSFERENCIA FAMILIAR</v>
      </c>
      <c r="N161" s="12" t="str">
        <f aca="false">VLOOKUP(M161,RECATALOGANDO!B:C,2,0)</f>
        <v>TRANSFERENCIAS</v>
      </c>
      <c r="O161" s="2" t="s">
        <v>31</v>
      </c>
    </row>
    <row r="162" customFormat="false" ht="13.8" hidden="false" customHeight="false" outlineLevel="0" collapsed="false">
      <c r="A162" s="29" t="n">
        <v>45589</v>
      </c>
      <c r="B162" s="9" t="n">
        <f aca="false">DAY(A162)</f>
        <v>24</v>
      </c>
      <c r="C162" s="9" t="n">
        <f aca="false">MONTH(A162)</f>
        <v>10</v>
      </c>
      <c r="D162" s="9" t="n">
        <f aca="false">YEAR(A162)</f>
        <v>2024</v>
      </c>
      <c r="E162" s="9" t="n">
        <f aca="false">WEEKDAY(A162,2)</f>
        <v>4</v>
      </c>
      <c r="F162" s="10" t="n">
        <f aca="false">WEEKNUM(A162,2) - WEEKNUM(DATE(YEAR(A162),MONTH(A162),1),2) + 1</f>
        <v>4</v>
      </c>
      <c r="G162" s="10"/>
      <c r="H162" s="30" t="n">
        <v>700</v>
      </c>
      <c r="I162" s="31" t="s">
        <v>20</v>
      </c>
      <c r="J162" s="31" t="s">
        <v>35</v>
      </c>
      <c r="K162" s="12"/>
      <c r="L162" s="9"/>
      <c r="M162" s="10" t="str">
        <f aca="false">VLOOKUP(J162,RECATALOGANDO!A:C,2,0)</f>
        <v>TRANSFERENCIA ENTRE CUENTAS</v>
      </c>
      <c r="N162" s="12" t="str">
        <f aca="false">VLOOKUP(M162,RECATALOGANDO!B:C,2,0)</f>
        <v>TRANSFERENCIAS</v>
      </c>
      <c r="O162" s="2" t="s">
        <v>31</v>
      </c>
    </row>
    <row r="163" customFormat="false" ht="13.8" hidden="false" customHeight="false" outlineLevel="0" collapsed="false">
      <c r="A163" s="29" t="n">
        <v>45611</v>
      </c>
      <c r="B163" s="9" t="n">
        <f aca="false">DAY(A163)</f>
        <v>15</v>
      </c>
      <c r="C163" s="9" t="n">
        <f aca="false">MONTH(A163)</f>
        <v>11</v>
      </c>
      <c r="D163" s="9" t="n">
        <f aca="false">YEAR(A163)</f>
        <v>2024</v>
      </c>
      <c r="E163" s="9" t="n">
        <f aca="false">WEEKDAY(A163,2)</f>
        <v>5</v>
      </c>
      <c r="F163" s="10" t="n">
        <f aca="false">WEEKNUM(A163,2) - WEEKNUM(DATE(YEAR(A163),MONTH(A163),1),2) + 1</f>
        <v>3</v>
      </c>
      <c r="G163" s="10" t="n">
        <v>1</v>
      </c>
      <c r="H163" s="30" t="n">
        <v>2000</v>
      </c>
      <c r="I163" s="31" t="s">
        <v>20</v>
      </c>
      <c r="J163" s="31" t="s">
        <v>32</v>
      </c>
      <c r="K163" s="12"/>
      <c r="L163" s="9"/>
      <c r="M163" s="10" t="str">
        <f aca="false">VLOOKUP(J163,RECATALOGANDO!A:C,2,0)</f>
        <v>TRANSFERENCIA ENTRE CUENTAS</v>
      </c>
      <c r="N163" s="12" t="str">
        <f aca="false">VLOOKUP(M163,RECATALOGANDO!B:C,2,0)</f>
        <v>TRANSFERENCIAS</v>
      </c>
      <c r="O163" s="2" t="s">
        <v>31</v>
      </c>
    </row>
    <row r="164" customFormat="false" ht="13.8" hidden="false" customHeight="false" outlineLevel="0" collapsed="false">
      <c r="A164" s="29" t="n">
        <v>45614</v>
      </c>
      <c r="B164" s="9" t="n">
        <f aca="false">DAY(A164)</f>
        <v>18</v>
      </c>
      <c r="C164" s="9" t="n">
        <f aca="false">MONTH(A164)</f>
        <v>11</v>
      </c>
      <c r="D164" s="9" t="n">
        <f aca="false">YEAR(A164)</f>
        <v>2024</v>
      </c>
      <c r="E164" s="9" t="n">
        <f aca="false">WEEKDAY(A164,2)</f>
        <v>1</v>
      </c>
      <c r="F164" s="10" t="n">
        <f aca="false">WEEKNUM(A164,2) - WEEKNUM(DATE(YEAR(A164),MONTH(A164),1),2) + 1</f>
        <v>4</v>
      </c>
      <c r="G164" s="10"/>
      <c r="H164" s="30" t="n">
        <v>500</v>
      </c>
      <c r="I164" s="31" t="s">
        <v>15</v>
      </c>
      <c r="J164" s="31" t="s">
        <v>32</v>
      </c>
      <c r="K164" s="12"/>
      <c r="L164" s="9"/>
      <c r="M164" s="10" t="str">
        <f aca="false">VLOOKUP(J164,RECATALOGANDO!A:C,2,0)</f>
        <v>TRANSFERENCIA ENTRE CUENTAS</v>
      </c>
      <c r="N164" s="12" t="str">
        <f aca="false">VLOOKUP(M164,RECATALOGANDO!B:C,2,0)</f>
        <v>TRANSFERENCIAS</v>
      </c>
      <c r="O164" s="2" t="s">
        <v>31</v>
      </c>
    </row>
    <row r="165" customFormat="false" ht="13.8" hidden="false" customHeight="false" outlineLevel="0" collapsed="false">
      <c r="A165" s="29" t="n">
        <v>45618</v>
      </c>
      <c r="B165" s="9" t="n">
        <f aca="false">DAY(A165)</f>
        <v>22</v>
      </c>
      <c r="C165" s="9" t="n">
        <f aca="false">MONTH(A165)</f>
        <v>11</v>
      </c>
      <c r="D165" s="9" t="n">
        <f aca="false">YEAR(A165)</f>
        <v>2024</v>
      </c>
      <c r="E165" s="9" t="n">
        <f aca="false">WEEKDAY(A165,2)</f>
        <v>5</v>
      </c>
      <c r="F165" s="10" t="n">
        <f aca="false">WEEKNUM(A165,2) - WEEKNUM(DATE(YEAR(A165),MONTH(A165),1),2) + 1</f>
        <v>4</v>
      </c>
      <c r="G165" s="10"/>
      <c r="H165" s="30" t="n">
        <v>1500</v>
      </c>
      <c r="I165" s="31" t="s">
        <v>20</v>
      </c>
      <c r="J165" s="31" t="s">
        <v>32</v>
      </c>
      <c r="K165" s="12"/>
      <c r="L165" s="9"/>
      <c r="M165" s="10" t="str">
        <f aca="false">VLOOKUP(J165,RECATALOGANDO!A:C,2,0)</f>
        <v>TRANSFERENCIA ENTRE CUENTAS</v>
      </c>
      <c r="N165" s="12" t="str">
        <f aca="false">VLOOKUP(M165,RECATALOGANDO!B:C,2,0)</f>
        <v>TRANSFERENCIAS</v>
      </c>
      <c r="O165" s="2" t="s">
        <v>31</v>
      </c>
    </row>
    <row r="166" customFormat="false" ht="13.8" hidden="false" customHeight="false" outlineLevel="0" collapsed="false">
      <c r="A166" s="8" t="n">
        <v>45628</v>
      </c>
      <c r="B166" s="9" t="n">
        <f aca="false">DAY(A166)</f>
        <v>2</v>
      </c>
      <c r="C166" s="9" t="n">
        <f aca="false">MONTH(A166)</f>
        <v>12</v>
      </c>
      <c r="D166" s="9" t="n">
        <f aca="false">YEAR(A166)</f>
        <v>2024</v>
      </c>
      <c r="E166" s="9" t="n">
        <f aca="false">WEEKDAY(A166,2)</f>
        <v>1</v>
      </c>
      <c r="F166" s="10" t="n">
        <f aca="false">WEEKNUM(A166,2) - WEEKNUM(DATE(YEAR(A166),MONTH(A166),1),2) + 1</f>
        <v>2</v>
      </c>
      <c r="G166" s="10"/>
      <c r="H166" s="11" t="n">
        <v>520</v>
      </c>
      <c r="I166" s="12" t="s">
        <v>20</v>
      </c>
      <c r="J166" s="12" t="s">
        <v>32</v>
      </c>
      <c r="K166" s="12"/>
      <c r="L166" s="9"/>
      <c r="M166" s="10" t="str">
        <f aca="false">VLOOKUP(J166,RECATALOGANDO!A:C,2,0)</f>
        <v>TRANSFERENCIA ENTRE CUENTAS</v>
      </c>
      <c r="N166" s="12" t="str">
        <f aca="false">VLOOKUP(M166,RECATALOGANDO!B:C,2,0)</f>
        <v>TRANSFERENCIAS</v>
      </c>
      <c r="O166" s="2" t="s">
        <v>31</v>
      </c>
    </row>
    <row r="167" customFormat="false" ht="13.8" hidden="false" customHeight="false" outlineLevel="0" collapsed="false">
      <c r="A167" s="8" t="n">
        <v>45630</v>
      </c>
      <c r="B167" s="9" t="n">
        <f aca="false">DAY(A167)</f>
        <v>4</v>
      </c>
      <c r="C167" s="9" t="n">
        <f aca="false">MONTH(A167)</f>
        <v>12</v>
      </c>
      <c r="D167" s="9" t="n">
        <f aca="false">YEAR(A167)</f>
        <v>2024</v>
      </c>
      <c r="E167" s="9" t="n">
        <f aca="false">WEEKDAY(A167,2)</f>
        <v>3</v>
      </c>
      <c r="F167" s="10" t="n">
        <f aca="false">WEEKNUM(A167,2) - WEEKNUM(DATE(YEAR(A167),MONTH(A167),1),2) + 1</f>
        <v>2</v>
      </c>
      <c r="G167" s="10"/>
      <c r="H167" s="11" t="n">
        <v>700</v>
      </c>
      <c r="I167" s="12" t="s">
        <v>20</v>
      </c>
      <c r="J167" s="12" t="s">
        <v>32</v>
      </c>
      <c r="K167" s="12"/>
      <c r="L167" s="9"/>
      <c r="M167" s="10" t="str">
        <f aca="false">VLOOKUP(J167,RECATALOGANDO!A:C,2,0)</f>
        <v>TRANSFERENCIA ENTRE CUENTAS</v>
      </c>
      <c r="N167" s="12" t="str">
        <f aca="false">VLOOKUP(M167,RECATALOGANDO!B:C,2,0)</f>
        <v>TRANSFERENCIAS</v>
      </c>
      <c r="O167" s="2" t="s">
        <v>31</v>
      </c>
    </row>
    <row r="168" customFormat="false" ht="13.8" hidden="false" customHeight="false" outlineLevel="0" collapsed="false">
      <c r="A168" s="8" t="n">
        <v>45649</v>
      </c>
      <c r="B168" s="9" t="n">
        <f aca="false">DAY(A168)</f>
        <v>23</v>
      </c>
      <c r="C168" s="9" t="n">
        <f aca="false">MONTH(A168)</f>
        <v>12</v>
      </c>
      <c r="D168" s="9" t="n">
        <f aca="false">YEAR(A168)</f>
        <v>2024</v>
      </c>
      <c r="E168" s="9" t="n">
        <f aca="false">WEEKDAY(A168,2)</f>
        <v>1</v>
      </c>
      <c r="F168" s="10" t="n">
        <f aca="false">WEEKNUM(A168,2) - WEEKNUM(DATE(YEAR(A168),MONTH(A168),1),2) + 1</f>
        <v>5</v>
      </c>
      <c r="G168" s="10"/>
      <c r="H168" s="30" t="n">
        <v>2000</v>
      </c>
      <c r="I168" s="31" t="s">
        <v>20</v>
      </c>
      <c r="J168" s="31" t="s">
        <v>32</v>
      </c>
      <c r="K168" s="12"/>
      <c r="L168" s="9"/>
      <c r="M168" s="10" t="str">
        <f aca="false">VLOOKUP(J168,RECATALOGANDO!A:C,2,0)</f>
        <v>TRANSFERENCIA ENTRE CUENTAS</v>
      </c>
      <c r="N168" s="12" t="str">
        <f aca="false">VLOOKUP(M168,RECATALOGANDO!B:C,2,0)</f>
        <v>TRANSFERENCIAS</v>
      </c>
      <c r="O168" s="2" t="s">
        <v>31</v>
      </c>
    </row>
    <row r="169" customFormat="false" ht="13.8" hidden="false" customHeight="false" outlineLevel="0" collapsed="false">
      <c r="A169" s="8" t="n">
        <v>45663</v>
      </c>
      <c r="B169" s="9" t="n">
        <f aca="false">DAY(A169)</f>
        <v>6</v>
      </c>
      <c r="C169" s="9" t="n">
        <f aca="false">MONTH(A169)</f>
        <v>1</v>
      </c>
      <c r="D169" s="9" t="n">
        <f aca="false">YEAR(A169)</f>
        <v>2025</v>
      </c>
      <c r="E169" s="9" t="n">
        <f aca="false">WEEKDAY(A169,2)</f>
        <v>1</v>
      </c>
      <c r="F169" s="10" t="n">
        <f aca="false">WEEKNUM(A169,2) - WEEKNUM(DATE(YEAR(A169),MONTH(A169),1),2) + 1</f>
        <v>2</v>
      </c>
      <c r="G169" s="10"/>
      <c r="H169" s="11" t="n">
        <v>2300</v>
      </c>
      <c r="I169" s="12" t="s">
        <v>20</v>
      </c>
      <c r="J169" s="12" t="s">
        <v>33</v>
      </c>
      <c r="K169" s="12"/>
      <c r="L169" s="9"/>
      <c r="M169" s="10" t="str">
        <f aca="false">VLOOKUP(J169,RECATALOGANDO!A:C,2,0)</f>
        <v>TRANSFERENCIA FAMILIAR</v>
      </c>
      <c r="N169" s="12" t="str">
        <f aca="false">VLOOKUP(M169,RECATALOGANDO!B:C,2,0)</f>
        <v>TRANSFERENCIAS</v>
      </c>
      <c r="O169" s="2" t="s">
        <v>31</v>
      </c>
    </row>
    <row r="170" customFormat="false" ht="13.8" hidden="false" customHeight="false" outlineLevel="0" collapsed="false">
      <c r="A170" s="8" t="n">
        <v>45663</v>
      </c>
      <c r="B170" s="9" t="n">
        <f aca="false">DAY(A170)</f>
        <v>6</v>
      </c>
      <c r="C170" s="9" t="n">
        <f aca="false">MONTH(A170)</f>
        <v>1</v>
      </c>
      <c r="D170" s="9" t="n">
        <f aca="false">YEAR(A170)</f>
        <v>2025</v>
      </c>
      <c r="E170" s="9" t="n">
        <f aca="false">WEEKDAY(A170,2)</f>
        <v>1</v>
      </c>
      <c r="F170" s="10" t="n">
        <f aca="false">WEEKNUM(A170,2) - WEEKNUM(DATE(YEAR(A170),MONTH(A170),1),2) + 1</f>
        <v>2</v>
      </c>
      <c r="G170" s="10"/>
      <c r="H170" s="11" t="n">
        <v>2500</v>
      </c>
      <c r="I170" s="12" t="s">
        <v>20</v>
      </c>
      <c r="J170" s="12" t="s">
        <v>33</v>
      </c>
      <c r="K170" s="12"/>
      <c r="L170" s="9"/>
      <c r="M170" s="10" t="str">
        <f aca="false">VLOOKUP(J170,RECATALOGANDO!A:C,2,0)</f>
        <v>TRANSFERENCIA FAMILIAR</v>
      </c>
      <c r="N170" s="12" t="str">
        <f aca="false">VLOOKUP(M170,RECATALOGANDO!B:C,2,0)</f>
        <v>TRANSFERENCIAS</v>
      </c>
      <c r="O170" s="2" t="s">
        <v>31</v>
      </c>
    </row>
    <row r="171" customFormat="false" ht="13.8" hidden="false" customHeight="false" outlineLevel="0" collapsed="false">
      <c r="A171" s="8" t="n">
        <v>45663</v>
      </c>
      <c r="B171" s="9" t="n">
        <f aca="false">DAY(A171)</f>
        <v>6</v>
      </c>
      <c r="C171" s="9" t="n">
        <f aca="false">MONTH(A171)</f>
        <v>1</v>
      </c>
      <c r="D171" s="9" t="n">
        <f aca="false">YEAR(A171)</f>
        <v>2025</v>
      </c>
      <c r="E171" s="9" t="n">
        <f aca="false">WEEKDAY(A171,2)</f>
        <v>1</v>
      </c>
      <c r="F171" s="10" t="n">
        <f aca="false">WEEKNUM(A171,2) - WEEKNUM(DATE(YEAR(A171),MONTH(A171),1),2) + 1</f>
        <v>2</v>
      </c>
      <c r="G171" s="10"/>
      <c r="H171" s="11" t="n">
        <v>5900</v>
      </c>
      <c r="I171" s="12" t="s">
        <v>20</v>
      </c>
      <c r="J171" s="12" t="s">
        <v>33</v>
      </c>
      <c r="K171" s="12"/>
      <c r="L171" s="9"/>
      <c r="M171" s="10" t="str">
        <f aca="false">VLOOKUP(J171,RECATALOGANDO!A:C,2,0)</f>
        <v>TRANSFERENCIA FAMILIAR</v>
      </c>
      <c r="N171" s="12" t="str">
        <f aca="false">VLOOKUP(M171,RECATALOGANDO!B:C,2,0)</f>
        <v>TRANSFERENCIAS</v>
      </c>
      <c r="O171" s="2" t="s">
        <v>31</v>
      </c>
    </row>
    <row r="172" customFormat="false" ht="13.8" hidden="false" customHeight="false" outlineLevel="0" collapsed="false">
      <c r="A172" s="8" t="n">
        <v>45664</v>
      </c>
      <c r="B172" s="9" t="n">
        <f aca="false">DAY(A172)</f>
        <v>7</v>
      </c>
      <c r="C172" s="9" t="n">
        <f aca="false">MONTH(A172)</f>
        <v>1</v>
      </c>
      <c r="D172" s="9" t="n">
        <f aca="false">YEAR(A172)</f>
        <v>2025</v>
      </c>
      <c r="E172" s="9" t="n">
        <f aca="false">WEEKDAY(A172,2)</f>
        <v>2</v>
      </c>
      <c r="F172" s="10" t="n">
        <f aca="false">WEEKNUM(A172,2) - WEEKNUM(DATE(YEAR(A172),MONTH(A172),1),2) + 1</f>
        <v>2</v>
      </c>
      <c r="G172" s="10"/>
      <c r="H172" s="11" t="n">
        <v>600</v>
      </c>
      <c r="I172" s="12" t="s">
        <v>20</v>
      </c>
      <c r="J172" s="12" t="s">
        <v>32</v>
      </c>
      <c r="K172" s="12"/>
      <c r="L172" s="9"/>
      <c r="M172" s="10" t="str">
        <f aca="false">VLOOKUP(J172,RECATALOGANDO!A:C,2,0)</f>
        <v>TRANSFERENCIA ENTRE CUENTAS</v>
      </c>
      <c r="N172" s="12" t="str">
        <f aca="false">VLOOKUP(M172,RECATALOGANDO!B:C,2,0)</f>
        <v>TRANSFERENCIAS</v>
      </c>
      <c r="O172" s="2" t="s">
        <v>31</v>
      </c>
    </row>
    <row r="173" customFormat="false" ht="13.8" hidden="false" customHeight="false" outlineLevel="0" collapsed="false">
      <c r="A173" s="8" t="n">
        <v>45670</v>
      </c>
      <c r="B173" s="9" t="n">
        <f aca="false">DAY(A173)</f>
        <v>13</v>
      </c>
      <c r="C173" s="9" t="n">
        <f aca="false">MONTH(A173)</f>
        <v>1</v>
      </c>
      <c r="D173" s="9" t="n">
        <f aca="false">YEAR(A173)</f>
        <v>2025</v>
      </c>
      <c r="E173" s="9" t="n">
        <f aca="false">WEEKDAY(A173,2)</f>
        <v>1</v>
      </c>
      <c r="F173" s="10" t="n">
        <f aca="false">WEEKNUM(A173,2) - WEEKNUM(DATE(YEAR(A173),MONTH(A173),1),2) + 1</f>
        <v>3</v>
      </c>
      <c r="G173" s="10"/>
      <c r="H173" s="11" t="n">
        <v>2622</v>
      </c>
      <c r="I173" s="12" t="s">
        <v>20</v>
      </c>
      <c r="J173" s="12" t="s">
        <v>33</v>
      </c>
      <c r="K173" s="12"/>
      <c r="L173" s="9"/>
      <c r="M173" s="10" t="str">
        <f aca="false">VLOOKUP(J173,RECATALOGANDO!A:C,2,0)</f>
        <v>TRANSFERENCIA FAMILIAR</v>
      </c>
      <c r="N173" s="12" t="str">
        <f aca="false">VLOOKUP(M173,RECATALOGANDO!B:C,2,0)</f>
        <v>TRANSFERENCIAS</v>
      </c>
      <c r="O173" s="2" t="s">
        <v>31</v>
      </c>
    </row>
    <row r="174" customFormat="false" ht="13.8" hidden="false" customHeight="false" outlineLevel="0" collapsed="false">
      <c r="A174" s="35" t="n">
        <v>45689</v>
      </c>
      <c r="B174" s="9" t="n">
        <f aca="false">DAY(A174)</f>
        <v>1</v>
      </c>
      <c r="C174" s="9" t="n">
        <f aca="false">MONTH(A174)</f>
        <v>2</v>
      </c>
      <c r="D174" s="9" t="n">
        <f aca="false">YEAR(A174)</f>
        <v>2025</v>
      </c>
      <c r="E174" s="9" t="n">
        <f aca="false">WEEKDAY(A174,2)</f>
        <v>6</v>
      </c>
      <c r="F174" s="10" t="n">
        <f aca="false">WEEKNUM(A174,2) - WEEKNUM(DATE(YEAR(A174),MONTH(A174),1),2) + 1</f>
        <v>1</v>
      </c>
      <c r="G174" s="10"/>
      <c r="H174" s="36" t="n">
        <v>345</v>
      </c>
      <c r="I174" s="37" t="s">
        <v>20</v>
      </c>
      <c r="J174" s="37" t="s">
        <v>35</v>
      </c>
      <c r="K174" s="12"/>
      <c r="L174" s="9"/>
      <c r="M174" s="10" t="str">
        <f aca="false">VLOOKUP(J174,RECATALOGANDO!A:C,2,0)</f>
        <v>TRANSFERENCIA ENTRE CUENTAS</v>
      </c>
      <c r="N174" s="12" t="str">
        <f aca="false">VLOOKUP(M174,RECATALOGANDO!B:C,2,0)</f>
        <v>TRANSFERENCIAS</v>
      </c>
      <c r="O174" s="2" t="s">
        <v>31</v>
      </c>
    </row>
    <row r="175" customFormat="false" ht="13.8" hidden="false" customHeight="false" outlineLevel="0" collapsed="false">
      <c r="A175" s="35" t="n">
        <v>45692</v>
      </c>
      <c r="B175" s="9" t="n">
        <f aca="false">DAY(A175)</f>
        <v>4</v>
      </c>
      <c r="C175" s="9" t="n">
        <f aca="false">MONTH(A175)</f>
        <v>2</v>
      </c>
      <c r="D175" s="9" t="n">
        <f aca="false">YEAR(A175)</f>
        <v>2025</v>
      </c>
      <c r="E175" s="9" t="n">
        <f aca="false">WEEKDAY(A175,2)</f>
        <v>2</v>
      </c>
      <c r="F175" s="10" t="n">
        <f aca="false">WEEKNUM(A175,2) - WEEKNUM(DATE(YEAR(A175),MONTH(A175),1),2) + 1</f>
        <v>2</v>
      </c>
      <c r="G175" s="10"/>
      <c r="H175" s="36" t="n">
        <v>2000</v>
      </c>
      <c r="I175" s="37" t="s">
        <v>20</v>
      </c>
      <c r="J175" s="37" t="s">
        <v>35</v>
      </c>
      <c r="K175" s="12"/>
      <c r="L175" s="9"/>
      <c r="M175" s="10" t="str">
        <f aca="false">VLOOKUP(J175,RECATALOGANDO!A:C,2,0)</f>
        <v>TRANSFERENCIA ENTRE CUENTAS</v>
      </c>
      <c r="N175" s="12" t="str">
        <f aca="false">VLOOKUP(M175,RECATALOGANDO!B:C,2,0)</f>
        <v>TRANSFERENCIAS</v>
      </c>
      <c r="O175" s="2" t="s">
        <v>31</v>
      </c>
    </row>
    <row r="176" customFormat="false" ht="13.8" hidden="false" customHeight="false" outlineLevel="0" collapsed="false">
      <c r="A176" s="35" t="n">
        <v>45702</v>
      </c>
      <c r="B176" s="9" t="n">
        <f aca="false">DAY(A176)</f>
        <v>14</v>
      </c>
      <c r="C176" s="9" t="n">
        <f aca="false">MONTH(A176)</f>
        <v>2</v>
      </c>
      <c r="D176" s="9" t="n">
        <f aca="false">YEAR(A176)</f>
        <v>2025</v>
      </c>
      <c r="E176" s="9" t="n">
        <f aca="false">WEEKDAY(A176,2)</f>
        <v>5</v>
      </c>
      <c r="F176" s="10" t="n">
        <f aca="false">WEEKNUM(A176,2) - WEEKNUM(DATE(YEAR(A176),MONTH(A176),1),2) + 1</f>
        <v>3</v>
      </c>
      <c r="G176" s="10" t="n">
        <v>1</v>
      </c>
      <c r="H176" s="36" t="n">
        <v>1000</v>
      </c>
      <c r="I176" s="37" t="s">
        <v>15</v>
      </c>
      <c r="J176" s="37" t="s">
        <v>35</v>
      </c>
      <c r="K176" s="12"/>
      <c r="L176" s="9"/>
      <c r="M176" s="10" t="str">
        <f aca="false">VLOOKUP(J176,RECATALOGANDO!A:C,2,0)</f>
        <v>TRANSFERENCIA ENTRE CUENTAS</v>
      </c>
      <c r="N176" s="12" t="str">
        <f aca="false">VLOOKUP(M176,RECATALOGANDO!B:C,2,0)</f>
        <v>TRANSFERENCIAS</v>
      </c>
      <c r="O176" s="2" t="s">
        <v>31</v>
      </c>
    </row>
    <row r="177" customFormat="false" ht="13.8" hidden="false" customHeight="false" outlineLevel="0" collapsed="false">
      <c r="A177" s="8" t="n">
        <v>45703</v>
      </c>
      <c r="B177" s="9" t="n">
        <f aca="false">DAY(A177)</f>
        <v>15</v>
      </c>
      <c r="C177" s="9" t="n">
        <f aca="false">MONTH(A177)</f>
        <v>2</v>
      </c>
      <c r="D177" s="9" t="n">
        <f aca="false">YEAR(A177)</f>
        <v>2025</v>
      </c>
      <c r="E177" s="9" t="n">
        <f aca="false">WEEKDAY(A177,2)</f>
        <v>6</v>
      </c>
      <c r="F177" s="10" t="n">
        <f aca="false">WEEKNUM(A177,2) - WEEKNUM(DATE(YEAR(A177),MONTH(A177),1),2) + 1</f>
        <v>3</v>
      </c>
      <c r="G177" s="10"/>
      <c r="H177" s="11" t="n">
        <v>800</v>
      </c>
      <c r="I177" s="12" t="s">
        <v>15</v>
      </c>
      <c r="J177" s="12" t="s">
        <v>35</v>
      </c>
      <c r="K177" s="12"/>
      <c r="L177" s="9"/>
      <c r="M177" s="10" t="str">
        <f aca="false">VLOOKUP(J177,RECATALOGANDO!A:C,2,0)</f>
        <v>TRANSFERENCIA ENTRE CUENTAS</v>
      </c>
      <c r="N177" s="12" t="str">
        <f aca="false">VLOOKUP(M177,RECATALOGANDO!B:C,2,0)</f>
        <v>TRANSFERENCIAS</v>
      </c>
      <c r="O177" s="2" t="s">
        <v>31</v>
      </c>
    </row>
    <row r="178" customFormat="false" ht="13.8" hidden="false" customHeight="false" outlineLevel="0" collapsed="false">
      <c r="A178" s="35" t="n">
        <v>45705</v>
      </c>
      <c r="B178" s="9" t="n">
        <f aca="false">DAY(A178)</f>
        <v>17</v>
      </c>
      <c r="C178" s="9" t="n">
        <f aca="false">MONTH(A178)</f>
        <v>2</v>
      </c>
      <c r="D178" s="9" t="n">
        <f aca="false">YEAR(A178)</f>
        <v>2025</v>
      </c>
      <c r="E178" s="9" t="n">
        <f aca="false">WEEKDAY(A178,2)</f>
        <v>1</v>
      </c>
      <c r="F178" s="10" t="n">
        <f aca="false">WEEKNUM(A178,2) - WEEKNUM(DATE(YEAR(A178),MONTH(A178),1),2) + 1</f>
        <v>4</v>
      </c>
      <c r="G178" s="10"/>
      <c r="H178" s="36" t="n">
        <v>8000</v>
      </c>
      <c r="I178" s="37" t="s">
        <v>15</v>
      </c>
      <c r="J178" s="37" t="s">
        <v>35</v>
      </c>
      <c r="K178" s="12"/>
      <c r="L178" s="9"/>
      <c r="M178" s="10" t="str">
        <f aca="false">VLOOKUP(J178,RECATALOGANDO!A:C,2,0)</f>
        <v>TRANSFERENCIA ENTRE CUENTAS</v>
      </c>
      <c r="N178" s="12" t="str">
        <f aca="false">VLOOKUP(M178,RECATALOGANDO!B:C,2,0)</f>
        <v>TRANSFERENCIAS</v>
      </c>
      <c r="O178" s="2" t="s">
        <v>31</v>
      </c>
    </row>
    <row r="179" customFormat="false" ht="13.8" hidden="false" customHeight="false" outlineLevel="0" collapsed="false">
      <c r="A179" s="35" t="n">
        <v>45706</v>
      </c>
      <c r="B179" s="9" t="n">
        <f aca="false">DAY(A179)</f>
        <v>18</v>
      </c>
      <c r="C179" s="9" t="n">
        <f aca="false">MONTH(A179)</f>
        <v>2</v>
      </c>
      <c r="D179" s="9" t="n">
        <f aca="false">YEAR(A179)</f>
        <v>2025</v>
      </c>
      <c r="E179" s="9" t="n">
        <f aca="false">WEEKDAY(A179,2)</f>
        <v>2</v>
      </c>
      <c r="F179" s="10" t="n">
        <f aca="false">WEEKNUM(A179,2) - WEEKNUM(DATE(YEAR(A179),MONTH(A179),1),2) + 1</f>
        <v>4</v>
      </c>
      <c r="G179" s="10"/>
      <c r="H179" s="36" t="n">
        <v>10000</v>
      </c>
      <c r="I179" s="37" t="s">
        <v>15</v>
      </c>
      <c r="J179" s="37" t="s">
        <v>35</v>
      </c>
      <c r="K179" s="12"/>
      <c r="L179" s="9"/>
      <c r="M179" s="10" t="str">
        <f aca="false">VLOOKUP(J179,RECATALOGANDO!A:C,2,0)</f>
        <v>TRANSFERENCIA ENTRE CUENTAS</v>
      </c>
      <c r="N179" s="12" t="str">
        <f aca="false">VLOOKUP(M179,RECATALOGANDO!B:C,2,0)</f>
        <v>TRANSFERENCIAS</v>
      </c>
      <c r="O179" s="2" t="s">
        <v>31</v>
      </c>
    </row>
    <row r="180" customFormat="false" ht="13.8" hidden="false" customHeight="false" outlineLevel="0" collapsed="false">
      <c r="A180" s="35" t="n">
        <v>45712</v>
      </c>
      <c r="B180" s="9" t="n">
        <f aca="false">DAY(A180)</f>
        <v>24</v>
      </c>
      <c r="C180" s="9" t="n">
        <f aca="false">MONTH(A180)</f>
        <v>2</v>
      </c>
      <c r="D180" s="9" t="n">
        <f aca="false">YEAR(A180)</f>
        <v>2025</v>
      </c>
      <c r="E180" s="9" t="n">
        <f aca="false">WEEKDAY(A180,2)</f>
        <v>1</v>
      </c>
      <c r="F180" s="10" t="n">
        <f aca="false">WEEKNUM(A180,2) - WEEKNUM(DATE(YEAR(A180),MONTH(A180),1),2) + 1</f>
        <v>5</v>
      </c>
      <c r="G180" s="10"/>
      <c r="H180" s="36" t="n">
        <v>500</v>
      </c>
      <c r="I180" s="37" t="s">
        <v>20</v>
      </c>
      <c r="J180" s="37" t="s">
        <v>35</v>
      </c>
      <c r="K180" s="12"/>
      <c r="L180" s="9"/>
      <c r="M180" s="10" t="str">
        <f aca="false">VLOOKUP(J180,RECATALOGANDO!A:C,2,0)</f>
        <v>TRANSFERENCIA ENTRE CUENTAS</v>
      </c>
      <c r="N180" s="12" t="str">
        <f aca="false">VLOOKUP(M180,RECATALOGANDO!B:C,2,0)</f>
        <v>TRANSFERENCIAS</v>
      </c>
      <c r="O180" s="2" t="s">
        <v>31</v>
      </c>
    </row>
    <row r="181" customFormat="false" ht="13.8" hidden="false" customHeight="false" outlineLevel="0" collapsed="false">
      <c r="A181" s="29" t="n">
        <v>45719</v>
      </c>
      <c r="B181" s="9" t="n">
        <f aca="false">DAY(A181)</f>
        <v>3</v>
      </c>
      <c r="C181" s="9" t="n">
        <f aca="false">MONTH(A181)</f>
        <v>3</v>
      </c>
      <c r="D181" s="9" t="n">
        <f aca="false">YEAR(A181)</f>
        <v>2025</v>
      </c>
      <c r="E181" s="9" t="n">
        <f aca="false">WEEKDAY(A181,2)</f>
        <v>1</v>
      </c>
      <c r="F181" s="10" t="n">
        <f aca="false">WEEKNUM(A181,2) - WEEKNUM(DATE(YEAR(A181),MONTH(A181),1),2) + 1</f>
        <v>2</v>
      </c>
      <c r="G181" s="10"/>
      <c r="H181" s="30" t="n">
        <v>1900</v>
      </c>
      <c r="I181" s="31" t="s">
        <v>20</v>
      </c>
      <c r="J181" s="31" t="s">
        <v>32</v>
      </c>
      <c r="K181" s="12"/>
      <c r="L181" s="9"/>
      <c r="M181" s="10" t="str">
        <f aca="false">VLOOKUP(J181,RECATALOGANDO!A:C,2,0)</f>
        <v>TRANSFERENCIA ENTRE CUENTAS</v>
      </c>
      <c r="N181" s="12" t="str">
        <f aca="false">VLOOKUP(M181,RECATALOGANDO!B:C,2,0)</f>
        <v>TRANSFERENCIAS</v>
      </c>
      <c r="O181" s="2" t="s">
        <v>31</v>
      </c>
    </row>
    <row r="182" customFormat="false" ht="13.8" hidden="false" customHeight="false" outlineLevel="0" collapsed="false">
      <c r="A182" s="29" t="n">
        <v>45730</v>
      </c>
      <c r="B182" s="9" t="n">
        <f aca="false">DAY(A182)</f>
        <v>14</v>
      </c>
      <c r="C182" s="9" t="n">
        <f aca="false">MONTH(A182)</f>
        <v>3</v>
      </c>
      <c r="D182" s="9" t="n">
        <f aca="false">YEAR(A182)</f>
        <v>2025</v>
      </c>
      <c r="E182" s="9" t="n">
        <f aca="false">WEEKDAY(A182,2)</f>
        <v>5</v>
      </c>
      <c r="F182" s="10" t="n">
        <f aca="false">WEEKNUM(A182,2) - WEEKNUM(DATE(YEAR(A182),MONTH(A182),1),2) + 1</f>
        <v>3</v>
      </c>
      <c r="G182" s="10" t="n">
        <v>1</v>
      </c>
      <c r="H182" s="30" t="n">
        <v>5800</v>
      </c>
      <c r="I182" s="31" t="s">
        <v>15</v>
      </c>
      <c r="J182" s="31" t="s">
        <v>32</v>
      </c>
      <c r="K182" s="12"/>
      <c r="L182" s="9"/>
      <c r="M182" s="10" t="str">
        <f aca="false">VLOOKUP(J182,RECATALOGANDO!A:C,2,0)</f>
        <v>TRANSFERENCIA ENTRE CUENTAS</v>
      </c>
      <c r="N182" s="12" t="str">
        <f aca="false">VLOOKUP(M182,RECATALOGANDO!B:C,2,0)</f>
        <v>TRANSFERENCIAS</v>
      </c>
      <c r="O182" s="2" t="s">
        <v>31</v>
      </c>
    </row>
    <row r="183" customFormat="false" ht="13.8" hidden="false" customHeight="false" outlineLevel="0" collapsed="false">
      <c r="A183" s="29" t="n">
        <v>45735</v>
      </c>
      <c r="B183" s="9" t="n">
        <f aca="false">DAY(A183)</f>
        <v>19</v>
      </c>
      <c r="C183" s="9" t="n">
        <f aca="false">MONTH(A183)</f>
        <v>3</v>
      </c>
      <c r="D183" s="9" t="n">
        <f aca="false">YEAR(A183)</f>
        <v>2025</v>
      </c>
      <c r="E183" s="9" t="n">
        <f aca="false">WEEKDAY(A183,2)</f>
        <v>3</v>
      </c>
      <c r="F183" s="10" t="n">
        <f aca="false">WEEKNUM(A183,2) - WEEKNUM(DATE(YEAR(A183),MONTH(A183),1),2) + 1</f>
        <v>4</v>
      </c>
      <c r="G183" s="10"/>
      <c r="H183" s="30" t="n">
        <v>600</v>
      </c>
      <c r="I183" s="31" t="s">
        <v>20</v>
      </c>
      <c r="J183" s="31" t="s">
        <v>32</v>
      </c>
      <c r="K183" s="12"/>
      <c r="L183" s="9"/>
      <c r="M183" s="10" t="str">
        <f aca="false">VLOOKUP(J183,RECATALOGANDO!A:C,2,0)</f>
        <v>TRANSFERENCIA ENTRE CUENTAS</v>
      </c>
      <c r="N183" s="12" t="str">
        <f aca="false">VLOOKUP(M183,RECATALOGANDO!B:C,2,0)</f>
        <v>TRANSFERENCIAS</v>
      </c>
      <c r="O183" s="2" t="s">
        <v>31</v>
      </c>
    </row>
    <row r="184" customFormat="false" ht="13.8" hidden="false" customHeight="false" outlineLevel="0" collapsed="false">
      <c r="A184" s="35" t="n">
        <v>45737</v>
      </c>
      <c r="B184" s="9" t="n">
        <f aca="false">DAY(A184)</f>
        <v>21</v>
      </c>
      <c r="C184" s="9" t="n">
        <f aca="false">MONTH(A184)</f>
        <v>3</v>
      </c>
      <c r="D184" s="9" t="n">
        <f aca="false">YEAR(A184)</f>
        <v>2025</v>
      </c>
      <c r="E184" s="9" t="n">
        <f aca="false">WEEKDAY(A184,2)</f>
        <v>5</v>
      </c>
      <c r="F184" s="10" t="n">
        <f aca="false">WEEKNUM(A184,2) - WEEKNUM(DATE(YEAR(A184),MONTH(A184),1),2) + 1</f>
        <v>4</v>
      </c>
      <c r="G184" s="10"/>
      <c r="H184" s="36" t="n">
        <v>500</v>
      </c>
      <c r="I184" s="37" t="s">
        <v>15</v>
      </c>
      <c r="J184" s="37" t="s">
        <v>33</v>
      </c>
      <c r="K184" s="12"/>
      <c r="L184" s="9"/>
      <c r="M184" s="10" t="str">
        <f aca="false">VLOOKUP(J184,RECATALOGANDO!A:C,2,0)</f>
        <v>TRANSFERENCIA FAMILIAR</v>
      </c>
      <c r="N184" s="12" t="str">
        <f aca="false">VLOOKUP(M184,RECATALOGANDO!B:C,2,0)</f>
        <v>TRANSFERENCIAS</v>
      </c>
      <c r="O184" s="2" t="s">
        <v>31</v>
      </c>
    </row>
    <row r="185" customFormat="false" ht="13.8" hidden="false" customHeight="false" outlineLevel="0" collapsed="false">
      <c r="A185" s="29" t="n">
        <v>45740</v>
      </c>
      <c r="B185" s="9" t="n">
        <f aca="false">DAY(A185)</f>
        <v>24</v>
      </c>
      <c r="C185" s="9" t="n">
        <f aca="false">MONTH(A185)</f>
        <v>3</v>
      </c>
      <c r="D185" s="9" t="n">
        <f aca="false">YEAR(A185)</f>
        <v>2025</v>
      </c>
      <c r="E185" s="9" t="n">
        <f aca="false">WEEKDAY(A185,2)</f>
        <v>1</v>
      </c>
      <c r="F185" s="10" t="n">
        <f aca="false">WEEKNUM(A185,2) - WEEKNUM(DATE(YEAR(A185),MONTH(A185),1),2) + 1</f>
        <v>5</v>
      </c>
      <c r="G185" s="10"/>
      <c r="H185" s="30" t="n">
        <v>500</v>
      </c>
      <c r="I185" s="31" t="s">
        <v>20</v>
      </c>
      <c r="J185" s="31" t="s">
        <v>32</v>
      </c>
      <c r="K185" s="12"/>
      <c r="L185" s="9"/>
      <c r="M185" s="10" t="str">
        <f aca="false">VLOOKUP(J185,RECATALOGANDO!A:C,2,0)</f>
        <v>TRANSFERENCIA ENTRE CUENTAS</v>
      </c>
      <c r="N185" s="12" t="str">
        <f aca="false">VLOOKUP(M185,RECATALOGANDO!B:C,2,0)</f>
        <v>TRANSFERENCIAS</v>
      </c>
      <c r="O185" s="2" t="s">
        <v>31</v>
      </c>
    </row>
    <row r="186" customFormat="false" ht="13.8" hidden="false" customHeight="false" outlineLevel="0" collapsed="false">
      <c r="A186" s="29" t="n">
        <v>45744</v>
      </c>
      <c r="B186" s="9" t="n">
        <f aca="false">DAY(A186)</f>
        <v>28</v>
      </c>
      <c r="C186" s="9" t="n">
        <f aca="false">MONTH(A186)</f>
        <v>3</v>
      </c>
      <c r="D186" s="9" t="n">
        <f aca="false">YEAR(A186)</f>
        <v>2025</v>
      </c>
      <c r="E186" s="9" t="n">
        <f aca="false">WEEKDAY(A186,2)</f>
        <v>5</v>
      </c>
      <c r="F186" s="10" t="n">
        <f aca="false">WEEKNUM(A186,2) - WEEKNUM(DATE(YEAR(A186),MONTH(A186),1),2) + 1</f>
        <v>5</v>
      </c>
      <c r="G186" s="10" t="n">
        <v>2</v>
      </c>
      <c r="H186" s="30" t="n">
        <v>500</v>
      </c>
      <c r="I186" s="31" t="s">
        <v>20</v>
      </c>
      <c r="J186" s="31" t="s">
        <v>32</v>
      </c>
      <c r="K186" s="12"/>
      <c r="L186" s="9"/>
      <c r="M186" s="10" t="str">
        <f aca="false">VLOOKUP(J186,RECATALOGANDO!A:C,2,0)</f>
        <v>TRANSFERENCIA ENTRE CUENTAS</v>
      </c>
      <c r="N186" s="12" t="str">
        <f aca="false">VLOOKUP(M186,RECATALOGANDO!B:C,2,0)</f>
        <v>TRANSFERENCIAS</v>
      </c>
      <c r="O186" s="2" t="s">
        <v>31</v>
      </c>
    </row>
    <row r="187" customFormat="false" ht="13.8" hidden="false" customHeight="false" outlineLevel="0" collapsed="false">
      <c r="A187" s="29" t="n">
        <v>45758</v>
      </c>
      <c r="B187" s="9" t="n">
        <f aca="false">DAY(A187)</f>
        <v>11</v>
      </c>
      <c r="C187" s="9" t="n">
        <f aca="false">MONTH(A187)</f>
        <v>4</v>
      </c>
      <c r="D187" s="9" t="n">
        <f aca="false">YEAR(A187)</f>
        <v>2025</v>
      </c>
      <c r="E187" s="9" t="n">
        <f aca="false">WEEKDAY(A187,2)</f>
        <v>5</v>
      </c>
      <c r="F187" s="10" t="n">
        <f aca="false">WEEKNUM(A187,2) - WEEKNUM(DATE(YEAR(A187),MONTH(A187),1),2) + 1</f>
        <v>2</v>
      </c>
      <c r="G187" s="10"/>
      <c r="H187" s="30" t="n">
        <v>700</v>
      </c>
      <c r="I187" s="31" t="s">
        <v>20</v>
      </c>
      <c r="J187" s="31" t="s">
        <v>32</v>
      </c>
      <c r="K187" s="12"/>
      <c r="L187" s="9"/>
      <c r="M187" s="10" t="str">
        <f aca="false">VLOOKUP(J187,RECATALOGANDO!A:C,2,0)</f>
        <v>TRANSFERENCIA ENTRE CUENTAS</v>
      </c>
      <c r="N187" s="12" t="str">
        <f aca="false">VLOOKUP(M187,RECATALOGANDO!B:C,2,0)</f>
        <v>TRANSFERENCIAS</v>
      </c>
      <c r="O187" s="2" t="s">
        <v>31</v>
      </c>
    </row>
    <row r="188" customFormat="false" ht="13.8" hidden="false" customHeight="false" outlineLevel="0" collapsed="false">
      <c r="A188" s="29" t="n">
        <v>45782</v>
      </c>
      <c r="B188" s="9" t="n">
        <f aca="false">DAY(A188)</f>
        <v>5</v>
      </c>
      <c r="C188" s="9" t="n">
        <f aca="false">MONTH(A188)</f>
        <v>5</v>
      </c>
      <c r="D188" s="9" t="n">
        <f aca="false">YEAR(A188)</f>
        <v>2025</v>
      </c>
      <c r="E188" s="9" t="n">
        <f aca="false">WEEKDAY(A188,2)</f>
        <v>1</v>
      </c>
      <c r="F188" s="10" t="n">
        <f aca="false">WEEKNUM(A188,2) - WEEKNUM(DATE(YEAR(A188),MONTH(A188),1),2) + 1</f>
        <v>2</v>
      </c>
      <c r="G188" s="10"/>
      <c r="H188" s="30" t="n">
        <v>470</v>
      </c>
      <c r="I188" s="31" t="s">
        <v>15</v>
      </c>
      <c r="J188" s="31" t="s">
        <v>32</v>
      </c>
      <c r="K188" s="12"/>
      <c r="L188" s="9"/>
      <c r="M188" s="10" t="str">
        <f aca="false">VLOOKUP(J188,RECATALOGANDO!A:C,2,0)</f>
        <v>TRANSFERENCIA ENTRE CUENTAS</v>
      </c>
      <c r="N188" s="12" t="str">
        <f aca="false">VLOOKUP(M188,RECATALOGANDO!B:C,2,0)</f>
        <v>TRANSFERENCIAS</v>
      </c>
      <c r="O188" s="2" t="s">
        <v>31</v>
      </c>
    </row>
    <row r="189" customFormat="false" ht="13.8" hidden="false" customHeight="false" outlineLevel="0" collapsed="false">
      <c r="A189" s="29" t="n">
        <v>45796</v>
      </c>
      <c r="B189" s="9" t="n">
        <f aca="false">DAY(A189)</f>
        <v>19</v>
      </c>
      <c r="C189" s="9" t="n">
        <f aca="false">MONTH(A189)</f>
        <v>5</v>
      </c>
      <c r="D189" s="9" t="n">
        <f aca="false">YEAR(A189)</f>
        <v>2025</v>
      </c>
      <c r="E189" s="9" t="n">
        <f aca="false">WEEKDAY(A189,2)</f>
        <v>1</v>
      </c>
      <c r="F189" s="10" t="n">
        <f aca="false">WEEKNUM(A189,2) - WEEKNUM(DATE(YEAR(A189),MONTH(A189),1),2) + 1</f>
        <v>4</v>
      </c>
      <c r="G189" s="10"/>
      <c r="H189" s="30" t="n">
        <v>3540</v>
      </c>
      <c r="I189" s="31" t="s">
        <v>20</v>
      </c>
      <c r="J189" s="31" t="s">
        <v>32</v>
      </c>
      <c r="K189" s="12"/>
      <c r="L189" s="9"/>
      <c r="M189" s="10" t="str">
        <f aca="false">VLOOKUP(J189,RECATALOGANDO!A:C,2,0)</f>
        <v>TRANSFERENCIA ENTRE CUENTAS</v>
      </c>
      <c r="N189" s="12" t="str">
        <f aca="false">VLOOKUP(M189,RECATALOGANDO!B:C,2,0)</f>
        <v>TRANSFERENCIAS</v>
      </c>
      <c r="O189" s="2" t="s">
        <v>31</v>
      </c>
    </row>
    <row r="190" customFormat="false" ht="13.8" hidden="false" customHeight="false" outlineLevel="0" collapsed="false">
      <c r="A190" s="29" t="n">
        <v>45806</v>
      </c>
      <c r="B190" s="9" t="n">
        <f aca="false">DAY(A190)</f>
        <v>29</v>
      </c>
      <c r="C190" s="9" t="n">
        <f aca="false">MONTH(A190)</f>
        <v>5</v>
      </c>
      <c r="D190" s="9" t="n">
        <f aca="false">YEAR(A190)</f>
        <v>2025</v>
      </c>
      <c r="E190" s="9" t="n">
        <f aca="false">WEEKDAY(A190,2)</f>
        <v>4</v>
      </c>
      <c r="F190" s="10" t="n">
        <f aca="false">WEEKNUM(A190,2) - WEEKNUM(DATE(YEAR(A190),MONTH(A190),1),2) + 1</f>
        <v>5</v>
      </c>
      <c r="G190" s="10"/>
      <c r="H190" s="30" t="n">
        <v>2100</v>
      </c>
      <c r="I190" s="31" t="s">
        <v>20</v>
      </c>
      <c r="J190" s="31" t="s">
        <v>32</v>
      </c>
      <c r="K190" s="12"/>
      <c r="L190" s="9"/>
      <c r="M190" s="10" t="str">
        <f aca="false">VLOOKUP(J190,RECATALOGANDO!A:C,2,0)</f>
        <v>TRANSFERENCIA ENTRE CUENTAS</v>
      </c>
      <c r="N190" s="12" t="str">
        <f aca="false">VLOOKUP(M190,RECATALOGANDO!B:C,2,0)</f>
        <v>TRANSFERENCIAS</v>
      </c>
      <c r="O190" s="2" t="s">
        <v>31</v>
      </c>
    </row>
    <row r="191" customFormat="false" ht="13.8" hidden="false" customHeight="false" outlineLevel="0" collapsed="false">
      <c r="A191" s="29" t="n">
        <v>45807</v>
      </c>
      <c r="B191" s="9" t="n">
        <f aca="false">DAY(A191)</f>
        <v>30</v>
      </c>
      <c r="C191" s="9" t="n">
        <f aca="false">MONTH(A191)</f>
        <v>5</v>
      </c>
      <c r="D191" s="9" t="n">
        <f aca="false">YEAR(A191)</f>
        <v>2025</v>
      </c>
      <c r="E191" s="9" t="n">
        <f aca="false">WEEKDAY(A191,2)</f>
        <v>5</v>
      </c>
      <c r="F191" s="10" t="n">
        <f aca="false">WEEKNUM(A191,2) - WEEKNUM(DATE(YEAR(A191),MONTH(A191),1),2) + 1</f>
        <v>5</v>
      </c>
      <c r="G191" s="10" t="n">
        <v>2</v>
      </c>
      <c r="H191" s="30" t="n">
        <v>400</v>
      </c>
      <c r="I191" s="31" t="s">
        <v>20</v>
      </c>
      <c r="J191" s="31" t="s">
        <v>32</v>
      </c>
      <c r="K191" s="12"/>
      <c r="L191" s="9"/>
      <c r="M191" s="10" t="str">
        <f aca="false">VLOOKUP(J191,RECATALOGANDO!A:C,2,0)</f>
        <v>TRANSFERENCIA ENTRE CUENTAS</v>
      </c>
      <c r="N191" s="12" t="str">
        <f aca="false">VLOOKUP(M191,RECATALOGANDO!B:C,2,0)</f>
        <v>TRANSFERENCIAS</v>
      </c>
      <c r="O191" s="2" t="s">
        <v>31</v>
      </c>
    </row>
    <row r="192" customFormat="false" ht="13.8" hidden="false" customHeight="false" outlineLevel="0" collapsed="false">
      <c r="A192" s="8" t="n">
        <v>45814</v>
      </c>
      <c r="B192" s="9" t="n">
        <f aca="false">DAY(A192)</f>
        <v>6</v>
      </c>
      <c r="C192" s="9" t="n">
        <f aca="false">MONTH(A192)</f>
        <v>6</v>
      </c>
      <c r="D192" s="9" t="n">
        <f aca="false">YEAR(A192)</f>
        <v>2025</v>
      </c>
      <c r="E192" s="9" t="n">
        <f aca="false">WEEKDAY(A192,2)</f>
        <v>5</v>
      </c>
      <c r="F192" s="10" t="n">
        <f aca="false">WEEKNUM(A192,2) - WEEKNUM(DATE(YEAR(A192),MONTH(A192),1),2) + 1</f>
        <v>2</v>
      </c>
      <c r="G192" s="10"/>
      <c r="H192" s="11" t="n">
        <v>900</v>
      </c>
      <c r="I192" s="38" t="s">
        <v>15</v>
      </c>
      <c r="J192" s="38" t="s">
        <v>32</v>
      </c>
      <c r="K192" s="12"/>
      <c r="L192" s="9"/>
      <c r="M192" s="10" t="str">
        <f aca="false">VLOOKUP(J192,RECATALOGANDO!A:C,2,0)</f>
        <v>TRANSFERENCIA ENTRE CUENTAS</v>
      </c>
      <c r="N192" s="12" t="str">
        <f aca="false">VLOOKUP(M192,RECATALOGANDO!B:C,2,0)</f>
        <v>TRANSFERENCIAS</v>
      </c>
      <c r="O192" s="2" t="s">
        <v>31</v>
      </c>
    </row>
    <row r="193" customFormat="false" ht="13.8" hidden="false" customHeight="false" outlineLevel="0" collapsed="false">
      <c r="A193" s="8" t="n">
        <v>45817</v>
      </c>
      <c r="B193" s="9" t="n">
        <f aca="false">DAY(A193)</f>
        <v>9</v>
      </c>
      <c r="C193" s="9" t="n">
        <f aca="false">MONTH(A193)</f>
        <v>6</v>
      </c>
      <c r="D193" s="9" t="n">
        <f aca="false">YEAR(A193)</f>
        <v>2025</v>
      </c>
      <c r="E193" s="9" t="n">
        <f aca="false">WEEKDAY(A193,2)</f>
        <v>1</v>
      </c>
      <c r="F193" s="10" t="n">
        <f aca="false">WEEKNUM(A193,2) - WEEKNUM(DATE(YEAR(A193),MONTH(A193),1),2) + 1</f>
        <v>3</v>
      </c>
      <c r="G193" s="10"/>
      <c r="H193" s="11" t="n">
        <v>4395</v>
      </c>
      <c r="I193" s="38" t="s">
        <v>20</v>
      </c>
      <c r="J193" s="38" t="s">
        <v>37</v>
      </c>
      <c r="K193" s="12"/>
      <c r="L193" s="9"/>
      <c r="M193" s="10" t="str">
        <f aca="false">VLOOKUP(J193,RECATALOGANDO!A:C,2,0)</f>
        <v>TRANSFERENCIA FAMILIAR</v>
      </c>
      <c r="N193" s="12" t="str">
        <f aca="false">VLOOKUP(M193,RECATALOGANDO!B:C,2,0)</f>
        <v>TRANSFERENCIAS</v>
      </c>
      <c r="O193" s="2" t="s">
        <v>31</v>
      </c>
    </row>
    <row r="194" customFormat="false" ht="13.8" hidden="false" customHeight="false" outlineLevel="0" collapsed="false">
      <c r="A194" s="8" t="n">
        <v>45819</v>
      </c>
      <c r="B194" s="9" t="n">
        <f aca="false">DAY(A194)</f>
        <v>11</v>
      </c>
      <c r="C194" s="9" t="n">
        <f aca="false">MONTH(A194)</f>
        <v>6</v>
      </c>
      <c r="D194" s="9" t="n">
        <f aca="false">YEAR(A194)</f>
        <v>2025</v>
      </c>
      <c r="E194" s="9" t="n">
        <f aca="false">WEEKDAY(A194,2)</f>
        <v>3</v>
      </c>
      <c r="F194" s="10" t="n">
        <f aca="false">WEEKNUM(A194,2) - WEEKNUM(DATE(YEAR(A194),MONTH(A194),1),2) + 1</f>
        <v>3</v>
      </c>
      <c r="G194" s="10"/>
      <c r="H194" s="11" t="n">
        <v>385</v>
      </c>
      <c r="I194" s="38" t="s">
        <v>20</v>
      </c>
      <c r="J194" s="38" t="s">
        <v>32</v>
      </c>
      <c r="K194" s="12"/>
      <c r="L194" s="9"/>
      <c r="M194" s="10" t="str">
        <f aca="false">VLOOKUP(J194,RECATALOGANDO!A:C,2,0)</f>
        <v>TRANSFERENCIA ENTRE CUENTAS</v>
      </c>
      <c r="N194" s="12" t="str">
        <f aca="false">VLOOKUP(M194,RECATALOGANDO!B:C,2,0)</f>
        <v>TRANSFERENCIAS</v>
      </c>
      <c r="O194" s="2" t="s">
        <v>31</v>
      </c>
    </row>
    <row r="195" customFormat="false" ht="13.8" hidden="false" customHeight="false" outlineLevel="0" collapsed="false">
      <c r="A195" s="8" t="n">
        <v>45824</v>
      </c>
      <c r="B195" s="9" t="n">
        <f aca="false">DAY(A195)</f>
        <v>16</v>
      </c>
      <c r="C195" s="9" t="n">
        <f aca="false">MONTH(A195)</f>
        <v>6</v>
      </c>
      <c r="D195" s="9" t="n">
        <f aca="false">YEAR(A195)</f>
        <v>2025</v>
      </c>
      <c r="E195" s="9" t="n">
        <f aca="false">WEEKDAY(A195,2)</f>
        <v>1</v>
      </c>
      <c r="F195" s="10" t="n">
        <f aca="false">WEEKNUM(A195,2) - WEEKNUM(DATE(YEAR(A195),MONTH(A195),1),2) + 1</f>
        <v>4</v>
      </c>
      <c r="G195" s="10"/>
      <c r="H195" s="11" t="n">
        <v>2100</v>
      </c>
      <c r="I195" s="38" t="s">
        <v>15</v>
      </c>
      <c r="J195" s="38" t="s">
        <v>32</v>
      </c>
      <c r="K195" s="12"/>
      <c r="L195" s="9"/>
      <c r="M195" s="10" t="str">
        <f aca="false">VLOOKUP(J195,RECATALOGANDO!A:C,2,0)</f>
        <v>TRANSFERENCIA ENTRE CUENTAS</v>
      </c>
      <c r="N195" s="12" t="str">
        <f aca="false">VLOOKUP(M195,RECATALOGANDO!B:C,2,0)</f>
        <v>TRANSFERENCIAS</v>
      </c>
      <c r="O195" s="2" t="s">
        <v>31</v>
      </c>
    </row>
    <row r="196" customFormat="false" ht="13.8" hidden="false" customHeight="false" outlineLevel="0" collapsed="false">
      <c r="A196" s="8" t="n">
        <v>44927</v>
      </c>
      <c r="B196" s="9" t="n">
        <f aca="false">DAY(A196)</f>
        <v>1</v>
      </c>
      <c r="C196" s="9" t="n">
        <f aca="false">MONTH(A196)</f>
        <v>1</v>
      </c>
      <c r="D196" s="9" t="n">
        <f aca="false">YEAR(A196)</f>
        <v>2023</v>
      </c>
      <c r="E196" s="9" t="n">
        <f aca="false">WEEKDAY(A196,2)</f>
        <v>7</v>
      </c>
      <c r="F196" s="10" t="n">
        <f aca="false">WEEKNUM(A196,2) - WEEKNUM(DATE(YEAR(A196),MONTH(A196),1),2) + 1</f>
        <v>1</v>
      </c>
      <c r="G196" s="10"/>
      <c r="H196" s="11" t="n">
        <v>2754</v>
      </c>
      <c r="I196" s="12" t="s">
        <v>15</v>
      </c>
      <c r="J196" s="12" t="s">
        <v>38</v>
      </c>
      <c r="K196" s="12"/>
      <c r="L196" s="9" t="n">
        <f aca="false">H196</f>
        <v>2754</v>
      </c>
      <c r="M196" s="10" t="str">
        <f aca="false">VLOOKUP(J196,RECATALOGANDO!A:C,2,0)</f>
        <v>VENTA DE ALIMENTO</v>
      </c>
      <c r="N196" s="12" t="str">
        <f aca="false">VLOOKUP(M196,RECATALOGANDO!B:C,2,0)</f>
        <v>VENTA DE PRODUCTO</v>
      </c>
      <c r="O196" s="2" t="s">
        <v>78</v>
      </c>
    </row>
    <row r="197" customFormat="false" ht="13.8" hidden="false" customHeight="false" outlineLevel="0" collapsed="false">
      <c r="A197" s="8" t="n">
        <v>44927</v>
      </c>
      <c r="B197" s="9" t="n">
        <f aca="false">DAY(A197)</f>
        <v>1</v>
      </c>
      <c r="C197" s="9" t="n">
        <f aca="false">MONTH(A197)</f>
        <v>1</v>
      </c>
      <c r="D197" s="9" t="n">
        <f aca="false">YEAR(A197)</f>
        <v>2023</v>
      </c>
      <c r="E197" s="9" t="n">
        <f aca="false">WEEKDAY(A197,2)</f>
        <v>7</v>
      </c>
      <c r="F197" s="10" t="n">
        <f aca="false">WEEKNUM(A197,2) - WEEKNUM(DATE(YEAR(A197),MONTH(A197),1),2) + 1</f>
        <v>1</v>
      </c>
      <c r="G197" s="10"/>
      <c r="H197" s="11" t="n">
        <v>9060</v>
      </c>
      <c r="I197" s="12" t="s">
        <v>15</v>
      </c>
      <c r="J197" s="12" t="s">
        <v>40</v>
      </c>
      <c r="K197" s="12"/>
      <c r="L197" s="9" t="n">
        <f aca="false">H197+L196</f>
        <v>11814</v>
      </c>
      <c r="M197" s="10" t="str">
        <f aca="false">VLOOKUP(J197,RECATALOGANDO!A:C,2,0)</f>
        <v>VENTA DE MEDICAMENTO</v>
      </c>
      <c r="N197" s="12" t="str">
        <f aca="false">VLOOKUP(M197,RECATALOGANDO!B:C,2,0)</f>
        <v>VENTA DE PRODUCTO</v>
      </c>
      <c r="O197" s="2" t="s">
        <v>78</v>
      </c>
    </row>
    <row r="198" customFormat="false" ht="13.8" hidden="false" customHeight="false" outlineLevel="0" collapsed="false">
      <c r="A198" s="8" t="n">
        <v>44928</v>
      </c>
      <c r="B198" s="9" t="n">
        <f aca="false">DAY(A198)</f>
        <v>2</v>
      </c>
      <c r="C198" s="9" t="n">
        <f aca="false">MONTH(A198)</f>
        <v>1</v>
      </c>
      <c r="D198" s="9" t="n">
        <f aca="false">YEAR(A198)</f>
        <v>2023</v>
      </c>
      <c r="E198" s="9" t="n">
        <f aca="false">WEEKDAY(A198,2)</f>
        <v>1</v>
      </c>
      <c r="F198" s="10" t="n">
        <f aca="false">WEEKNUM(A198,2) - WEEKNUM(DATE(YEAR(A198),MONTH(A198),1),2) + 1</f>
        <v>2</v>
      </c>
      <c r="G198" s="10"/>
      <c r="H198" s="11" t="n">
        <v>2690</v>
      </c>
      <c r="I198" s="12" t="s">
        <v>15</v>
      </c>
      <c r="J198" s="12" t="s">
        <v>41</v>
      </c>
      <c r="K198" s="12"/>
      <c r="L198" s="9" t="n">
        <f aca="false">H198+L197</f>
        <v>14504</v>
      </c>
      <c r="M198" s="10" t="str">
        <f aca="false">VLOOKUP(J198,RECATALOGANDO!A:C,2,0)</f>
        <v>HONORARIOS QUIRURGICOS</v>
      </c>
      <c r="N198" s="12" t="str">
        <f aca="false">VLOOKUP(M198,RECATALOGANDO!B:C,2,0)</f>
        <v>VENTA DE SERVICIO</v>
      </c>
      <c r="O198" s="2" t="s">
        <v>78</v>
      </c>
    </row>
    <row r="199" customFormat="false" ht="13.8" hidden="false" customHeight="false" outlineLevel="0" collapsed="false">
      <c r="A199" s="8" t="n">
        <v>44929</v>
      </c>
      <c r="B199" s="9" t="n">
        <f aca="false">DAY(A199)</f>
        <v>3</v>
      </c>
      <c r="C199" s="9" t="n">
        <f aca="false">MONTH(A199)</f>
        <v>1</v>
      </c>
      <c r="D199" s="9" t="n">
        <f aca="false">YEAR(A199)</f>
        <v>2023</v>
      </c>
      <c r="E199" s="9" t="n">
        <f aca="false">WEEKDAY(A199,2)</f>
        <v>2</v>
      </c>
      <c r="F199" s="10" t="n">
        <f aca="false">WEEKNUM(A199,2) - WEEKNUM(DATE(YEAR(A199),MONTH(A199),1),2) + 1</f>
        <v>2</v>
      </c>
      <c r="G199" s="10"/>
      <c r="H199" s="11" t="n">
        <v>1660</v>
      </c>
      <c r="I199" s="12" t="s">
        <v>15</v>
      </c>
      <c r="J199" s="12" t="s">
        <v>38</v>
      </c>
      <c r="K199" s="12"/>
      <c r="L199" s="9" t="n">
        <f aca="false">H199+L198</f>
        <v>16164</v>
      </c>
      <c r="M199" s="10" t="str">
        <f aca="false">VLOOKUP(J199,RECATALOGANDO!A:C,2,0)</f>
        <v>VENTA DE ALIMENTO</v>
      </c>
      <c r="N199" s="12" t="str">
        <f aca="false">VLOOKUP(M199,RECATALOGANDO!B:C,2,0)</f>
        <v>VENTA DE PRODUCTO</v>
      </c>
      <c r="O199" s="2" t="s">
        <v>78</v>
      </c>
    </row>
    <row r="200" customFormat="false" ht="13.8" hidden="false" customHeight="false" outlineLevel="0" collapsed="false">
      <c r="A200" s="8" t="n">
        <v>44930</v>
      </c>
      <c r="B200" s="9" t="n">
        <f aca="false">DAY(A200)</f>
        <v>4</v>
      </c>
      <c r="C200" s="9" t="n">
        <f aca="false">MONTH(A200)</f>
        <v>1</v>
      </c>
      <c r="D200" s="9" t="n">
        <f aca="false">YEAR(A200)</f>
        <v>2023</v>
      </c>
      <c r="E200" s="9" t="n">
        <f aca="false">WEEKDAY(A200,2)</f>
        <v>3</v>
      </c>
      <c r="F200" s="10" t="n">
        <f aca="false">WEEKNUM(A200,2) - WEEKNUM(DATE(YEAR(A200),MONTH(A200),1),2) + 1</f>
        <v>2</v>
      </c>
      <c r="G200" s="10"/>
      <c r="H200" s="11" t="n">
        <v>3519</v>
      </c>
      <c r="I200" s="12" t="s">
        <v>15</v>
      </c>
      <c r="J200" s="12" t="s">
        <v>41</v>
      </c>
      <c r="K200" s="12"/>
      <c r="L200" s="9" t="n">
        <f aca="false">H200+L199</f>
        <v>19683</v>
      </c>
      <c r="M200" s="10" t="str">
        <f aca="false">VLOOKUP(J200,RECATALOGANDO!A:C,2,0)</f>
        <v>HONORARIOS QUIRURGICOS</v>
      </c>
      <c r="N200" s="12" t="str">
        <f aca="false">VLOOKUP(M200,RECATALOGANDO!B:C,2,0)</f>
        <v>VENTA DE SERVICIO</v>
      </c>
      <c r="O200" s="2" t="s">
        <v>78</v>
      </c>
    </row>
    <row r="201" customFormat="false" ht="13.8" hidden="false" customHeight="false" outlineLevel="0" collapsed="false">
      <c r="A201" s="8" t="n">
        <v>44931</v>
      </c>
      <c r="B201" s="9" t="n">
        <f aca="false">DAY(A201)</f>
        <v>5</v>
      </c>
      <c r="C201" s="9" t="n">
        <f aca="false">MONTH(A201)</f>
        <v>1</v>
      </c>
      <c r="D201" s="9" t="n">
        <f aca="false">YEAR(A201)</f>
        <v>2023</v>
      </c>
      <c r="E201" s="9" t="n">
        <f aca="false">WEEKDAY(A201,2)</f>
        <v>4</v>
      </c>
      <c r="F201" s="10" t="n">
        <f aca="false">WEEKNUM(A201,2) - WEEKNUM(DATE(YEAR(A201),MONTH(A201),1),2) + 1</f>
        <v>2</v>
      </c>
      <c r="G201" s="10"/>
      <c r="H201" s="11" t="n">
        <v>203</v>
      </c>
      <c r="I201" s="12" t="s">
        <v>15</v>
      </c>
      <c r="J201" s="12" t="s">
        <v>42</v>
      </c>
      <c r="K201" s="12"/>
      <c r="L201" s="9" t="n">
        <f aca="false">H201+L200</f>
        <v>19886</v>
      </c>
      <c r="M201" s="10" t="str">
        <f aca="false">VLOOKUP(J201,RECATALOGANDO!A:C,2,0)</f>
        <v>VENTA DE MEDICAMENTO</v>
      </c>
      <c r="N201" s="12" t="str">
        <f aca="false">VLOOKUP(M201,RECATALOGANDO!B:C,2,0)</f>
        <v>VENTA DE PRODUCTO</v>
      </c>
      <c r="O201" s="2" t="s">
        <v>78</v>
      </c>
    </row>
    <row r="202" customFormat="false" ht="13.8" hidden="false" customHeight="false" outlineLevel="0" collapsed="false">
      <c r="A202" s="8" t="n">
        <v>44931</v>
      </c>
      <c r="B202" s="9" t="n">
        <f aca="false">DAY(A202)</f>
        <v>5</v>
      </c>
      <c r="C202" s="9" t="n">
        <f aca="false">MONTH(A202)</f>
        <v>1</v>
      </c>
      <c r="D202" s="9" t="n">
        <f aca="false">YEAR(A202)</f>
        <v>2023</v>
      </c>
      <c r="E202" s="9" t="n">
        <f aca="false">WEEKDAY(A202,2)</f>
        <v>4</v>
      </c>
      <c r="F202" s="10" t="n">
        <f aca="false">WEEKNUM(A202,2) - WEEKNUM(DATE(YEAR(A202),MONTH(A202),1),2) + 1</f>
        <v>2</v>
      </c>
      <c r="G202" s="10"/>
      <c r="H202" s="11" t="n">
        <v>450</v>
      </c>
      <c r="I202" s="12" t="s">
        <v>20</v>
      </c>
      <c r="J202" s="12" t="s">
        <v>43</v>
      </c>
      <c r="K202" s="12"/>
      <c r="L202" s="9" t="n">
        <f aca="false">H202+L201</f>
        <v>20336</v>
      </c>
      <c r="M202" s="10" t="str">
        <f aca="false">VLOOKUP(J202,RECATALOGANDO!A:C,2,0)</f>
        <v>HONORARIOS MEDICOS</v>
      </c>
      <c r="N202" s="12" t="str">
        <f aca="false">VLOOKUP(M202,RECATALOGANDO!B:C,2,0)</f>
        <v>VENTA DE SERVICIO</v>
      </c>
      <c r="O202" s="2" t="s">
        <v>78</v>
      </c>
    </row>
    <row r="203" customFormat="false" ht="13.8" hidden="false" customHeight="false" outlineLevel="0" collapsed="false">
      <c r="A203" s="8" t="n">
        <v>44931</v>
      </c>
      <c r="B203" s="9" t="n">
        <f aca="false">DAY(A203)</f>
        <v>5</v>
      </c>
      <c r="C203" s="9" t="n">
        <f aca="false">MONTH(A203)</f>
        <v>1</v>
      </c>
      <c r="D203" s="9" t="n">
        <f aca="false">YEAR(A203)</f>
        <v>2023</v>
      </c>
      <c r="E203" s="9" t="n">
        <f aca="false">WEEKDAY(A203,2)</f>
        <v>4</v>
      </c>
      <c r="F203" s="10" t="n">
        <f aca="false">WEEKNUM(A203,2) - WEEKNUM(DATE(YEAR(A203),MONTH(A203),1),2) + 1</f>
        <v>2</v>
      </c>
      <c r="G203" s="10"/>
      <c r="H203" s="11" t="n">
        <v>535</v>
      </c>
      <c r="I203" s="12" t="s">
        <v>20</v>
      </c>
      <c r="J203" s="12" t="s">
        <v>44</v>
      </c>
      <c r="K203" s="12"/>
      <c r="L203" s="9" t="n">
        <f aca="false">H203+L202</f>
        <v>20871</v>
      </c>
      <c r="M203" s="10" t="str">
        <f aca="false">VLOOKUP(J203,RECATALOGANDO!A:C,2,0)</f>
        <v>HONORARIOS MEDICOS</v>
      </c>
      <c r="N203" s="12" t="str">
        <f aca="false">VLOOKUP(M203,RECATALOGANDO!B:C,2,0)</f>
        <v>VENTA DE SERVICIO</v>
      </c>
      <c r="O203" s="2" t="s">
        <v>78</v>
      </c>
    </row>
    <row r="204" customFormat="false" ht="13.8" hidden="false" customHeight="false" outlineLevel="0" collapsed="false">
      <c r="A204" s="8" t="n">
        <v>44932</v>
      </c>
      <c r="B204" s="9" t="n">
        <f aca="false">DAY(A204)</f>
        <v>6</v>
      </c>
      <c r="C204" s="9" t="n">
        <f aca="false">MONTH(A204)</f>
        <v>1</v>
      </c>
      <c r="D204" s="9" t="n">
        <f aca="false">YEAR(A204)</f>
        <v>2023</v>
      </c>
      <c r="E204" s="9" t="n">
        <f aca="false">WEEKDAY(A204,2)</f>
        <v>5</v>
      </c>
      <c r="F204" s="10" t="n">
        <f aca="false">WEEKNUM(A204,2) - WEEKNUM(DATE(YEAR(A204),MONTH(A204),1),2) + 1</f>
        <v>2</v>
      </c>
      <c r="G204" s="10"/>
      <c r="H204" s="11" t="n">
        <v>780</v>
      </c>
      <c r="I204" s="12" t="s">
        <v>20</v>
      </c>
      <c r="J204" s="12" t="s">
        <v>45</v>
      </c>
      <c r="K204" s="12"/>
      <c r="L204" s="9" t="n">
        <f aca="false">H204+L203</f>
        <v>21651</v>
      </c>
      <c r="M204" s="10" t="str">
        <f aca="false">VLOOKUP(J204,RECATALOGANDO!A:C,2,0)</f>
        <v>VENTA DE MEDICAMENTO</v>
      </c>
      <c r="N204" s="12" t="str">
        <f aca="false">VLOOKUP(M204,RECATALOGANDO!B:C,2,0)</f>
        <v>VENTA DE PRODUCTO</v>
      </c>
      <c r="O204" s="2" t="s">
        <v>78</v>
      </c>
    </row>
    <row r="205" customFormat="false" ht="13.8" hidden="false" customHeight="false" outlineLevel="0" collapsed="false">
      <c r="A205" s="8" t="n">
        <v>44932</v>
      </c>
      <c r="B205" s="9" t="n">
        <f aca="false">DAY(A205)</f>
        <v>6</v>
      </c>
      <c r="C205" s="9" t="n">
        <f aca="false">MONTH(A205)</f>
        <v>1</v>
      </c>
      <c r="D205" s="9" t="n">
        <f aca="false">YEAR(A205)</f>
        <v>2023</v>
      </c>
      <c r="E205" s="9" t="n">
        <f aca="false">WEEKDAY(A205,2)</f>
        <v>5</v>
      </c>
      <c r="F205" s="10" t="n">
        <f aca="false">WEEKNUM(A205,2) - WEEKNUM(DATE(YEAR(A205),MONTH(A205),1),2) + 1</f>
        <v>2</v>
      </c>
      <c r="G205" s="10"/>
      <c r="H205" s="11" t="n">
        <v>280</v>
      </c>
      <c r="I205" s="12" t="s">
        <v>20</v>
      </c>
      <c r="J205" s="12" t="s">
        <v>44</v>
      </c>
      <c r="K205" s="12"/>
      <c r="L205" s="9" t="n">
        <f aca="false">H205+L204</f>
        <v>21931</v>
      </c>
      <c r="M205" s="10" t="str">
        <f aca="false">VLOOKUP(J205,RECATALOGANDO!A:C,2,0)</f>
        <v>HONORARIOS MEDICOS</v>
      </c>
      <c r="N205" s="12" t="str">
        <f aca="false">VLOOKUP(M205,RECATALOGANDO!B:C,2,0)</f>
        <v>VENTA DE SERVICIO</v>
      </c>
      <c r="O205" s="2" t="s">
        <v>78</v>
      </c>
    </row>
    <row r="206" customFormat="false" ht="13.8" hidden="false" customHeight="false" outlineLevel="0" collapsed="false">
      <c r="A206" s="8" t="n">
        <v>44932</v>
      </c>
      <c r="B206" s="9" t="n">
        <f aca="false">DAY(A206)</f>
        <v>6</v>
      </c>
      <c r="C206" s="9" t="n">
        <f aca="false">MONTH(A206)</f>
        <v>1</v>
      </c>
      <c r="D206" s="9" t="n">
        <f aca="false">YEAR(A206)</f>
        <v>2023</v>
      </c>
      <c r="E206" s="9" t="n">
        <f aca="false">WEEKDAY(A206,2)</f>
        <v>5</v>
      </c>
      <c r="F206" s="10" t="n">
        <f aca="false">WEEKNUM(A206,2) - WEEKNUM(DATE(YEAR(A206),MONTH(A206),1),2) + 1</f>
        <v>2</v>
      </c>
      <c r="G206" s="10"/>
      <c r="H206" s="11" t="n">
        <v>958.24</v>
      </c>
      <c r="I206" s="12" t="s">
        <v>15</v>
      </c>
      <c r="J206" s="12" t="s">
        <v>44</v>
      </c>
      <c r="K206" s="12"/>
      <c r="L206" s="9" t="n">
        <f aca="false">H206+L205</f>
        <v>22889.24</v>
      </c>
      <c r="M206" s="10" t="str">
        <f aca="false">VLOOKUP(J206,RECATALOGANDO!A:C,2,0)</f>
        <v>HONORARIOS MEDICOS</v>
      </c>
      <c r="N206" s="12" t="str">
        <f aca="false">VLOOKUP(M206,RECATALOGANDO!B:C,2,0)</f>
        <v>VENTA DE SERVICIO</v>
      </c>
      <c r="O206" s="2" t="s">
        <v>78</v>
      </c>
    </row>
    <row r="207" customFormat="false" ht="13.8" hidden="false" customHeight="false" outlineLevel="0" collapsed="false">
      <c r="A207" s="8" t="n">
        <v>44933</v>
      </c>
      <c r="B207" s="9" t="n">
        <f aca="false">DAY(A207)</f>
        <v>7</v>
      </c>
      <c r="C207" s="9" t="n">
        <f aca="false">MONTH(A207)</f>
        <v>1</v>
      </c>
      <c r="D207" s="9" t="n">
        <f aca="false">YEAR(A207)</f>
        <v>2023</v>
      </c>
      <c r="E207" s="9" t="n">
        <f aca="false">WEEKDAY(A207,2)</f>
        <v>6</v>
      </c>
      <c r="F207" s="10" t="n">
        <f aca="false">WEEKNUM(A207,2) - WEEKNUM(DATE(YEAR(A207),MONTH(A207),1),2) + 1</f>
        <v>2</v>
      </c>
      <c r="G207" s="10"/>
      <c r="H207" s="11" t="n">
        <v>501.16</v>
      </c>
      <c r="I207" s="12" t="s">
        <v>15</v>
      </c>
      <c r="J207" s="12" t="s">
        <v>44</v>
      </c>
      <c r="K207" s="12"/>
      <c r="L207" s="9" t="n">
        <f aca="false">H207+L206</f>
        <v>23390.4</v>
      </c>
      <c r="M207" s="10" t="str">
        <f aca="false">VLOOKUP(J207,RECATALOGANDO!A:C,2,0)</f>
        <v>HONORARIOS MEDICOS</v>
      </c>
      <c r="N207" s="12" t="str">
        <f aca="false">VLOOKUP(M207,RECATALOGANDO!B:C,2,0)</f>
        <v>VENTA DE SERVICIO</v>
      </c>
      <c r="O207" s="2" t="s">
        <v>78</v>
      </c>
    </row>
    <row r="208" customFormat="false" ht="13.8" hidden="false" customHeight="false" outlineLevel="0" collapsed="false">
      <c r="A208" s="8" t="n">
        <v>44935</v>
      </c>
      <c r="B208" s="9" t="n">
        <f aca="false">DAY(A208)</f>
        <v>9</v>
      </c>
      <c r="C208" s="9" t="n">
        <f aca="false">MONTH(A208)</f>
        <v>1</v>
      </c>
      <c r="D208" s="9" t="n">
        <f aca="false">YEAR(A208)</f>
        <v>2023</v>
      </c>
      <c r="E208" s="9" t="n">
        <f aca="false">WEEKDAY(A208,2)</f>
        <v>1</v>
      </c>
      <c r="F208" s="10" t="n">
        <f aca="false">WEEKNUM(A208,2) - WEEKNUM(DATE(YEAR(A208),MONTH(A208),1),2) + 1</f>
        <v>3</v>
      </c>
      <c r="G208" s="10"/>
      <c r="H208" s="11" t="n">
        <v>150</v>
      </c>
      <c r="I208" s="12" t="s">
        <v>20</v>
      </c>
      <c r="J208" s="12" t="s">
        <v>46</v>
      </c>
      <c r="K208" s="12"/>
      <c r="L208" s="9" t="n">
        <f aca="false">H208+L207</f>
        <v>23540.4</v>
      </c>
      <c r="M208" s="10" t="str">
        <f aca="false">VLOOKUP(J208,RECATALOGANDO!A:C,2,0)</f>
        <v>SERVICIO DE GROOMING</v>
      </c>
      <c r="N208" s="12" t="str">
        <f aca="false">VLOOKUP(M208,RECATALOGANDO!B:C,2,0)</f>
        <v>VENTA DE SERVICIO</v>
      </c>
      <c r="O208" s="2" t="s">
        <v>78</v>
      </c>
    </row>
    <row r="209" customFormat="false" ht="13.8" hidden="false" customHeight="false" outlineLevel="0" collapsed="false">
      <c r="A209" s="8" t="n">
        <v>44935</v>
      </c>
      <c r="B209" s="9" t="n">
        <f aca="false">DAY(A209)</f>
        <v>9</v>
      </c>
      <c r="C209" s="9" t="n">
        <f aca="false">MONTH(A209)</f>
        <v>1</v>
      </c>
      <c r="D209" s="9" t="n">
        <f aca="false">YEAR(A209)</f>
        <v>2023</v>
      </c>
      <c r="E209" s="9" t="n">
        <f aca="false">WEEKDAY(A209,2)</f>
        <v>1</v>
      </c>
      <c r="F209" s="10" t="n">
        <f aca="false">WEEKNUM(A209,2) - WEEKNUM(DATE(YEAR(A209),MONTH(A209),1),2) + 1</f>
        <v>3</v>
      </c>
      <c r="G209" s="10"/>
      <c r="H209" s="11" t="n">
        <v>900</v>
      </c>
      <c r="I209" s="12" t="s">
        <v>20</v>
      </c>
      <c r="J209" s="12" t="s">
        <v>47</v>
      </c>
      <c r="K209" s="12"/>
      <c r="L209" s="9" t="n">
        <f aca="false">H209+L208</f>
        <v>24440.4</v>
      </c>
      <c r="M209" s="10" t="str">
        <f aca="false">VLOOKUP(J209,RECATALOGANDO!A:C,2,0)</f>
        <v>SERVICIO DE PENSION</v>
      </c>
      <c r="N209" s="12" t="str">
        <f aca="false">VLOOKUP(M209,RECATALOGANDO!B:C,2,0)</f>
        <v>VENTA DE SERVICIO</v>
      </c>
      <c r="O209" s="2" t="s">
        <v>78</v>
      </c>
    </row>
    <row r="210" customFormat="false" ht="13.8" hidden="false" customHeight="false" outlineLevel="0" collapsed="false">
      <c r="A210" s="8" t="n">
        <v>44936</v>
      </c>
      <c r="B210" s="9" t="n">
        <f aca="false">DAY(A210)</f>
        <v>10</v>
      </c>
      <c r="C210" s="9" t="n">
        <f aca="false">MONTH(A210)</f>
        <v>1</v>
      </c>
      <c r="D210" s="9" t="n">
        <f aca="false">YEAR(A210)</f>
        <v>2023</v>
      </c>
      <c r="E210" s="9" t="n">
        <f aca="false">WEEKDAY(A210,2)</f>
        <v>2</v>
      </c>
      <c r="F210" s="10" t="n">
        <f aca="false">WEEKNUM(A210,2) - WEEKNUM(DATE(YEAR(A210),MONTH(A210),1),2) + 1</f>
        <v>3</v>
      </c>
      <c r="G210" s="10"/>
      <c r="H210" s="11" t="n">
        <v>1533.18</v>
      </c>
      <c r="I210" s="12" t="s">
        <v>15</v>
      </c>
      <c r="J210" s="12" t="s">
        <v>38</v>
      </c>
      <c r="K210" s="12"/>
      <c r="L210" s="9" t="n">
        <f aca="false">H210+L209</f>
        <v>25973.58</v>
      </c>
      <c r="M210" s="10" t="str">
        <f aca="false">VLOOKUP(J210,RECATALOGANDO!A:C,2,0)</f>
        <v>VENTA DE ALIMENTO</v>
      </c>
      <c r="N210" s="12" t="str">
        <f aca="false">VLOOKUP(M210,RECATALOGANDO!B:C,2,0)</f>
        <v>VENTA DE PRODUCTO</v>
      </c>
      <c r="O210" s="2" t="s">
        <v>78</v>
      </c>
    </row>
    <row r="211" customFormat="false" ht="13.8" hidden="false" customHeight="false" outlineLevel="0" collapsed="false">
      <c r="A211" s="8" t="n">
        <v>44937</v>
      </c>
      <c r="B211" s="9" t="n">
        <f aca="false">DAY(A211)</f>
        <v>11</v>
      </c>
      <c r="C211" s="9" t="n">
        <f aca="false">MONTH(A211)</f>
        <v>1</v>
      </c>
      <c r="D211" s="9" t="n">
        <f aca="false">YEAR(A211)</f>
        <v>2023</v>
      </c>
      <c r="E211" s="9" t="n">
        <f aca="false">WEEKDAY(A211,2)</f>
        <v>3</v>
      </c>
      <c r="F211" s="10" t="n">
        <f aca="false">WEEKNUM(A211,2) - WEEKNUM(DATE(YEAR(A211),MONTH(A211),1),2) + 1</f>
        <v>3</v>
      </c>
      <c r="G211" s="10"/>
      <c r="H211" s="11" t="n">
        <v>1917.11</v>
      </c>
      <c r="I211" s="12" t="s">
        <v>15</v>
      </c>
      <c r="J211" s="12" t="s">
        <v>48</v>
      </c>
      <c r="K211" s="12"/>
      <c r="L211" s="9" t="n">
        <f aca="false">H211+L210</f>
        <v>27890.69</v>
      </c>
      <c r="M211" s="10" t="str">
        <f aca="false">VLOOKUP(J211,RECATALOGANDO!A:C,2,0)</f>
        <v>VENTA DE ACCESORIOS</v>
      </c>
      <c r="N211" s="12" t="str">
        <f aca="false">VLOOKUP(M211,RECATALOGANDO!B:C,2,0)</f>
        <v>VENTA DE PRODUCTO</v>
      </c>
      <c r="O211" s="2" t="s">
        <v>78</v>
      </c>
    </row>
    <row r="212" customFormat="false" ht="13.8" hidden="false" customHeight="false" outlineLevel="0" collapsed="false">
      <c r="A212" s="8" t="n">
        <v>44937</v>
      </c>
      <c r="B212" s="9" t="n">
        <f aca="false">DAY(A212)</f>
        <v>11</v>
      </c>
      <c r="C212" s="9" t="n">
        <f aca="false">MONTH(A212)</f>
        <v>1</v>
      </c>
      <c r="D212" s="9" t="n">
        <f aca="false">YEAR(A212)</f>
        <v>2023</v>
      </c>
      <c r="E212" s="9" t="n">
        <f aca="false">WEEKDAY(A212,2)</f>
        <v>3</v>
      </c>
      <c r="F212" s="10" t="n">
        <f aca="false">WEEKNUM(A212,2) - WEEKNUM(DATE(YEAR(A212),MONTH(A212),1),2) + 1</f>
        <v>3</v>
      </c>
      <c r="G212" s="10"/>
      <c r="H212" s="11" t="n">
        <v>370</v>
      </c>
      <c r="I212" s="12" t="s">
        <v>20</v>
      </c>
      <c r="J212" s="12" t="s">
        <v>49</v>
      </c>
      <c r="K212" s="12"/>
      <c r="L212" s="9" t="n">
        <f aca="false">H212+L211</f>
        <v>28260.69</v>
      </c>
      <c r="M212" s="10" t="str">
        <f aca="false">VLOOKUP(J212,RECATALOGANDO!A:C,2,0)</f>
        <v>SERVICIO DE GROOMING</v>
      </c>
      <c r="N212" s="12" t="str">
        <f aca="false">VLOOKUP(M212,RECATALOGANDO!B:C,2,0)</f>
        <v>VENTA DE SERVICIO</v>
      </c>
      <c r="O212" s="2" t="s">
        <v>78</v>
      </c>
    </row>
    <row r="213" customFormat="false" ht="13.8" hidden="false" customHeight="false" outlineLevel="0" collapsed="false">
      <c r="A213" s="8" t="n">
        <v>44938</v>
      </c>
      <c r="B213" s="9" t="n">
        <f aca="false">DAY(A213)</f>
        <v>12</v>
      </c>
      <c r="C213" s="9" t="n">
        <f aca="false">MONTH(A213)</f>
        <v>1</v>
      </c>
      <c r="D213" s="9" t="n">
        <f aca="false">YEAR(A213)</f>
        <v>2023</v>
      </c>
      <c r="E213" s="9" t="n">
        <f aca="false">WEEKDAY(A213,2)</f>
        <v>4</v>
      </c>
      <c r="F213" s="10" t="n">
        <f aca="false">WEEKNUM(A213,2) - WEEKNUM(DATE(YEAR(A213),MONTH(A213),1),2) + 1</f>
        <v>3</v>
      </c>
      <c r="G213" s="10"/>
      <c r="H213" s="11" t="n">
        <v>1720</v>
      </c>
      <c r="I213" s="12" t="s">
        <v>20</v>
      </c>
      <c r="J213" s="12" t="s">
        <v>40</v>
      </c>
      <c r="K213" s="12"/>
      <c r="L213" s="9" t="n">
        <f aca="false">H213+L212</f>
        <v>29980.69</v>
      </c>
      <c r="M213" s="10" t="str">
        <f aca="false">VLOOKUP(J213,RECATALOGANDO!A:C,2,0)</f>
        <v>VENTA DE MEDICAMENTO</v>
      </c>
      <c r="N213" s="12" t="str">
        <f aca="false">VLOOKUP(M213,RECATALOGANDO!B:C,2,0)</f>
        <v>VENTA DE PRODUCTO</v>
      </c>
      <c r="O213" s="2" t="s">
        <v>78</v>
      </c>
    </row>
    <row r="214" customFormat="false" ht="13.8" hidden="false" customHeight="false" outlineLevel="0" collapsed="false">
      <c r="A214" s="8" t="n">
        <v>44942</v>
      </c>
      <c r="B214" s="9" t="n">
        <f aca="false">DAY(A214)</f>
        <v>16</v>
      </c>
      <c r="C214" s="9" t="n">
        <f aca="false">MONTH(A214)</f>
        <v>1</v>
      </c>
      <c r="D214" s="9" t="n">
        <f aca="false">YEAR(A214)</f>
        <v>2023</v>
      </c>
      <c r="E214" s="9" t="n">
        <f aca="false">WEEKDAY(A214,2)</f>
        <v>1</v>
      </c>
      <c r="F214" s="10" t="n">
        <f aca="false">WEEKNUM(A214,2) - WEEKNUM(DATE(YEAR(A214),MONTH(A214),1),2) + 1</f>
        <v>4</v>
      </c>
      <c r="G214" s="10"/>
      <c r="H214" s="11" t="n">
        <v>5000</v>
      </c>
      <c r="I214" s="12" t="s">
        <v>15</v>
      </c>
      <c r="J214" s="12" t="s">
        <v>41</v>
      </c>
      <c r="K214" s="12"/>
      <c r="L214" s="9" t="n">
        <f aca="false">H214+L213</f>
        <v>34980.69</v>
      </c>
      <c r="M214" s="10" t="str">
        <f aca="false">VLOOKUP(J214,RECATALOGANDO!A:C,2,0)</f>
        <v>HONORARIOS QUIRURGICOS</v>
      </c>
      <c r="N214" s="12" t="str">
        <f aca="false">VLOOKUP(M214,RECATALOGANDO!B:C,2,0)</f>
        <v>VENTA DE SERVICIO</v>
      </c>
      <c r="O214" s="2" t="s">
        <v>78</v>
      </c>
    </row>
    <row r="215" customFormat="false" ht="13.8" hidden="false" customHeight="false" outlineLevel="0" collapsed="false">
      <c r="A215" s="8" t="n">
        <v>44942</v>
      </c>
      <c r="B215" s="9" t="n">
        <f aca="false">DAY(A215)</f>
        <v>16</v>
      </c>
      <c r="C215" s="9" t="n">
        <f aca="false">MONTH(A215)</f>
        <v>1</v>
      </c>
      <c r="D215" s="9" t="n">
        <f aca="false">YEAR(A215)</f>
        <v>2023</v>
      </c>
      <c r="E215" s="9" t="n">
        <f aca="false">WEEKDAY(A215,2)</f>
        <v>1</v>
      </c>
      <c r="F215" s="10" t="n">
        <f aca="false">WEEKNUM(A215,2) - WEEKNUM(DATE(YEAR(A215),MONTH(A215),1),2) + 1</f>
        <v>4</v>
      </c>
      <c r="G215" s="10"/>
      <c r="H215" s="11" t="n">
        <v>10000</v>
      </c>
      <c r="I215" s="12" t="s">
        <v>15</v>
      </c>
      <c r="J215" s="12" t="s">
        <v>41</v>
      </c>
      <c r="K215" s="12"/>
      <c r="L215" s="9" t="n">
        <f aca="false">H215+L214</f>
        <v>44980.69</v>
      </c>
      <c r="M215" s="10" t="str">
        <f aca="false">VLOOKUP(J215,RECATALOGANDO!A:C,2,0)</f>
        <v>HONORARIOS QUIRURGICOS</v>
      </c>
      <c r="N215" s="12" t="str">
        <f aca="false">VLOOKUP(M215,RECATALOGANDO!B:C,2,0)</f>
        <v>VENTA DE SERVICIO</v>
      </c>
      <c r="O215" s="2" t="s">
        <v>78</v>
      </c>
    </row>
    <row r="216" customFormat="false" ht="13.8" hidden="false" customHeight="false" outlineLevel="0" collapsed="false">
      <c r="A216" s="8" t="n">
        <v>44945</v>
      </c>
      <c r="B216" s="9" t="n">
        <f aca="false">DAY(A216)</f>
        <v>19</v>
      </c>
      <c r="C216" s="9" t="n">
        <f aca="false">MONTH(A216)</f>
        <v>1</v>
      </c>
      <c r="D216" s="9" t="n">
        <f aca="false">YEAR(A216)</f>
        <v>2023</v>
      </c>
      <c r="E216" s="9" t="n">
        <f aca="false">WEEKDAY(A216,2)</f>
        <v>4</v>
      </c>
      <c r="F216" s="10" t="n">
        <f aca="false">WEEKNUM(A216,2) - WEEKNUM(DATE(YEAR(A216),MONTH(A216),1),2) + 1</f>
        <v>4</v>
      </c>
      <c r="G216" s="10"/>
      <c r="H216" s="11" t="n">
        <v>297.05</v>
      </c>
      <c r="I216" s="12" t="s">
        <v>15</v>
      </c>
      <c r="J216" s="12" t="s">
        <v>40</v>
      </c>
      <c r="K216" s="12"/>
      <c r="L216" s="9" t="n">
        <f aca="false">H216+L215</f>
        <v>45277.74</v>
      </c>
      <c r="M216" s="10" t="str">
        <f aca="false">VLOOKUP(J216,RECATALOGANDO!A:C,2,0)</f>
        <v>VENTA DE MEDICAMENTO</v>
      </c>
      <c r="N216" s="12" t="str">
        <f aca="false">VLOOKUP(M216,RECATALOGANDO!B:C,2,0)</f>
        <v>VENTA DE PRODUCTO</v>
      </c>
      <c r="O216" s="2" t="s">
        <v>78</v>
      </c>
    </row>
    <row r="217" customFormat="false" ht="13.8" hidden="false" customHeight="false" outlineLevel="0" collapsed="false">
      <c r="A217" s="8" t="n">
        <v>44945</v>
      </c>
      <c r="B217" s="9" t="n">
        <f aca="false">DAY(A217)</f>
        <v>19</v>
      </c>
      <c r="C217" s="9" t="n">
        <f aca="false">MONTH(A217)</f>
        <v>1</v>
      </c>
      <c r="D217" s="9" t="n">
        <f aca="false">YEAR(A217)</f>
        <v>2023</v>
      </c>
      <c r="E217" s="9" t="n">
        <f aca="false">WEEKDAY(A217,2)</f>
        <v>4</v>
      </c>
      <c r="F217" s="10" t="n">
        <f aca="false">WEEKNUM(A217,2) - WEEKNUM(DATE(YEAR(A217),MONTH(A217),1),2) + 1</f>
        <v>4</v>
      </c>
      <c r="G217" s="10"/>
      <c r="H217" s="11" t="n">
        <v>1690</v>
      </c>
      <c r="I217" s="12" t="s">
        <v>15</v>
      </c>
      <c r="J217" s="12" t="s">
        <v>45</v>
      </c>
      <c r="K217" s="12"/>
      <c r="L217" s="9" t="n">
        <f aca="false">H217+L216</f>
        <v>46967.74</v>
      </c>
      <c r="M217" s="10" t="str">
        <f aca="false">VLOOKUP(J217,RECATALOGANDO!A:C,2,0)</f>
        <v>VENTA DE MEDICAMENTO</v>
      </c>
      <c r="N217" s="12" t="str">
        <f aca="false">VLOOKUP(M217,RECATALOGANDO!B:C,2,0)</f>
        <v>VENTA DE PRODUCTO</v>
      </c>
      <c r="O217" s="2" t="s">
        <v>78</v>
      </c>
    </row>
    <row r="218" customFormat="false" ht="13.8" hidden="false" customHeight="false" outlineLevel="0" collapsed="false">
      <c r="A218" s="8" t="n">
        <v>44956</v>
      </c>
      <c r="B218" s="9" t="n">
        <f aca="false">DAY(A218)</f>
        <v>30</v>
      </c>
      <c r="C218" s="9" t="n">
        <f aca="false">MONTH(A218)</f>
        <v>1</v>
      </c>
      <c r="D218" s="9" t="n">
        <f aca="false">YEAR(A218)</f>
        <v>2023</v>
      </c>
      <c r="E218" s="9" t="n">
        <f aca="false">WEEKDAY(A218,2)</f>
        <v>1</v>
      </c>
      <c r="F218" s="10" t="n">
        <f aca="false">WEEKNUM(A218,2) - WEEKNUM(DATE(YEAR(A218),MONTH(A218),1),2) + 1</f>
        <v>6</v>
      </c>
      <c r="G218" s="10" t="n">
        <v>2</v>
      </c>
      <c r="H218" s="11" t="n">
        <v>7000</v>
      </c>
      <c r="I218" s="12" t="s">
        <v>15</v>
      </c>
      <c r="J218" s="12" t="s">
        <v>41</v>
      </c>
      <c r="K218" s="12"/>
      <c r="L218" s="9" t="n">
        <f aca="false">H218+L217</f>
        <v>53967.74</v>
      </c>
      <c r="M218" s="10" t="str">
        <f aca="false">VLOOKUP(J218,RECATALOGANDO!A:C,2,0)</f>
        <v>HONORARIOS QUIRURGICOS</v>
      </c>
      <c r="N218" s="12" t="str">
        <f aca="false">VLOOKUP(M218,RECATALOGANDO!B:C,2,0)</f>
        <v>VENTA DE SERVICIO</v>
      </c>
      <c r="O218" s="2" t="s">
        <v>78</v>
      </c>
    </row>
    <row r="219" customFormat="false" ht="13.8" hidden="false" customHeight="false" outlineLevel="0" collapsed="false">
      <c r="A219" s="8" t="n">
        <v>44956</v>
      </c>
      <c r="B219" s="9" t="n">
        <f aca="false">DAY(A219)</f>
        <v>30</v>
      </c>
      <c r="C219" s="9" t="n">
        <f aca="false">MONTH(A219)</f>
        <v>1</v>
      </c>
      <c r="D219" s="9" t="n">
        <f aca="false">YEAR(A219)</f>
        <v>2023</v>
      </c>
      <c r="E219" s="9" t="n">
        <f aca="false">WEEKDAY(A219,2)</f>
        <v>1</v>
      </c>
      <c r="F219" s="10" t="n">
        <f aca="false">WEEKNUM(A219,2) - WEEKNUM(DATE(YEAR(A219),MONTH(A219),1),2) + 1</f>
        <v>6</v>
      </c>
      <c r="G219" s="10" t="n">
        <v>2</v>
      </c>
      <c r="H219" s="11" t="n">
        <v>7000</v>
      </c>
      <c r="I219" s="12" t="s">
        <v>15</v>
      </c>
      <c r="J219" s="12" t="s">
        <v>41</v>
      </c>
      <c r="K219" s="12"/>
      <c r="L219" s="9" t="n">
        <f aca="false">H219+L218</f>
        <v>60967.74</v>
      </c>
      <c r="M219" s="10" t="str">
        <f aca="false">VLOOKUP(J219,RECATALOGANDO!A:C,2,0)</f>
        <v>HONORARIOS QUIRURGICOS</v>
      </c>
      <c r="N219" s="12" t="str">
        <f aca="false">VLOOKUP(M219,RECATALOGANDO!B:C,2,0)</f>
        <v>VENTA DE SERVICIO</v>
      </c>
      <c r="O219" s="2" t="s">
        <v>78</v>
      </c>
    </row>
    <row r="220" customFormat="false" ht="13.8" hidden="false" customHeight="false" outlineLevel="0" collapsed="false">
      <c r="A220" s="8" t="n">
        <v>44959</v>
      </c>
      <c r="B220" s="9" t="n">
        <f aca="false">DAY(A220)</f>
        <v>2</v>
      </c>
      <c r="C220" s="9" t="n">
        <f aca="false">MONTH(A220)</f>
        <v>2</v>
      </c>
      <c r="D220" s="9" t="n">
        <f aca="false">YEAR(A220)</f>
        <v>2023</v>
      </c>
      <c r="E220" s="9" t="n">
        <f aca="false">WEEKDAY(A220,2)</f>
        <v>4</v>
      </c>
      <c r="F220" s="10" t="n">
        <f aca="false">WEEKNUM(A220,2) - WEEKNUM(DATE(YEAR(A220),MONTH(A220),1),2) + 1</f>
        <v>1</v>
      </c>
      <c r="G220" s="10"/>
      <c r="H220" s="11" t="n">
        <v>200</v>
      </c>
      <c r="I220" s="12" t="s">
        <v>20</v>
      </c>
      <c r="J220" s="12" t="s">
        <v>50</v>
      </c>
      <c r="K220" s="12"/>
      <c r="L220" s="9" t="n">
        <f aca="false">H220</f>
        <v>200</v>
      </c>
      <c r="M220" s="10" t="str">
        <f aca="false">VLOOKUP(J220,RECATALOGANDO!A:C,2,0)</f>
        <v>VENTA DE MEDICAMENTO</v>
      </c>
      <c r="N220" s="12" t="str">
        <f aca="false">VLOOKUP(M220,RECATALOGANDO!B:C,2,0)</f>
        <v>VENTA DE PRODUCTO</v>
      </c>
      <c r="O220" s="2" t="s">
        <v>78</v>
      </c>
    </row>
    <row r="221" customFormat="false" ht="13.8" hidden="false" customHeight="false" outlineLevel="0" collapsed="false">
      <c r="A221" s="8" t="n">
        <v>44959</v>
      </c>
      <c r="B221" s="9" t="n">
        <f aca="false">DAY(A221)</f>
        <v>2</v>
      </c>
      <c r="C221" s="9" t="n">
        <f aca="false">MONTH(A221)</f>
        <v>2</v>
      </c>
      <c r="D221" s="9" t="n">
        <f aca="false">YEAR(A221)</f>
        <v>2023</v>
      </c>
      <c r="E221" s="9" t="n">
        <f aca="false">WEEKDAY(A221,2)</f>
        <v>4</v>
      </c>
      <c r="F221" s="10" t="n">
        <f aca="false">WEEKNUM(A221,2) - WEEKNUM(DATE(YEAR(A221),MONTH(A221),1),2) + 1</f>
        <v>1</v>
      </c>
      <c r="G221" s="10"/>
      <c r="H221" s="11" t="n">
        <v>200</v>
      </c>
      <c r="I221" s="12" t="s">
        <v>20</v>
      </c>
      <c r="J221" s="12" t="s">
        <v>50</v>
      </c>
      <c r="K221" s="12"/>
      <c r="L221" s="9" t="n">
        <f aca="false">L220+H221</f>
        <v>400</v>
      </c>
      <c r="M221" s="10" t="str">
        <f aca="false">VLOOKUP(J221,RECATALOGANDO!A:C,2,0)</f>
        <v>VENTA DE MEDICAMENTO</v>
      </c>
      <c r="N221" s="12" t="str">
        <f aca="false">VLOOKUP(M221,RECATALOGANDO!B:C,2,0)</f>
        <v>VENTA DE PRODUCTO</v>
      </c>
      <c r="O221" s="2" t="s">
        <v>78</v>
      </c>
    </row>
    <row r="222" customFormat="false" ht="13.8" hidden="false" customHeight="false" outlineLevel="0" collapsed="false">
      <c r="A222" s="8" t="n">
        <v>44960</v>
      </c>
      <c r="B222" s="9" t="n">
        <f aca="false">DAY(A222)</f>
        <v>3</v>
      </c>
      <c r="C222" s="9" t="n">
        <f aca="false">MONTH(A222)</f>
        <v>2</v>
      </c>
      <c r="D222" s="9" t="n">
        <f aca="false">YEAR(A222)</f>
        <v>2023</v>
      </c>
      <c r="E222" s="9" t="n">
        <f aca="false">WEEKDAY(A222,2)</f>
        <v>5</v>
      </c>
      <c r="F222" s="10" t="n">
        <f aca="false">WEEKNUM(A222,2) - WEEKNUM(DATE(YEAR(A222),MONTH(A222),1),2) + 1</f>
        <v>1</v>
      </c>
      <c r="G222" s="10"/>
      <c r="H222" s="11" t="n">
        <v>3291.55</v>
      </c>
      <c r="I222" s="12" t="s">
        <v>15</v>
      </c>
      <c r="J222" s="12" t="s">
        <v>51</v>
      </c>
      <c r="K222" s="12"/>
      <c r="L222" s="9" t="n">
        <f aca="false">L221+H222</f>
        <v>3691.55</v>
      </c>
      <c r="M222" s="10" t="str">
        <f aca="false">VLOOKUP(J222,RECATALOGANDO!A:C,2,0)</f>
        <v>VENTA DE ALIMENTO</v>
      </c>
      <c r="N222" s="12" t="str">
        <f aca="false">VLOOKUP(M222,RECATALOGANDO!B:C,2,0)</f>
        <v>VENTA DE PRODUCTO</v>
      </c>
      <c r="O222" s="2" t="s">
        <v>78</v>
      </c>
    </row>
    <row r="223" customFormat="false" ht="13.8" hidden="false" customHeight="false" outlineLevel="0" collapsed="false">
      <c r="A223" s="8" t="n">
        <v>44960</v>
      </c>
      <c r="B223" s="9" t="n">
        <f aca="false">DAY(A223)</f>
        <v>3</v>
      </c>
      <c r="C223" s="9" t="n">
        <f aca="false">MONTH(A223)</f>
        <v>2</v>
      </c>
      <c r="D223" s="9" t="n">
        <f aca="false">YEAR(A223)</f>
        <v>2023</v>
      </c>
      <c r="E223" s="9" t="n">
        <f aca="false">WEEKDAY(A223,2)</f>
        <v>5</v>
      </c>
      <c r="F223" s="10" t="n">
        <f aca="false">WEEKNUM(A223,2) - WEEKNUM(DATE(YEAR(A223),MONTH(A223),1),2) + 1</f>
        <v>1</v>
      </c>
      <c r="G223" s="10"/>
      <c r="H223" s="11" t="n">
        <v>3291.55</v>
      </c>
      <c r="I223" s="12" t="s">
        <v>15</v>
      </c>
      <c r="J223" s="12" t="s">
        <v>51</v>
      </c>
      <c r="K223" s="12"/>
      <c r="L223" s="9" t="n">
        <f aca="false">L222+H223</f>
        <v>6983.1</v>
      </c>
      <c r="M223" s="10" t="str">
        <f aca="false">VLOOKUP(J223,RECATALOGANDO!A:C,2,0)</f>
        <v>VENTA DE ALIMENTO</v>
      </c>
      <c r="N223" s="12" t="str">
        <f aca="false">VLOOKUP(M223,RECATALOGANDO!B:C,2,0)</f>
        <v>VENTA DE PRODUCTO</v>
      </c>
      <c r="O223" s="2" t="s">
        <v>78</v>
      </c>
    </row>
    <row r="224" customFormat="false" ht="13.8" hidden="false" customHeight="false" outlineLevel="0" collapsed="false">
      <c r="A224" s="8" t="n">
        <v>44961</v>
      </c>
      <c r="B224" s="9" t="n">
        <f aca="false">DAY(A224)</f>
        <v>4</v>
      </c>
      <c r="C224" s="9" t="n">
        <f aca="false">MONTH(A224)</f>
        <v>2</v>
      </c>
      <c r="D224" s="9" t="n">
        <f aca="false">YEAR(A224)</f>
        <v>2023</v>
      </c>
      <c r="E224" s="9" t="n">
        <f aca="false">WEEKDAY(A224,2)</f>
        <v>6</v>
      </c>
      <c r="F224" s="10" t="n">
        <f aca="false">WEEKNUM(A224,2) - WEEKNUM(DATE(YEAR(A224),MONTH(A224),1),2) + 1</f>
        <v>1</v>
      </c>
      <c r="G224" s="10"/>
      <c r="H224" s="11" t="n">
        <v>1456.52</v>
      </c>
      <c r="I224" s="12" t="s">
        <v>15</v>
      </c>
      <c r="J224" s="12" t="s">
        <v>45</v>
      </c>
      <c r="K224" s="12"/>
      <c r="L224" s="9" t="n">
        <f aca="false">L223+H224</f>
        <v>8439.62</v>
      </c>
      <c r="M224" s="10" t="str">
        <f aca="false">VLOOKUP(J224,RECATALOGANDO!A:C,2,0)</f>
        <v>VENTA DE MEDICAMENTO</v>
      </c>
      <c r="N224" s="12" t="str">
        <f aca="false">VLOOKUP(M224,RECATALOGANDO!B:C,2,0)</f>
        <v>VENTA DE PRODUCTO</v>
      </c>
      <c r="O224" s="2" t="s">
        <v>78</v>
      </c>
    </row>
    <row r="225" customFormat="false" ht="13.8" hidden="false" customHeight="false" outlineLevel="0" collapsed="false">
      <c r="A225" s="8" t="n">
        <v>44961</v>
      </c>
      <c r="B225" s="9" t="n">
        <f aca="false">DAY(A225)</f>
        <v>4</v>
      </c>
      <c r="C225" s="9" t="n">
        <f aca="false">MONTH(A225)</f>
        <v>2</v>
      </c>
      <c r="D225" s="9" t="n">
        <f aca="false">YEAR(A225)</f>
        <v>2023</v>
      </c>
      <c r="E225" s="9" t="n">
        <f aca="false">WEEKDAY(A225,2)</f>
        <v>6</v>
      </c>
      <c r="F225" s="10" t="n">
        <f aca="false">WEEKNUM(A225,2) - WEEKNUM(DATE(YEAR(A225),MONTH(A225),1),2) + 1</f>
        <v>1</v>
      </c>
      <c r="G225" s="10"/>
      <c r="H225" s="11" t="n">
        <v>1456.52</v>
      </c>
      <c r="I225" s="12" t="s">
        <v>15</v>
      </c>
      <c r="J225" s="12" t="s">
        <v>45</v>
      </c>
      <c r="K225" s="12"/>
      <c r="L225" s="9" t="n">
        <f aca="false">L224+H225</f>
        <v>9896.14</v>
      </c>
      <c r="M225" s="10" t="str">
        <f aca="false">VLOOKUP(J225,RECATALOGANDO!A:C,2,0)</f>
        <v>VENTA DE MEDICAMENTO</v>
      </c>
      <c r="N225" s="12" t="str">
        <f aca="false">VLOOKUP(M225,RECATALOGANDO!B:C,2,0)</f>
        <v>VENTA DE PRODUCTO</v>
      </c>
      <c r="O225" s="2" t="s">
        <v>78</v>
      </c>
    </row>
    <row r="226" customFormat="false" ht="13.8" hidden="false" customHeight="false" outlineLevel="0" collapsed="false">
      <c r="A226" s="8" t="n">
        <v>44961</v>
      </c>
      <c r="B226" s="9" t="n">
        <f aca="false">DAY(A226)</f>
        <v>4</v>
      </c>
      <c r="C226" s="9" t="n">
        <f aca="false">MONTH(A226)</f>
        <v>2</v>
      </c>
      <c r="D226" s="9" t="n">
        <f aca="false">YEAR(A226)</f>
        <v>2023</v>
      </c>
      <c r="E226" s="9" t="n">
        <f aca="false">WEEKDAY(A226,2)</f>
        <v>6</v>
      </c>
      <c r="F226" s="10" t="n">
        <f aca="false">WEEKNUM(A226,2) - WEEKNUM(DATE(YEAR(A226),MONTH(A226),1),2) + 1</f>
        <v>1</v>
      </c>
      <c r="G226" s="10"/>
      <c r="H226" s="11" t="n">
        <v>540</v>
      </c>
      <c r="I226" s="12" t="s">
        <v>15</v>
      </c>
      <c r="J226" s="12" t="s">
        <v>52</v>
      </c>
      <c r="K226" s="12"/>
      <c r="L226" s="9" t="n">
        <f aca="false">L225+H226</f>
        <v>10436.14</v>
      </c>
      <c r="M226" s="10" t="str">
        <f aca="false">VLOOKUP(J226,RECATALOGANDO!A:C,2,0)</f>
        <v>SERVICIO DE PENSION</v>
      </c>
      <c r="N226" s="12" t="str">
        <f aca="false">VLOOKUP(M226,RECATALOGANDO!B:C,2,0)</f>
        <v>VENTA DE SERVICIO</v>
      </c>
      <c r="O226" s="2" t="s">
        <v>78</v>
      </c>
    </row>
    <row r="227" customFormat="false" ht="13.8" hidden="false" customHeight="false" outlineLevel="0" collapsed="false">
      <c r="A227" s="8" t="n">
        <v>44961</v>
      </c>
      <c r="B227" s="9" t="n">
        <f aca="false">DAY(A227)</f>
        <v>4</v>
      </c>
      <c r="C227" s="9" t="n">
        <f aca="false">MONTH(A227)</f>
        <v>2</v>
      </c>
      <c r="D227" s="9" t="n">
        <f aca="false">YEAR(A227)</f>
        <v>2023</v>
      </c>
      <c r="E227" s="9" t="n">
        <f aca="false">WEEKDAY(A227,2)</f>
        <v>6</v>
      </c>
      <c r="F227" s="10" t="n">
        <f aca="false">WEEKNUM(A227,2) - WEEKNUM(DATE(YEAR(A227),MONTH(A227),1),2) + 1</f>
        <v>1</v>
      </c>
      <c r="G227" s="10"/>
      <c r="H227" s="11" t="n">
        <v>540</v>
      </c>
      <c r="I227" s="12" t="s">
        <v>15</v>
      </c>
      <c r="J227" s="12" t="s">
        <v>52</v>
      </c>
      <c r="K227" s="12"/>
      <c r="L227" s="9" t="n">
        <f aca="false">L226+H227</f>
        <v>10976.14</v>
      </c>
      <c r="M227" s="10" t="str">
        <f aca="false">VLOOKUP(J227,RECATALOGANDO!A:C,2,0)</f>
        <v>SERVICIO DE PENSION</v>
      </c>
      <c r="N227" s="12" t="str">
        <f aca="false">VLOOKUP(M227,RECATALOGANDO!B:C,2,0)</f>
        <v>VENTA DE SERVICIO</v>
      </c>
      <c r="O227" s="2" t="s">
        <v>78</v>
      </c>
    </row>
    <row r="228" customFormat="false" ht="13.8" hidden="false" customHeight="false" outlineLevel="0" collapsed="false">
      <c r="A228" s="8" t="n">
        <v>44962</v>
      </c>
      <c r="B228" s="9" t="n">
        <f aca="false">DAY(A228)</f>
        <v>5</v>
      </c>
      <c r="C228" s="9" t="n">
        <f aca="false">MONTH(A228)</f>
        <v>2</v>
      </c>
      <c r="D228" s="9" t="n">
        <f aca="false">YEAR(A228)</f>
        <v>2023</v>
      </c>
      <c r="E228" s="9" t="n">
        <f aca="false">WEEKDAY(A228,2)</f>
        <v>7</v>
      </c>
      <c r="F228" s="10" t="n">
        <f aca="false">WEEKNUM(A228,2) - WEEKNUM(DATE(YEAR(A228),MONTH(A228),1),2) + 1</f>
        <v>1</v>
      </c>
      <c r="G228" s="10"/>
      <c r="H228" s="11" t="n">
        <v>188.78</v>
      </c>
      <c r="I228" s="12" t="s">
        <v>15</v>
      </c>
      <c r="J228" s="12" t="s">
        <v>53</v>
      </c>
      <c r="K228" s="12"/>
      <c r="L228" s="9" t="n">
        <f aca="false">L227+H228</f>
        <v>11164.92</v>
      </c>
      <c r="M228" s="10" t="str">
        <f aca="false">VLOOKUP(J228,RECATALOGANDO!A:C,2,0)</f>
        <v>SERVICIO DE GROOMING</v>
      </c>
      <c r="N228" s="12" t="str">
        <f aca="false">VLOOKUP(M228,RECATALOGANDO!B:C,2,0)</f>
        <v>VENTA DE SERVICIO</v>
      </c>
      <c r="O228" s="2" t="s">
        <v>78</v>
      </c>
    </row>
    <row r="229" customFormat="false" ht="13.8" hidden="false" customHeight="false" outlineLevel="0" collapsed="false">
      <c r="A229" s="8" t="n">
        <v>44962</v>
      </c>
      <c r="B229" s="9" t="n">
        <f aca="false">DAY(A229)</f>
        <v>5</v>
      </c>
      <c r="C229" s="9" t="n">
        <f aca="false">MONTH(A229)</f>
        <v>2</v>
      </c>
      <c r="D229" s="9" t="n">
        <f aca="false">YEAR(A229)</f>
        <v>2023</v>
      </c>
      <c r="E229" s="9" t="n">
        <f aca="false">WEEKDAY(A229,2)</f>
        <v>7</v>
      </c>
      <c r="F229" s="10" t="n">
        <f aca="false">WEEKNUM(A229,2) - WEEKNUM(DATE(YEAR(A229),MONTH(A229),1),2) + 1</f>
        <v>1</v>
      </c>
      <c r="G229" s="10"/>
      <c r="H229" s="11" t="n">
        <v>188.78</v>
      </c>
      <c r="I229" s="12" t="s">
        <v>15</v>
      </c>
      <c r="J229" s="12" t="s">
        <v>53</v>
      </c>
      <c r="K229" s="12"/>
      <c r="L229" s="9" t="n">
        <f aca="false">L228+H229</f>
        <v>11353.7</v>
      </c>
      <c r="M229" s="10" t="str">
        <f aca="false">VLOOKUP(J229,RECATALOGANDO!A:C,2,0)</f>
        <v>SERVICIO DE GROOMING</v>
      </c>
      <c r="N229" s="12" t="str">
        <f aca="false">VLOOKUP(M229,RECATALOGANDO!B:C,2,0)</f>
        <v>VENTA DE SERVICIO</v>
      </c>
      <c r="O229" s="2" t="s">
        <v>78</v>
      </c>
    </row>
    <row r="230" customFormat="false" ht="13.8" hidden="false" customHeight="false" outlineLevel="0" collapsed="false">
      <c r="A230" s="8" t="n">
        <v>44962</v>
      </c>
      <c r="B230" s="9" t="n">
        <f aca="false">DAY(A230)</f>
        <v>5</v>
      </c>
      <c r="C230" s="9" t="n">
        <f aca="false">MONTH(A230)</f>
        <v>2</v>
      </c>
      <c r="D230" s="9" t="n">
        <f aca="false">YEAR(A230)</f>
        <v>2023</v>
      </c>
      <c r="E230" s="9" t="n">
        <f aca="false">WEEKDAY(A230,2)</f>
        <v>7</v>
      </c>
      <c r="F230" s="10" t="n">
        <f aca="false">WEEKNUM(A230,2) - WEEKNUM(DATE(YEAR(A230),MONTH(A230),1),2) + 1</f>
        <v>1</v>
      </c>
      <c r="G230" s="10"/>
      <c r="H230" s="11" t="n">
        <v>192</v>
      </c>
      <c r="I230" s="12" t="s">
        <v>15</v>
      </c>
      <c r="J230" s="12" t="s">
        <v>53</v>
      </c>
      <c r="K230" s="12"/>
      <c r="L230" s="9" t="n">
        <f aca="false">L229+H230</f>
        <v>11545.7</v>
      </c>
      <c r="M230" s="10" t="str">
        <f aca="false">VLOOKUP(J230,RECATALOGANDO!A:C,2,0)</f>
        <v>SERVICIO DE GROOMING</v>
      </c>
      <c r="N230" s="12" t="str">
        <f aca="false">VLOOKUP(M230,RECATALOGANDO!B:C,2,0)</f>
        <v>VENTA DE SERVICIO</v>
      </c>
      <c r="O230" s="2" t="s">
        <v>78</v>
      </c>
    </row>
    <row r="231" customFormat="false" ht="13.8" hidden="false" customHeight="false" outlineLevel="0" collapsed="false">
      <c r="A231" s="8" t="n">
        <v>44962</v>
      </c>
      <c r="B231" s="9" t="n">
        <f aca="false">DAY(A231)</f>
        <v>5</v>
      </c>
      <c r="C231" s="9" t="n">
        <f aca="false">MONTH(A231)</f>
        <v>2</v>
      </c>
      <c r="D231" s="9" t="n">
        <f aca="false">YEAR(A231)</f>
        <v>2023</v>
      </c>
      <c r="E231" s="9" t="n">
        <f aca="false">WEEKDAY(A231,2)</f>
        <v>7</v>
      </c>
      <c r="F231" s="10" t="n">
        <f aca="false">WEEKNUM(A231,2) - WEEKNUM(DATE(YEAR(A231),MONTH(A231),1),2) + 1</f>
        <v>1</v>
      </c>
      <c r="G231" s="10"/>
      <c r="H231" s="11" t="n">
        <v>192</v>
      </c>
      <c r="I231" s="12" t="s">
        <v>15</v>
      </c>
      <c r="J231" s="12" t="s">
        <v>53</v>
      </c>
      <c r="K231" s="12"/>
      <c r="L231" s="9" t="n">
        <f aca="false">L230+H231</f>
        <v>11737.7</v>
      </c>
      <c r="M231" s="10" t="str">
        <f aca="false">VLOOKUP(J231,RECATALOGANDO!A:C,2,0)</f>
        <v>SERVICIO DE GROOMING</v>
      </c>
      <c r="N231" s="12" t="str">
        <f aca="false">VLOOKUP(M231,RECATALOGANDO!B:C,2,0)</f>
        <v>VENTA DE SERVICIO</v>
      </c>
      <c r="O231" s="2" t="s">
        <v>78</v>
      </c>
    </row>
    <row r="232" customFormat="false" ht="13.8" hidden="false" customHeight="false" outlineLevel="0" collapsed="false">
      <c r="A232" s="8" t="n">
        <v>44964</v>
      </c>
      <c r="B232" s="9" t="n">
        <f aca="false">DAY(A232)</f>
        <v>7</v>
      </c>
      <c r="C232" s="9" t="n">
        <f aca="false">MONTH(A232)</f>
        <v>2</v>
      </c>
      <c r="D232" s="9" t="n">
        <f aca="false">YEAR(A232)</f>
        <v>2023</v>
      </c>
      <c r="E232" s="9" t="n">
        <f aca="false">WEEKDAY(A232,2)</f>
        <v>2</v>
      </c>
      <c r="F232" s="10" t="n">
        <f aca="false">WEEKNUM(A232,2) - WEEKNUM(DATE(YEAR(A232),MONTH(A232),1),2) + 1</f>
        <v>2</v>
      </c>
      <c r="G232" s="10"/>
      <c r="H232" s="11" t="n">
        <v>730</v>
      </c>
      <c r="I232" s="12" t="s">
        <v>20</v>
      </c>
      <c r="J232" s="12" t="s">
        <v>50</v>
      </c>
      <c r="K232" s="12"/>
      <c r="L232" s="9" t="n">
        <f aca="false">L231+H232</f>
        <v>12467.7</v>
      </c>
      <c r="M232" s="10" t="str">
        <f aca="false">VLOOKUP(J232,RECATALOGANDO!A:C,2,0)</f>
        <v>VENTA DE MEDICAMENTO</v>
      </c>
      <c r="N232" s="12" t="str">
        <f aca="false">VLOOKUP(M232,RECATALOGANDO!B:C,2,0)</f>
        <v>VENTA DE PRODUCTO</v>
      </c>
      <c r="O232" s="2" t="s">
        <v>78</v>
      </c>
    </row>
    <row r="233" customFormat="false" ht="13.8" hidden="false" customHeight="false" outlineLevel="0" collapsed="false">
      <c r="A233" s="8" t="n">
        <v>44964</v>
      </c>
      <c r="B233" s="9" t="n">
        <f aca="false">DAY(A233)</f>
        <v>7</v>
      </c>
      <c r="C233" s="9" t="n">
        <f aca="false">MONTH(A233)</f>
        <v>2</v>
      </c>
      <c r="D233" s="9" t="n">
        <f aca="false">YEAR(A233)</f>
        <v>2023</v>
      </c>
      <c r="E233" s="9" t="n">
        <f aca="false">WEEKDAY(A233,2)</f>
        <v>2</v>
      </c>
      <c r="F233" s="10" t="n">
        <f aca="false">WEEKNUM(A233,2) - WEEKNUM(DATE(YEAR(A233),MONTH(A233),1),2) + 1</f>
        <v>2</v>
      </c>
      <c r="G233" s="10"/>
      <c r="H233" s="11" t="n">
        <v>730</v>
      </c>
      <c r="I233" s="12" t="s">
        <v>20</v>
      </c>
      <c r="J233" s="12" t="s">
        <v>50</v>
      </c>
      <c r="K233" s="12"/>
      <c r="L233" s="9" t="n">
        <f aca="false">L232+H233</f>
        <v>13197.7</v>
      </c>
      <c r="M233" s="10" t="str">
        <f aca="false">VLOOKUP(J233,RECATALOGANDO!A:C,2,0)</f>
        <v>VENTA DE MEDICAMENTO</v>
      </c>
      <c r="N233" s="12" t="str">
        <f aca="false">VLOOKUP(M233,RECATALOGANDO!B:C,2,0)</f>
        <v>VENTA DE PRODUCTO</v>
      </c>
      <c r="O233" s="2" t="s">
        <v>78</v>
      </c>
    </row>
    <row r="234" customFormat="false" ht="13.8" hidden="false" customHeight="false" outlineLevel="0" collapsed="false">
      <c r="A234" s="8" t="n">
        <v>44964</v>
      </c>
      <c r="B234" s="9" t="n">
        <f aca="false">DAY(A234)</f>
        <v>7</v>
      </c>
      <c r="C234" s="9" t="n">
        <f aca="false">MONTH(A234)</f>
        <v>2</v>
      </c>
      <c r="D234" s="9" t="n">
        <f aca="false">YEAR(A234)</f>
        <v>2023</v>
      </c>
      <c r="E234" s="9" t="n">
        <f aca="false">WEEKDAY(A234,2)</f>
        <v>2</v>
      </c>
      <c r="F234" s="10" t="n">
        <f aca="false">WEEKNUM(A234,2) - WEEKNUM(DATE(YEAR(A234),MONTH(A234),1),2) + 1</f>
        <v>2</v>
      </c>
      <c r="G234" s="10"/>
      <c r="H234" s="11" t="n">
        <v>1260</v>
      </c>
      <c r="I234" s="12" t="s">
        <v>20</v>
      </c>
      <c r="J234" s="12" t="s">
        <v>50</v>
      </c>
      <c r="K234" s="12"/>
      <c r="L234" s="9" t="n">
        <f aca="false">L233+H234</f>
        <v>14457.7</v>
      </c>
      <c r="M234" s="10" t="str">
        <f aca="false">VLOOKUP(J234,RECATALOGANDO!A:C,2,0)</f>
        <v>VENTA DE MEDICAMENTO</v>
      </c>
      <c r="N234" s="12" t="str">
        <f aca="false">VLOOKUP(M234,RECATALOGANDO!B:C,2,0)</f>
        <v>VENTA DE PRODUCTO</v>
      </c>
      <c r="O234" s="2" t="s">
        <v>78</v>
      </c>
    </row>
    <row r="235" customFormat="false" ht="13.8" hidden="false" customHeight="false" outlineLevel="0" collapsed="false">
      <c r="A235" s="8" t="n">
        <v>44964</v>
      </c>
      <c r="B235" s="9" t="n">
        <f aca="false">DAY(A235)</f>
        <v>7</v>
      </c>
      <c r="C235" s="9" t="n">
        <f aca="false">MONTH(A235)</f>
        <v>2</v>
      </c>
      <c r="D235" s="9" t="n">
        <f aca="false">YEAR(A235)</f>
        <v>2023</v>
      </c>
      <c r="E235" s="9" t="n">
        <f aca="false">WEEKDAY(A235,2)</f>
        <v>2</v>
      </c>
      <c r="F235" s="10" t="n">
        <f aca="false">WEEKNUM(A235,2) - WEEKNUM(DATE(YEAR(A235),MONTH(A235),1),2) + 1</f>
        <v>2</v>
      </c>
      <c r="G235" s="10"/>
      <c r="H235" s="11" t="n">
        <v>1260</v>
      </c>
      <c r="I235" s="12" t="s">
        <v>20</v>
      </c>
      <c r="J235" s="12" t="s">
        <v>50</v>
      </c>
      <c r="K235" s="12"/>
      <c r="L235" s="9" t="n">
        <f aca="false">L234+H235</f>
        <v>15717.7</v>
      </c>
      <c r="M235" s="10" t="str">
        <f aca="false">VLOOKUP(J235,RECATALOGANDO!A:C,2,0)</f>
        <v>VENTA DE MEDICAMENTO</v>
      </c>
      <c r="N235" s="12" t="str">
        <f aca="false">VLOOKUP(M235,RECATALOGANDO!B:C,2,0)</f>
        <v>VENTA DE PRODUCTO</v>
      </c>
      <c r="O235" s="2" t="s">
        <v>78</v>
      </c>
    </row>
    <row r="236" customFormat="false" ht="13.8" hidden="false" customHeight="false" outlineLevel="0" collapsed="false">
      <c r="A236" s="8" t="n">
        <v>44964</v>
      </c>
      <c r="B236" s="9" t="n">
        <f aca="false">DAY(A236)</f>
        <v>7</v>
      </c>
      <c r="C236" s="9" t="n">
        <f aca="false">MONTH(A236)</f>
        <v>2</v>
      </c>
      <c r="D236" s="9" t="n">
        <f aca="false">YEAR(A236)</f>
        <v>2023</v>
      </c>
      <c r="E236" s="9" t="n">
        <f aca="false">WEEKDAY(A236,2)</f>
        <v>2</v>
      </c>
      <c r="F236" s="10" t="n">
        <f aca="false">WEEKNUM(A236,2) - WEEKNUM(DATE(YEAR(A236),MONTH(A236),1),2) + 1</f>
        <v>2</v>
      </c>
      <c r="G236" s="10"/>
      <c r="H236" s="11" t="n">
        <v>1314</v>
      </c>
      <c r="I236" s="12" t="s">
        <v>20</v>
      </c>
      <c r="J236" s="12" t="s">
        <v>51</v>
      </c>
      <c r="K236" s="12"/>
      <c r="L236" s="9" t="n">
        <f aca="false">L235+H236</f>
        <v>17031.7</v>
      </c>
      <c r="M236" s="10" t="str">
        <f aca="false">VLOOKUP(J236,RECATALOGANDO!A:C,2,0)</f>
        <v>VENTA DE ALIMENTO</v>
      </c>
      <c r="N236" s="12" t="str">
        <f aca="false">VLOOKUP(M236,RECATALOGANDO!B:C,2,0)</f>
        <v>VENTA DE PRODUCTO</v>
      </c>
      <c r="O236" s="2" t="s">
        <v>78</v>
      </c>
    </row>
    <row r="237" customFormat="false" ht="13.8" hidden="false" customHeight="false" outlineLevel="0" collapsed="false">
      <c r="A237" s="8" t="n">
        <v>44964</v>
      </c>
      <c r="B237" s="9" t="n">
        <f aca="false">DAY(A237)</f>
        <v>7</v>
      </c>
      <c r="C237" s="9" t="n">
        <f aca="false">MONTH(A237)</f>
        <v>2</v>
      </c>
      <c r="D237" s="9" t="n">
        <f aca="false">YEAR(A237)</f>
        <v>2023</v>
      </c>
      <c r="E237" s="9" t="n">
        <f aca="false">WEEKDAY(A237,2)</f>
        <v>2</v>
      </c>
      <c r="F237" s="10" t="n">
        <f aca="false">WEEKNUM(A237,2) - WEEKNUM(DATE(YEAR(A237),MONTH(A237),1),2) + 1</f>
        <v>2</v>
      </c>
      <c r="G237" s="10"/>
      <c r="H237" s="11" t="n">
        <v>1314</v>
      </c>
      <c r="I237" s="12" t="s">
        <v>20</v>
      </c>
      <c r="J237" s="12" t="s">
        <v>51</v>
      </c>
      <c r="K237" s="12"/>
      <c r="L237" s="9" t="n">
        <f aca="false">L236+H237</f>
        <v>18345.7</v>
      </c>
      <c r="M237" s="10" t="str">
        <f aca="false">VLOOKUP(J237,RECATALOGANDO!A:C,2,0)</f>
        <v>VENTA DE ALIMENTO</v>
      </c>
      <c r="N237" s="12" t="str">
        <f aca="false">VLOOKUP(M237,RECATALOGANDO!B:C,2,0)</f>
        <v>VENTA DE PRODUCTO</v>
      </c>
      <c r="O237" s="2" t="s">
        <v>78</v>
      </c>
    </row>
    <row r="238" customFormat="false" ht="13.8" hidden="false" customHeight="false" outlineLevel="0" collapsed="false">
      <c r="A238" s="8" t="n">
        <v>44964</v>
      </c>
      <c r="B238" s="9" t="n">
        <f aca="false">DAY(A238)</f>
        <v>7</v>
      </c>
      <c r="C238" s="9" t="n">
        <f aca="false">MONTH(A238)</f>
        <v>2</v>
      </c>
      <c r="D238" s="9" t="n">
        <f aca="false">YEAR(A238)</f>
        <v>2023</v>
      </c>
      <c r="E238" s="9" t="n">
        <f aca="false">WEEKDAY(A238,2)</f>
        <v>2</v>
      </c>
      <c r="F238" s="10" t="n">
        <f aca="false">WEEKNUM(A238,2) - WEEKNUM(DATE(YEAR(A238),MONTH(A238),1),2) + 1</f>
        <v>2</v>
      </c>
      <c r="G238" s="10"/>
      <c r="H238" s="11" t="n">
        <v>150</v>
      </c>
      <c r="I238" s="12" t="s">
        <v>20</v>
      </c>
      <c r="J238" s="12" t="s">
        <v>53</v>
      </c>
      <c r="K238" s="12"/>
      <c r="L238" s="9" t="n">
        <f aca="false">L237+H238</f>
        <v>18495.7</v>
      </c>
      <c r="M238" s="10" t="str">
        <f aca="false">VLOOKUP(J238,RECATALOGANDO!A:C,2,0)</f>
        <v>SERVICIO DE GROOMING</v>
      </c>
      <c r="N238" s="12" t="str">
        <f aca="false">VLOOKUP(M238,RECATALOGANDO!B:C,2,0)</f>
        <v>VENTA DE SERVICIO</v>
      </c>
      <c r="O238" s="2" t="s">
        <v>78</v>
      </c>
    </row>
    <row r="239" customFormat="false" ht="13.8" hidden="false" customHeight="false" outlineLevel="0" collapsed="false">
      <c r="A239" s="8" t="n">
        <v>44964</v>
      </c>
      <c r="B239" s="9" t="n">
        <f aca="false">DAY(A239)</f>
        <v>7</v>
      </c>
      <c r="C239" s="9" t="n">
        <f aca="false">MONTH(A239)</f>
        <v>2</v>
      </c>
      <c r="D239" s="9" t="n">
        <f aca="false">YEAR(A239)</f>
        <v>2023</v>
      </c>
      <c r="E239" s="9" t="n">
        <f aca="false">WEEKDAY(A239,2)</f>
        <v>2</v>
      </c>
      <c r="F239" s="10" t="n">
        <f aca="false">WEEKNUM(A239,2) - WEEKNUM(DATE(YEAR(A239),MONTH(A239),1),2) + 1</f>
        <v>2</v>
      </c>
      <c r="G239" s="10"/>
      <c r="H239" s="11" t="n">
        <v>150</v>
      </c>
      <c r="I239" s="12" t="s">
        <v>20</v>
      </c>
      <c r="J239" s="12" t="s">
        <v>53</v>
      </c>
      <c r="K239" s="12"/>
      <c r="L239" s="9" t="n">
        <f aca="false">L238+H239</f>
        <v>18645.7</v>
      </c>
      <c r="M239" s="10" t="str">
        <f aca="false">VLOOKUP(J239,RECATALOGANDO!A:C,2,0)</f>
        <v>SERVICIO DE GROOMING</v>
      </c>
      <c r="N239" s="12" t="str">
        <f aca="false">VLOOKUP(M239,RECATALOGANDO!B:C,2,0)</f>
        <v>VENTA DE SERVICIO</v>
      </c>
      <c r="O239" s="2" t="s">
        <v>78</v>
      </c>
    </row>
    <row r="240" customFormat="false" ht="13.8" hidden="false" customHeight="false" outlineLevel="0" collapsed="false">
      <c r="A240" s="8" t="n">
        <v>44964</v>
      </c>
      <c r="B240" s="9" t="n">
        <f aca="false">DAY(A240)</f>
        <v>7</v>
      </c>
      <c r="C240" s="9" t="n">
        <f aca="false">MONTH(A240)</f>
        <v>2</v>
      </c>
      <c r="D240" s="9" t="n">
        <f aca="false">YEAR(A240)</f>
        <v>2023</v>
      </c>
      <c r="E240" s="9" t="n">
        <f aca="false">WEEKDAY(A240,2)</f>
        <v>2</v>
      </c>
      <c r="F240" s="10" t="n">
        <f aca="false">WEEKNUM(A240,2) - WEEKNUM(DATE(YEAR(A240),MONTH(A240),1),2) + 1</f>
        <v>2</v>
      </c>
      <c r="G240" s="10"/>
      <c r="H240" s="11" t="n">
        <v>750</v>
      </c>
      <c r="I240" s="12" t="s">
        <v>20</v>
      </c>
      <c r="J240" s="12" t="s">
        <v>44</v>
      </c>
      <c r="K240" s="12"/>
      <c r="L240" s="9" t="n">
        <f aca="false">L239+H240</f>
        <v>19395.7</v>
      </c>
      <c r="M240" s="10" t="str">
        <f aca="false">VLOOKUP(J240,RECATALOGANDO!A:C,2,0)</f>
        <v>HONORARIOS MEDICOS</v>
      </c>
      <c r="N240" s="12" t="str">
        <f aca="false">VLOOKUP(M240,RECATALOGANDO!B:C,2,0)</f>
        <v>VENTA DE SERVICIO</v>
      </c>
      <c r="O240" s="2" t="s">
        <v>78</v>
      </c>
    </row>
    <row r="241" customFormat="false" ht="13.8" hidden="false" customHeight="false" outlineLevel="0" collapsed="false">
      <c r="A241" s="8" t="n">
        <v>44964</v>
      </c>
      <c r="B241" s="9" t="n">
        <f aca="false">DAY(A241)</f>
        <v>7</v>
      </c>
      <c r="C241" s="9" t="n">
        <f aca="false">MONTH(A241)</f>
        <v>2</v>
      </c>
      <c r="D241" s="9" t="n">
        <f aca="false">YEAR(A241)</f>
        <v>2023</v>
      </c>
      <c r="E241" s="9" t="n">
        <f aca="false">WEEKDAY(A241,2)</f>
        <v>2</v>
      </c>
      <c r="F241" s="10" t="n">
        <f aca="false">WEEKNUM(A241,2) - WEEKNUM(DATE(YEAR(A241),MONTH(A241),1),2) + 1</f>
        <v>2</v>
      </c>
      <c r="G241" s="10"/>
      <c r="H241" s="11" t="n">
        <v>750</v>
      </c>
      <c r="I241" s="12" t="s">
        <v>20</v>
      </c>
      <c r="J241" s="12" t="s">
        <v>44</v>
      </c>
      <c r="K241" s="12"/>
      <c r="L241" s="9" t="n">
        <f aca="false">L240+H241</f>
        <v>20145.7</v>
      </c>
      <c r="M241" s="10" t="str">
        <f aca="false">VLOOKUP(J241,RECATALOGANDO!A:C,2,0)</f>
        <v>HONORARIOS MEDICOS</v>
      </c>
      <c r="N241" s="12" t="str">
        <f aca="false">VLOOKUP(M241,RECATALOGANDO!B:C,2,0)</f>
        <v>VENTA DE SERVICIO</v>
      </c>
      <c r="O241" s="2" t="s">
        <v>78</v>
      </c>
    </row>
    <row r="242" customFormat="false" ht="13.8" hidden="false" customHeight="false" outlineLevel="0" collapsed="false">
      <c r="A242" s="8" t="n">
        <v>44965</v>
      </c>
      <c r="B242" s="9" t="n">
        <f aca="false">DAY(A242)</f>
        <v>8</v>
      </c>
      <c r="C242" s="9" t="n">
        <f aca="false">MONTH(A242)</f>
        <v>2</v>
      </c>
      <c r="D242" s="9" t="n">
        <f aca="false">YEAR(A242)</f>
        <v>2023</v>
      </c>
      <c r="E242" s="9" t="n">
        <f aca="false">WEEKDAY(A242,2)</f>
        <v>3</v>
      </c>
      <c r="F242" s="10" t="n">
        <f aca="false">WEEKNUM(A242,2) - WEEKNUM(DATE(YEAR(A242),MONTH(A242),1),2) + 1</f>
        <v>2</v>
      </c>
      <c r="G242" s="10"/>
      <c r="H242" s="11" t="n">
        <v>704.31</v>
      </c>
      <c r="I242" s="12" t="s">
        <v>15</v>
      </c>
      <c r="J242" s="12" t="s">
        <v>44</v>
      </c>
      <c r="K242" s="12"/>
      <c r="L242" s="9" t="n">
        <f aca="false">L241+H242</f>
        <v>20850.01</v>
      </c>
      <c r="M242" s="10" t="str">
        <f aca="false">VLOOKUP(J242,RECATALOGANDO!A:C,2,0)</f>
        <v>HONORARIOS MEDICOS</v>
      </c>
      <c r="N242" s="12" t="str">
        <f aca="false">VLOOKUP(M242,RECATALOGANDO!B:C,2,0)</f>
        <v>VENTA DE SERVICIO</v>
      </c>
      <c r="O242" s="2" t="s">
        <v>78</v>
      </c>
    </row>
    <row r="243" customFormat="false" ht="13.8" hidden="false" customHeight="false" outlineLevel="0" collapsed="false">
      <c r="A243" s="8" t="n">
        <v>44965</v>
      </c>
      <c r="B243" s="9" t="n">
        <f aca="false">DAY(A243)</f>
        <v>8</v>
      </c>
      <c r="C243" s="9" t="n">
        <f aca="false">MONTH(A243)</f>
        <v>2</v>
      </c>
      <c r="D243" s="9" t="n">
        <f aca="false">YEAR(A243)</f>
        <v>2023</v>
      </c>
      <c r="E243" s="9" t="n">
        <f aca="false">WEEKDAY(A243,2)</f>
        <v>3</v>
      </c>
      <c r="F243" s="10" t="n">
        <f aca="false">WEEKNUM(A243,2) - WEEKNUM(DATE(YEAR(A243),MONTH(A243),1),2) + 1</f>
        <v>2</v>
      </c>
      <c r="G243" s="10"/>
      <c r="H243" s="11" t="n">
        <v>704.31</v>
      </c>
      <c r="I243" s="12" t="s">
        <v>15</v>
      </c>
      <c r="J243" s="12" t="s">
        <v>44</v>
      </c>
      <c r="K243" s="12"/>
      <c r="L243" s="9" t="n">
        <f aca="false">L242+H243</f>
        <v>21554.32</v>
      </c>
      <c r="M243" s="10" t="str">
        <f aca="false">VLOOKUP(J243,RECATALOGANDO!A:C,2,0)</f>
        <v>HONORARIOS MEDICOS</v>
      </c>
      <c r="N243" s="12" t="str">
        <f aca="false">VLOOKUP(M243,RECATALOGANDO!B:C,2,0)</f>
        <v>VENTA DE SERVICIO</v>
      </c>
      <c r="O243" s="2" t="s">
        <v>78</v>
      </c>
    </row>
    <row r="244" customFormat="false" ht="13.8" hidden="false" customHeight="false" outlineLevel="0" collapsed="false">
      <c r="A244" s="8" t="n">
        <v>44966</v>
      </c>
      <c r="B244" s="9" t="n">
        <f aca="false">DAY(A244)</f>
        <v>9</v>
      </c>
      <c r="C244" s="9" t="n">
        <f aca="false">MONTH(A244)</f>
        <v>2</v>
      </c>
      <c r="D244" s="9" t="n">
        <f aca="false">YEAR(A244)</f>
        <v>2023</v>
      </c>
      <c r="E244" s="9" t="n">
        <f aca="false">WEEKDAY(A244,2)</f>
        <v>4</v>
      </c>
      <c r="F244" s="10" t="n">
        <f aca="false">WEEKNUM(A244,2) - WEEKNUM(DATE(YEAR(A244),MONTH(A244),1),2) + 1</f>
        <v>2</v>
      </c>
      <c r="G244" s="10"/>
      <c r="H244" s="11" t="n">
        <v>450</v>
      </c>
      <c r="I244" s="12" t="s">
        <v>20</v>
      </c>
      <c r="J244" s="12" t="s">
        <v>45</v>
      </c>
      <c r="K244" s="12"/>
      <c r="L244" s="9" t="n">
        <f aca="false">L243+H244</f>
        <v>22004.32</v>
      </c>
      <c r="M244" s="10" t="str">
        <f aca="false">VLOOKUP(J244,RECATALOGANDO!A:C,2,0)</f>
        <v>VENTA DE MEDICAMENTO</v>
      </c>
      <c r="N244" s="12" t="str">
        <f aca="false">VLOOKUP(M244,RECATALOGANDO!B:C,2,0)</f>
        <v>VENTA DE PRODUCTO</v>
      </c>
      <c r="O244" s="2" t="s">
        <v>78</v>
      </c>
    </row>
    <row r="245" customFormat="false" ht="13.8" hidden="false" customHeight="false" outlineLevel="0" collapsed="false">
      <c r="A245" s="8" t="n">
        <v>44966</v>
      </c>
      <c r="B245" s="9" t="n">
        <f aca="false">DAY(A245)</f>
        <v>9</v>
      </c>
      <c r="C245" s="9" t="n">
        <f aca="false">MONTH(A245)</f>
        <v>2</v>
      </c>
      <c r="D245" s="9" t="n">
        <f aca="false">YEAR(A245)</f>
        <v>2023</v>
      </c>
      <c r="E245" s="9" t="n">
        <f aca="false">WEEKDAY(A245,2)</f>
        <v>4</v>
      </c>
      <c r="F245" s="10" t="n">
        <f aca="false">WEEKNUM(A245,2) - WEEKNUM(DATE(YEAR(A245),MONTH(A245),1),2) + 1</f>
        <v>2</v>
      </c>
      <c r="G245" s="10"/>
      <c r="H245" s="11" t="n">
        <v>450</v>
      </c>
      <c r="I245" s="12" t="s">
        <v>20</v>
      </c>
      <c r="J245" s="12" t="s">
        <v>45</v>
      </c>
      <c r="K245" s="12"/>
      <c r="L245" s="9" t="n">
        <f aca="false">L244+H245</f>
        <v>22454.32</v>
      </c>
      <c r="M245" s="10" t="str">
        <f aca="false">VLOOKUP(J245,RECATALOGANDO!A:C,2,0)</f>
        <v>VENTA DE MEDICAMENTO</v>
      </c>
      <c r="N245" s="12" t="str">
        <f aca="false">VLOOKUP(M245,RECATALOGANDO!B:C,2,0)</f>
        <v>VENTA DE PRODUCTO</v>
      </c>
      <c r="O245" s="2" t="s">
        <v>78</v>
      </c>
    </row>
    <row r="246" customFormat="false" ht="13.8" hidden="false" customHeight="false" outlineLevel="0" collapsed="false">
      <c r="A246" s="8" t="n">
        <v>44966</v>
      </c>
      <c r="B246" s="9" t="n">
        <f aca="false">DAY(A246)</f>
        <v>9</v>
      </c>
      <c r="C246" s="9" t="n">
        <f aca="false">MONTH(A246)</f>
        <v>2</v>
      </c>
      <c r="D246" s="9" t="n">
        <f aca="false">YEAR(A246)</f>
        <v>2023</v>
      </c>
      <c r="E246" s="9" t="n">
        <f aca="false">WEEKDAY(A246,2)</f>
        <v>4</v>
      </c>
      <c r="F246" s="10" t="n">
        <f aca="false">WEEKNUM(A246,2) - WEEKNUM(DATE(YEAR(A246),MONTH(A246),1),2) + 1</f>
        <v>2</v>
      </c>
      <c r="G246" s="10"/>
      <c r="H246" s="11" t="n">
        <v>800</v>
      </c>
      <c r="I246" s="12" t="s">
        <v>20</v>
      </c>
      <c r="J246" s="12" t="s">
        <v>45</v>
      </c>
      <c r="K246" s="12"/>
      <c r="L246" s="9" t="n">
        <f aca="false">L245+H246</f>
        <v>23254.32</v>
      </c>
      <c r="M246" s="10" t="str">
        <f aca="false">VLOOKUP(J246,RECATALOGANDO!A:C,2,0)</f>
        <v>VENTA DE MEDICAMENTO</v>
      </c>
      <c r="N246" s="12" t="str">
        <f aca="false">VLOOKUP(M246,RECATALOGANDO!B:C,2,0)</f>
        <v>VENTA DE PRODUCTO</v>
      </c>
      <c r="O246" s="2" t="s">
        <v>78</v>
      </c>
    </row>
    <row r="247" customFormat="false" ht="13.8" hidden="false" customHeight="false" outlineLevel="0" collapsed="false">
      <c r="A247" s="8" t="n">
        <v>44966</v>
      </c>
      <c r="B247" s="9" t="n">
        <f aca="false">DAY(A247)</f>
        <v>9</v>
      </c>
      <c r="C247" s="9" t="n">
        <f aca="false">MONTH(A247)</f>
        <v>2</v>
      </c>
      <c r="D247" s="9" t="n">
        <f aca="false">YEAR(A247)</f>
        <v>2023</v>
      </c>
      <c r="E247" s="9" t="n">
        <f aca="false">WEEKDAY(A247,2)</f>
        <v>4</v>
      </c>
      <c r="F247" s="10" t="n">
        <f aca="false">WEEKNUM(A247,2) - WEEKNUM(DATE(YEAR(A247),MONTH(A247),1),2) + 1</f>
        <v>2</v>
      </c>
      <c r="G247" s="10"/>
      <c r="H247" s="11" t="n">
        <v>800</v>
      </c>
      <c r="I247" s="12" t="s">
        <v>20</v>
      </c>
      <c r="J247" s="12" t="s">
        <v>45</v>
      </c>
      <c r="K247" s="12"/>
      <c r="L247" s="9" t="n">
        <f aca="false">L246+H247</f>
        <v>24054.32</v>
      </c>
      <c r="M247" s="10" t="str">
        <f aca="false">VLOOKUP(J247,RECATALOGANDO!A:C,2,0)</f>
        <v>VENTA DE MEDICAMENTO</v>
      </c>
      <c r="N247" s="12" t="str">
        <f aca="false">VLOOKUP(M247,RECATALOGANDO!B:C,2,0)</f>
        <v>VENTA DE PRODUCTO</v>
      </c>
      <c r="O247" s="2" t="s">
        <v>78</v>
      </c>
    </row>
    <row r="248" customFormat="false" ht="13.8" hidden="false" customHeight="false" outlineLevel="0" collapsed="false">
      <c r="A248" s="8" t="n">
        <v>44967</v>
      </c>
      <c r="B248" s="9" t="n">
        <f aca="false">DAY(A248)</f>
        <v>10</v>
      </c>
      <c r="C248" s="9" t="n">
        <f aca="false">MONTH(A248)</f>
        <v>2</v>
      </c>
      <c r="D248" s="9" t="n">
        <f aca="false">YEAR(A248)</f>
        <v>2023</v>
      </c>
      <c r="E248" s="9" t="n">
        <f aca="false">WEEKDAY(A248,2)</f>
        <v>5</v>
      </c>
      <c r="F248" s="10" t="n">
        <f aca="false">WEEKNUM(A248,2) - WEEKNUM(DATE(YEAR(A248),MONTH(A248),1),2) + 1</f>
        <v>2</v>
      </c>
      <c r="G248" s="10"/>
      <c r="H248" s="11" t="n">
        <v>725</v>
      </c>
      <c r="I248" s="12" t="s">
        <v>15</v>
      </c>
      <c r="J248" s="12" t="s">
        <v>52</v>
      </c>
      <c r="K248" s="12"/>
      <c r="L248" s="9" t="n">
        <f aca="false">L247+H248</f>
        <v>24779.32</v>
      </c>
      <c r="M248" s="10" t="str">
        <f aca="false">VLOOKUP(J248,RECATALOGANDO!A:C,2,0)</f>
        <v>SERVICIO DE PENSION</v>
      </c>
      <c r="N248" s="12" t="str">
        <f aca="false">VLOOKUP(M248,RECATALOGANDO!B:C,2,0)</f>
        <v>VENTA DE SERVICIO</v>
      </c>
      <c r="O248" s="2" t="s">
        <v>78</v>
      </c>
    </row>
    <row r="249" customFormat="false" ht="13.8" hidden="false" customHeight="false" outlineLevel="0" collapsed="false">
      <c r="A249" s="8" t="n">
        <v>44967</v>
      </c>
      <c r="B249" s="9" t="n">
        <f aca="false">DAY(A249)</f>
        <v>10</v>
      </c>
      <c r="C249" s="9" t="n">
        <f aca="false">MONTH(A249)</f>
        <v>2</v>
      </c>
      <c r="D249" s="9" t="n">
        <f aca="false">YEAR(A249)</f>
        <v>2023</v>
      </c>
      <c r="E249" s="9" t="n">
        <f aca="false">WEEKDAY(A249,2)</f>
        <v>5</v>
      </c>
      <c r="F249" s="10" t="n">
        <f aca="false">WEEKNUM(A249,2) - WEEKNUM(DATE(YEAR(A249),MONTH(A249),1),2) + 1</f>
        <v>2</v>
      </c>
      <c r="G249" s="10"/>
      <c r="H249" s="11" t="n">
        <v>725</v>
      </c>
      <c r="I249" s="12" t="s">
        <v>15</v>
      </c>
      <c r="J249" s="12" t="s">
        <v>52</v>
      </c>
      <c r="K249" s="12"/>
      <c r="L249" s="9" t="n">
        <f aca="false">L248+H249</f>
        <v>25504.32</v>
      </c>
      <c r="M249" s="10" t="str">
        <f aca="false">VLOOKUP(J249,RECATALOGANDO!A:C,2,0)</f>
        <v>SERVICIO DE PENSION</v>
      </c>
      <c r="N249" s="12" t="str">
        <f aca="false">VLOOKUP(M249,RECATALOGANDO!B:C,2,0)</f>
        <v>VENTA DE SERVICIO</v>
      </c>
      <c r="O249" s="2" t="s">
        <v>78</v>
      </c>
    </row>
    <row r="250" customFormat="false" ht="13.8" hidden="false" customHeight="false" outlineLevel="0" collapsed="false">
      <c r="A250" s="8" t="n">
        <v>44968</v>
      </c>
      <c r="B250" s="9" t="n">
        <f aca="false">DAY(A250)</f>
        <v>11</v>
      </c>
      <c r="C250" s="9" t="n">
        <f aca="false">MONTH(A250)</f>
        <v>2</v>
      </c>
      <c r="D250" s="9" t="n">
        <f aca="false">YEAR(A250)</f>
        <v>2023</v>
      </c>
      <c r="E250" s="9" t="n">
        <f aca="false">WEEKDAY(A250,2)</f>
        <v>6</v>
      </c>
      <c r="F250" s="10" t="n">
        <f aca="false">WEEKNUM(A250,2) - WEEKNUM(DATE(YEAR(A250),MONTH(A250),1),2) + 1</f>
        <v>2</v>
      </c>
      <c r="G250" s="10"/>
      <c r="H250" s="11" t="n">
        <v>150</v>
      </c>
      <c r="I250" s="12" t="s">
        <v>15</v>
      </c>
      <c r="J250" s="12" t="s">
        <v>53</v>
      </c>
      <c r="K250" s="12"/>
      <c r="L250" s="9" t="n">
        <f aca="false">L249+H250</f>
        <v>25654.32</v>
      </c>
      <c r="M250" s="10" t="str">
        <f aca="false">VLOOKUP(J250,RECATALOGANDO!A:C,2,0)</f>
        <v>SERVICIO DE GROOMING</v>
      </c>
      <c r="N250" s="12" t="str">
        <f aca="false">VLOOKUP(M250,RECATALOGANDO!B:C,2,0)</f>
        <v>VENTA DE SERVICIO</v>
      </c>
      <c r="O250" s="2" t="s">
        <v>78</v>
      </c>
    </row>
    <row r="251" customFormat="false" ht="13.8" hidden="false" customHeight="false" outlineLevel="0" collapsed="false">
      <c r="A251" s="8" t="n">
        <v>44968</v>
      </c>
      <c r="B251" s="9" t="n">
        <f aca="false">DAY(A251)</f>
        <v>11</v>
      </c>
      <c r="C251" s="9" t="n">
        <f aca="false">MONTH(A251)</f>
        <v>2</v>
      </c>
      <c r="D251" s="9" t="n">
        <f aca="false">YEAR(A251)</f>
        <v>2023</v>
      </c>
      <c r="E251" s="9" t="n">
        <f aca="false">WEEKDAY(A251,2)</f>
        <v>6</v>
      </c>
      <c r="F251" s="10" t="n">
        <f aca="false">WEEKNUM(A251,2) - WEEKNUM(DATE(YEAR(A251),MONTH(A251),1),2) + 1</f>
        <v>2</v>
      </c>
      <c r="G251" s="10"/>
      <c r="H251" s="11" t="n">
        <v>150</v>
      </c>
      <c r="I251" s="12" t="s">
        <v>15</v>
      </c>
      <c r="J251" s="12" t="s">
        <v>53</v>
      </c>
      <c r="K251" s="12"/>
      <c r="L251" s="9" t="n">
        <f aca="false">L250+H251</f>
        <v>25804.32</v>
      </c>
      <c r="M251" s="10" t="str">
        <f aca="false">VLOOKUP(J251,RECATALOGANDO!A:C,2,0)</f>
        <v>SERVICIO DE GROOMING</v>
      </c>
      <c r="N251" s="12" t="str">
        <f aca="false">VLOOKUP(M251,RECATALOGANDO!B:C,2,0)</f>
        <v>VENTA DE SERVICIO</v>
      </c>
      <c r="O251" s="2" t="s">
        <v>78</v>
      </c>
    </row>
    <row r="252" customFormat="false" ht="13.8" hidden="false" customHeight="false" outlineLevel="0" collapsed="false">
      <c r="A252" s="8" t="n">
        <v>44970</v>
      </c>
      <c r="B252" s="9" t="n">
        <f aca="false">DAY(A252)</f>
        <v>13</v>
      </c>
      <c r="C252" s="9" t="n">
        <f aca="false">MONTH(A252)</f>
        <v>2</v>
      </c>
      <c r="D252" s="9" t="n">
        <f aca="false">YEAR(A252)</f>
        <v>2023</v>
      </c>
      <c r="E252" s="9" t="n">
        <f aca="false">WEEKDAY(A252,2)</f>
        <v>1</v>
      </c>
      <c r="F252" s="10" t="n">
        <f aca="false">WEEKNUM(A252,2) - WEEKNUM(DATE(YEAR(A252),MONTH(A252),1),2) + 1</f>
        <v>3</v>
      </c>
      <c r="G252" s="10"/>
      <c r="H252" s="11" t="n">
        <v>833</v>
      </c>
      <c r="I252" s="12" t="s">
        <v>20</v>
      </c>
      <c r="J252" s="12" t="s">
        <v>45</v>
      </c>
      <c r="K252" s="12"/>
      <c r="L252" s="9" t="n">
        <f aca="false">L251+H252</f>
        <v>26637.32</v>
      </c>
      <c r="M252" s="10" t="str">
        <f aca="false">VLOOKUP(J252,RECATALOGANDO!A:C,2,0)</f>
        <v>VENTA DE MEDICAMENTO</v>
      </c>
      <c r="N252" s="12" t="str">
        <f aca="false">VLOOKUP(M252,RECATALOGANDO!B:C,2,0)</f>
        <v>VENTA DE PRODUCTO</v>
      </c>
      <c r="O252" s="2" t="s">
        <v>78</v>
      </c>
    </row>
    <row r="253" customFormat="false" ht="13.8" hidden="false" customHeight="false" outlineLevel="0" collapsed="false">
      <c r="A253" s="8" t="n">
        <v>44970</v>
      </c>
      <c r="B253" s="9" t="n">
        <f aca="false">DAY(A253)</f>
        <v>13</v>
      </c>
      <c r="C253" s="9" t="n">
        <f aca="false">MONTH(A253)</f>
        <v>2</v>
      </c>
      <c r="D253" s="9" t="n">
        <f aca="false">YEAR(A253)</f>
        <v>2023</v>
      </c>
      <c r="E253" s="9" t="n">
        <f aca="false">WEEKDAY(A253,2)</f>
        <v>1</v>
      </c>
      <c r="F253" s="10" t="n">
        <f aca="false">WEEKNUM(A253,2) - WEEKNUM(DATE(YEAR(A253),MONTH(A253),1),2) + 1</f>
        <v>3</v>
      </c>
      <c r="G253" s="10"/>
      <c r="H253" s="11" t="n">
        <v>833</v>
      </c>
      <c r="I253" s="12" t="s">
        <v>20</v>
      </c>
      <c r="J253" s="12" t="s">
        <v>45</v>
      </c>
      <c r="K253" s="12"/>
      <c r="L253" s="9" t="n">
        <f aca="false">L252+H253</f>
        <v>27470.32</v>
      </c>
      <c r="M253" s="10" t="str">
        <f aca="false">VLOOKUP(J253,RECATALOGANDO!A:C,2,0)</f>
        <v>VENTA DE MEDICAMENTO</v>
      </c>
      <c r="N253" s="12" t="str">
        <f aca="false">VLOOKUP(M253,RECATALOGANDO!B:C,2,0)</f>
        <v>VENTA DE PRODUCTO</v>
      </c>
      <c r="O253" s="2" t="s">
        <v>78</v>
      </c>
    </row>
    <row r="254" customFormat="false" ht="13.8" hidden="false" customHeight="false" outlineLevel="0" collapsed="false">
      <c r="A254" s="8" t="n">
        <v>44970</v>
      </c>
      <c r="B254" s="9" t="n">
        <f aca="false">DAY(A254)</f>
        <v>13</v>
      </c>
      <c r="C254" s="9" t="n">
        <f aca="false">MONTH(A254)</f>
        <v>2</v>
      </c>
      <c r="D254" s="9" t="n">
        <f aca="false">YEAR(A254)</f>
        <v>2023</v>
      </c>
      <c r="E254" s="9" t="n">
        <f aca="false">WEEKDAY(A254,2)</f>
        <v>1</v>
      </c>
      <c r="F254" s="10" t="n">
        <f aca="false">WEEKNUM(A254,2) - WEEKNUM(DATE(YEAR(A254),MONTH(A254),1),2) + 1</f>
        <v>3</v>
      </c>
      <c r="G254" s="10"/>
      <c r="H254" s="11" t="n">
        <v>2530</v>
      </c>
      <c r="I254" s="12" t="s">
        <v>20</v>
      </c>
      <c r="J254" s="12" t="s">
        <v>45</v>
      </c>
      <c r="K254" s="12"/>
      <c r="L254" s="9" t="n">
        <f aca="false">L253+H254</f>
        <v>30000.32</v>
      </c>
      <c r="M254" s="10" t="str">
        <f aca="false">VLOOKUP(J254,RECATALOGANDO!A:C,2,0)</f>
        <v>VENTA DE MEDICAMENTO</v>
      </c>
      <c r="N254" s="12" t="str">
        <f aca="false">VLOOKUP(M254,RECATALOGANDO!B:C,2,0)</f>
        <v>VENTA DE PRODUCTO</v>
      </c>
      <c r="O254" s="2" t="s">
        <v>78</v>
      </c>
    </row>
    <row r="255" customFormat="false" ht="13.8" hidden="false" customHeight="false" outlineLevel="0" collapsed="false">
      <c r="A255" s="8" t="n">
        <v>44970</v>
      </c>
      <c r="B255" s="9" t="n">
        <f aca="false">DAY(A255)</f>
        <v>13</v>
      </c>
      <c r="C255" s="9" t="n">
        <f aca="false">MONTH(A255)</f>
        <v>2</v>
      </c>
      <c r="D255" s="9" t="n">
        <f aca="false">YEAR(A255)</f>
        <v>2023</v>
      </c>
      <c r="E255" s="9" t="n">
        <f aca="false">WEEKDAY(A255,2)</f>
        <v>1</v>
      </c>
      <c r="F255" s="10" t="n">
        <f aca="false">WEEKNUM(A255,2) - WEEKNUM(DATE(YEAR(A255),MONTH(A255),1),2) + 1</f>
        <v>3</v>
      </c>
      <c r="G255" s="10"/>
      <c r="H255" s="11" t="n">
        <v>2530</v>
      </c>
      <c r="I255" s="12" t="s">
        <v>20</v>
      </c>
      <c r="J255" s="12" t="s">
        <v>45</v>
      </c>
      <c r="K255" s="12"/>
      <c r="L255" s="9" t="n">
        <f aca="false">L254+H255</f>
        <v>32530.32</v>
      </c>
      <c r="M255" s="10" t="str">
        <f aca="false">VLOOKUP(J255,RECATALOGANDO!A:C,2,0)</f>
        <v>VENTA DE MEDICAMENTO</v>
      </c>
      <c r="N255" s="12" t="str">
        <f aca="false">VLOOKUP(M255,RECATALOGANDO!B:C,2,0)</f>
        <v>VENTA DE PRODUCTO</v>
      </c>
      <c r="O255" s="2" t="s">
        <v>78</v>
      </c>
    </row>
    <row r="256" customFormat="false" ht="13.8" hidden="false" customHeight="false" outlineLevel="0" collapsed="false">
      <c r="A256" s="8" t="n">
        <v>44970</v>
      </c>
      <c r="B256" s="9" t="n">
        <f aca="false">DAY(A256)</f>
        <v>13</v>
      </c>
      <c r="C256" s="9" t="n">
        <f aca="false">MONTH(A256)</f>
        <v>2</v>
      </c>
      <c r="D256" s="9" t="n">
        <f aca="false">YEAR(A256)</f>
        <v>2023</v>
      </c>
      <c r="E256" s="9" t="n">
        <f aca="false">WEEKDAY(A256,2)</f>
        <v>1</v>
      </c>
      <c r="F256" s="10" t="n">
        <f aca="false">WEEKNUM(A256,2) - WEEKNUM(DATE(YEAR(A256),MONTH(A256),1),2) + 1</f>
        <v>3</v>
      </c>
      <c r="G256" s="10"/>
      <c r="H256" s="11" t="n">
        <v>1700</v>
      </c>
      <c r="I256" s="12" t="s">
        <v>20</v>
      </c>
      <c r="J256" s="12" t="s">
        <v>54</v>
      </c>
      <c r="K256" s="12"/>
      <c r="L256" s="9" t="n">
        <f aca="false">L255+H256</f>
        <v>34230.32</v>
      </c>
      <c r="M256" s="10" t="str">
        <f aca="false">VLOOKUP(J256,RECATALOGANDO!A:C,2,0)</f>
        <v>SERVICIO DE LABORATORIO</v>
      </c>
      <c r="N256" s="12" t="str">
        <f aca="false">VLOOKUP(M256,RECATALOGANDO!B:C,2,0)</f>
        <v>VENTA DE SERVICIO</v>
      </c>
      <c r="O256" s="2" t="s">
        <v>78</v>
      </c>
    </row>
    <row r="257" customFormat="false" ht="13.8" hidden="false" customHeight="false" outlineLevel="0" collapsed="false">
      <c r="A257" s="8" t="n">
        <v>44970</v>
      </c>
      <c r="B257" s="9" t="n">
        <f aca="false">DAY(A257)</f>
        <v>13</v>
      </c>
      <c r="C257" s="9" t="n">
        <f aca="false">MONTH(A257)</f>
        <v>2</v>
      </c>
      <c r="D257" s="9" t="n">
        <f aca="false">YEAR(A257)</f>
        <v>2023</v>
      </c>
      <c r="E257" s="9" t="n">
        <f aca="false">WEEKDAY(A257,2)</f>
        <v>1</v>
      </c>
      <c r="F257" s="10" t="n">
        <f aca="false">WEEKNUM(A257,2) - WEEKNUM(DATE(YEAR(A257),MONTH(A257),1),2) + 1</f>
        <v>3</v>
      </c>
      <c r="G257" s="10"/>
      <c r="H257" s="11" t="n">
        <v>1700</v>
      </c>
      <c r="I257" s="12" t="s">
        <v>20</v>
      </c>
      <c r="J257" s="12" t="s">
        <v>54</v>
      </c>
      <c r="K257" s="12"/>
      <c r="L257" s="9" t="n">
        <f aca="false">L256+H257</f>
        <v>35930.32</v>
      </c>
      <c r="M257" s="10" t="str">
        <f aca="false">VLOOKUP(J257,RECATALOGANDO!A:C,2,0)</f>
        <v>SERVICIO DE LABORATORIO</v>
      </c>
      <c r="N257" s="12" t="str">
        <f aca="false">VLOOKUP(M257,RECATALOGANDO!B:C,2,0)</f>
        <v>VENTA DE SERVICIO</v>
      </c>
      <c r="O257" s="2" t="s">
        <v>78</v>
      </c>
    </row>
    <row r="258" customFormat="false" ht="13.8" hidden="false" customHeight="false" outlineLevel="0" collapsed="false">
      <c r="A258" s="8" t="n">
        <v>44972</v>
      </c>
      <c r="B258" s="9" t="n">
        <f aca="false">DAY(A258)</f>
        <v>15</v>
      </c>
      <c r="C258" s="9" t="n">
        <f aca="false">MONTH(A258)</f>
        <v>2</v>
      </c>
      <c r="D258" s="9" t="n">
        <f aca="false">YEAR(A258)</f>
        <v>2023</v>
      </c>
      <c r="E258" s="9" t="n">
        <f aca="false">WEEKDAY(A258,2)</f>
        <v>3</v>
      </c>
      <c r="F258" s="10" t="n">
        <f aca="false">WEEKNUM(A258,2) - WEEKNUM(DATE(YEAR(A258),MONTH(A258),1),2) + 1</f>
        <v>3</v>
      </c>
      <c r="G258" s="10" t="n">
        <v>1</v>
      </c>
      <c r="H258" s="11" t="n">
        <v>1329</v>
      </c>
      <c r="I258" s="12" t="s">
        <v>15</v>
      </c>
      <c r="J258" s="12" t="s">
        <v>44</v>
      </c>
      <c r="K258" s="12"/>
      <c r="L258" s="9" t="n">
        <f aca="false">L257+H258</f>
        <v>37259.32</v>
      </c>
      <c r="M258" s="10" t="str">
        <f aca="false">VLOOKUP(J258,RECATALOGANDO!A:C,2,0)</f>
        <v>HONORARIOS MEDICOS</v>
      </c>
      <c r="N258" s="12" t="str">
        <f aca="false">VLOOKUP(M258,RECATALOGANDO!B:C,2,0)</f>
        <v>VENTA DE SERVICIO</v>
      </c>
      <c r="O258" s="2" t="s">
        <v>78</v>
      </c>
    </row>
    <row r="259" customFormat="false" ht="13.8" hidden="false" customHeight="false" outlineLevel="0" collapsed="false">
      <c r="A259" s="8" t="n">
        <v>44972</v>
      </c>
      <c r="B259" s="9" t="n">
        <f aca="false">DAY(A259)</f>
        <v>15</v>
      </c>
      <c r="C259" s="9" t="n">
        <f aca="false">MONTH(A259)</f>
        <v>2</v>
      </c>
      <c r="D259" s="9" t="n">
        <f aca="false">YEAR(A259)</f>
        <v>2023</v>
      </c>
      <c r="E259" s="9" t="n">
        <f aca="false">WEEKDAY(A259,2)</f>
        <v>3</v>
      </c>
      <c r="F259" s="10" t="n">
        <f aca="false">WEEKNUM(A259,2) - WEEKNUM(DATE(YEAR(A259),MONTH(A259),1),2) + 1</f>
        <v>3</v>
      </c>
      <c r="G259" s="10" t="n">
        <v>1</v>
      </c>
      <c r="H259" s="11" t="n">
        <v>1329</v>
      </c>
      <c r="I259" s="12" t="s">
        <v>15</v>
      </c>
      <c r="J259" s="12" t="s">
        <v>44</v>
      </c>
      <c r="K259" s="12"/>
      <c r="L259" s="9" t="n">
        <f aca="false">L258+H259</f>
        <v>38588.32</v>
      </c>
      <c r="M259" s="10" t="str">
        <f aca="false">VLOOKUP(J259,RECATALOGANDO!A:C,2,0)</f>
        <v>HONORARIOS MEDICOS</v>
      </c>
      <c r="N259" s="12" t="str">
        <f aca="false">VLOOKUP(M259,RECATALOGANDO!B:C,2,0)</f>
        <v>VENTA DE SERVICIO</v>
      </c>
      <c r="O259" s="2" t="s">
        <v>78</v>
      </c>
    </row>
    <row r="260" customFormat="false" ht="13.8" hidden="false" customHeight="false" outlineLevel="0" collapsed="false">
      <c r="A260" s="8" t="n">
        <v>44972</v>
      </c>
      <c r="B260" s="9" t="n">
        <f aca="false">DAY(A260)</f>
        <v>15</v>
      </c>
      <c r="C260" s="9" t="n">
        <f aca="false">MONTH(A260)</f>
        <v>2</v>
      </c>
      <c r="D260" s="9" t="n">
        <f aca="false">YEAR(A260)</f>
        <v>2023</v>
      </c>
      <c r="E260" s="9" t="n">
        <f aca="false">WEEKDAY(A260,2)</f>
        <v>3</v>
      </c>
      <c r="F260" s="10" t="n">
        <f aca="false">WEEKNUM(A260,2) - WEEKNUM(DATE(YEAR(A260),MONTH(A260),1),2) + 1</f>
        <v>3</v>
      </c>
      <c r="G260" s="10" t="n">
        <v>1</v>
      </c>
      <c r="H260" s="11" t="n">
        <v>4540</v>
      </c>
      <c r="I260" s="12" t="s">
        <v>20</v>
      </c>
      <c r="J260" s="12" t="s">
        <v>44</v>
      </c>
      <c r="K260" s="12"/>
      <c r="L260" s="9" t="n">
        <f aca="false">L259+H260</f>
        <v>43128.32</v>
      </c>
      <c r="M260" s="10" t="str">
        <f aca="false">VLOOKUP(J260,RECATALOGANDO!A:C,2,0)</f>
        <v>HONORARIOS MEDICOS</v>
      </c>
      <c r="N260" s="12" t="str">
        <f aca="false">VLOOKUP(M260,RECATALOGANDO!B:C,2,0)</f>
        <v>VENTA DE SERVICIO</v>
      </c>
      <c r="O260" s="2" t="s">
        <v>78</v>
      </c>
    </row>
    <row r="261" customFormat="false" ht="13.8" hidden="false" customHeight="false" outlineLevel="0" collapsed="false">
      <c r="A261" s="8" t="n">
        <v>44972</v>
      </c>
      <c r="B261" s="9" t="n">
        <f aca="false">DAY(A261)</f>
        <v>15</v>
      </c>
      <c r="C261" s="9" t="n">
        <f aca="false">MONTH(A261)</f>
        <v>2</v>
      </c>
      <c r="D261" s="9" t="n">
        <f aca="false">YEAR(A261)</f>
        <v>2023</v>
      </c>
      <c r="E261" s="9" t="n">
        <f aca="false">WEEKDAY(A261,2)</f>
        <v>3</v>
      </c>
      <c r="F261" s="10" t="n">
        <f aca="false">WEEKNUM(A261,2) - WEEKNUM(DATE(YEAR(A261),MONTH(A261),1),2) + 1</f>
        <v>3</v>
      </c>
      <c r="G261" s="10" t="n">
        <v>1</v>
      </c>
      <c r="H261" s="11" t="n">
        <v>4540</v>
      </c>
      <c r="I261" s="12" t="s">
        <v>20</v>
      </c>
      <c r="J261" s="12" t="s">
        <v>44</v>
      </c>
      <c r="K261" s="12"/>
      <c r="L261" s="9" t="n">
        <f aca="false">L260+H261</f>
        <v>47668.32</v>
      </c>
      <c r="M261" s="10" t="str">
        <f aca="false">VLOOKUP(J261,RECATALOGANDO!A:C,2,0)</f>
        <v>HONORARIOS MEDICOS</v>
      </c>
      <c r="N261" s="12" t="str">
        <f aca="false">VLOOKUP(M261,RECATALOGANDO!B:C,2,0)</f>
        <v>VENTA DE SERVICIO</v>
      </c>
      <c r="O261" s="2" t="s">
        <v>78</v>
      </c>
    </row>
    <row r="262" customFormat="false" ht="13.8" hidden="false" customHeight="false" outlineLevel="0" collapsed="false">
      <c r="A262" s="8" t="n">
        <v>44973</v>
      </c>
      <c r="B262" s="9" t="n">
        <f aca="false">DAY(A262)</f>
        <v>16</v>
      </c>
      <c r="C262" s="9" t="n">
        <f aca="false">MONTH(A262)</f>
        <v>2</v>
      </c>
      <c r="D262" s="9" t="n">
        <f aca="false">YEAR(A262)</f>
        <v>2023</v>
      </c>
      <c r="E262" s="9" t="n">
        <f aca="false">WEEKDAY(A262,2)</f>
        <v>4</v>
      </c>
      <c r="F262" s="10" t="n">
        <f aca="false">WEEKNUM(A262,2) - WEEKNUM(DATE(YEAR(A262),MONTH(A262),1),2) + 1</f>
        <v>3</v>
      </c>
      <c r="G262" s="10"/>
      <c r="H262" s="11" t="n">
        <v>625</v>
      </c>
      <c r="I262" s="12" t="s">
        <v>20</v>
      </c>
      <c r="J262" s="12" t="s">
        <v>45</v>
      </c>
      <c r="K262" s="12"/>
      <c r="L262" s="9" t="n">
        <f aca="false">L261+H262</f>
        <v>48293.32</v>
      </c>
      <c r="M262" s="10" t="str">
        <f aca="false">VLOOKUP(J262,RECATALOGANDO!A:C,2,0)</f>
        <v>VENTA DE MEDICAMENTO</v>
      </c>
      <c r="N262" s="12" t="str">
        <f aca="false">VLOOKUP(M262,RECATALOGANDO!B:C,2,0)</f>
        <v>VENTA DE PRODUCTO</v>
      </c>
      <c r="O262" s="2" t="s">
        <v>78</v>
      </c>
    </row>
    <row r="263" customFormat="false" ht="13.8" hidden="false" customHeight="false" outlineLevel="0" collapsed="false">
      <c r="A263" s="8" t="n">
        <v>44973</v>
      </c>
      <c r="B263" s="9" t="n">
        <f aca="false">DAY(A263)</f>
        <v>16</v>
      </c>
      <c r="C263" s="9" t="n">
        <f aca="false">MONTH(A263)</f>
        <v>2</v>
      </c>
      <c r="D263" s="9" t="n">
        <f aca="false">YEAR(A263)</f>
        <v>2023</v>
      </c>
      <c r="E263" s="9" t="n">
        <f aca="false">WEEKDAY(A263,2)</f>
        <v>4</v>
      </c>
      <c r="F263" s="10" t="n">
        <f aca="false">WEEKNUM(A263,2) - WEEKNUM(DATE(YEAR(A263),MONTH(A263),1),2) + 1</f>
        <v>3</v>
      </c>
      <c r="G263" s="10"/>
      <c r="H263" s="11" t="n">
        <v>625</v>
      </c>
      <c r="I263" s="12" t="s">
        <v>20</v>
      </c>
      <c r="J263" s="12" t="s">
        <v>45</v>
      </c>
      <c r="K263" s="12"/>
      <c r="L263" s="9" t="n">
        <f aca="false">L262+H263</f>
        <v>48918.32</v>
      </c>
      <c r="M263" s="10" t="str">
        <f aca="false">VLOOKUP(J263,RECATALOGANDO!A:C,2,0)</f>
        <v>VENTA DE MEDICAMENTO</v>
      </c>
      <c r="N263" s="12" t="str">
        <f aca="false">VLOOKUP(M263,RECATALOGANDO!B:C,2,0)</f>
        <v>VENTA DE PRODUCTO</v>
      </c>
      <c r="O263" s="2" t="s">
        <v>78</v>
      </c>
    </row>
    <row r="264" customFormat="false" ht="13.8" hidden="false" customHeight="false" outlineLevel="0" collapsed="false">
      <c r="A264" s="8" t="n">
        <v>44973</v>
      </c>
      <c r="B264" s="9" t="n">
        <f aca="false">DAY(A264)</f>
        <v>16</v>
      </c>
      <c r="C264" s="9" t="n">
        <f aca="false">MONTH(A264)</f>
        <v>2</v>
      </c>
      <c r="D264" s="9" t="n">
        <f aca="false">YEAR(A264)</f>
        <v>2023</v>
      </c>
      <c r="E264" s="9" t="n">
        <f aca="false">WEEKDAY(A264,2)</f>
        <v>4</v>
      </c>
      <c r="F264" s="10" t="n">
        <f aca="false">WEEKNUM(A264,2) - WEEKNUM(DATE(YEAR(A264),MONTH(A264),1),2) + 1</f>
        <v>3</v>
      </c>
      <c r="G264" s="10"/>
      <c r="H264" s="11" t="n">
        <v>193</v>
      </c>
      <c r="I264" s="12" t="s">
        <v>20</v>
      </c>
      <c r="J264" s="12" t="s">
        <v>53</v>
      </c>
      <c r="K264" s="12"/>
      <c r="L264" s="9" t="n">
        <f aca="false">L263+H264</f>
        <v>49111.32</v>
      </c>
      <c r="M264" s="10" t="str">
        <f aca="false">VLOOKUP(J264,RECATALOGANDO!A:C,2,0)</f>
        <v>SERVICIO DE GROOMING</v>
      </c>
      <c r="N264" s="12" t="str">
        <f aca="false">VLOOKUP(M264,RECATALOGANDO!B:C,2,0)</f>
        <v>VENTA DE SERVICIO</v>
      </c>
      <c r="O264" s="2" t="s">
        <v>78</v>
      </c>
    </row>
    <row r="265" customFormat="false" ht="13.8" hidden="false" customHeight="false" outlineLevel="0" collapsed="false">
      <c r="A265" s="8" t="n">
        <v>44973</v>
      </c>
      <c r="B265" s="9" t="n">
        <f aca="false">DAY(A265)</f>
        <v>16</v>
      </c>
      <c r="C265" s="9" t="n">
        <f aca="false">MONTH(A265)</f>
        <v>2</v>
      </c>
      <c r="D265" s="9" t="n">
        <f aca="false">YEAR(A265)</f>
        <v>2023</v>
      </c>
      <c r="E265" s="9" t="n">
        <f aca="false">WEEKDAY(A265,2)</f>
        <v>4</v>
      </c>
      <c r="F265" s="10" t="n">
        <f aca="false">WEEKNUM(A265,2) - WEEKNUM(DATE(YEAR(A265),MONTH(A265),1),2) + 1</f>
        <v>3</v>
      </c>
      <c r="G265" s="10"/>
      <c r="H265" s="11" t="n">
        <v>193</v>
      </c>
      <c r="I265" s="12" t="s">
        <v>20</v>
      </c>
      <c r="J265" s="12" t="s">
        <v>53</v>
      </c>
      <c r="K265" s="12"/>
      <c r="L265" s="9" t="n">
        <f aca="false">L264+H265</f>
        <v>49304.32</v>
      </c>
      <c r="M265" s="10" t="str">
        <f aca="false">VLOOKUP(J265,RECATALOGANDO!A:C,2,0)</f>
        <v>SERVICIO DE GROOMING</v>
      </c>
      <c r="N265" s="12" t="str">
        <f aca="false">VLOOKUP(M265,RECATALOGANDO!B:C,2,0)</f>
        <v>VENTA DE SERVICIO</v>
      </c>
      <c r="O265" s="2" t="s">
        <v>78</v>
      </c>
    </row>
    <row r="266" customFormat="false" ht="13.8" hidden="false" customHeight="false" outlineLevel="0" collapsed="false">
      <c r="A266" s="8" t="n">
        <v>44973</v>
      </c>
      <c r="B266" s="9" t="n">
        <f aca="false">DAY(A266)</f>
        <v>16</v>
      </c>
      <c r="C266" s="9" t="n">
        <f aca="false">MONTH(A266)</f>
        <v>2</v>
      </c>
      <c r="D266" s="9" t="n">
        <f aca="false">YEAR(A266)</f>
        <v>2023</v>
      </c>
      <c r="E266" s="9" t="n">
        <f aca="false">WEEKDAY(A266,2)</f>
        <v>4</v>
      </c>
      <c r="F266" s="10" t="n">
        <f aca="false">WEEKNUM(A266,2) - WEEKNUM(DATE(YEAR(A266),MONTH(A266),1),2) + 1</f>
        <v>3</v>
      </c>
      <c r="G266" s="10"/>
      <c r="H266" s="11" t="n">
        <v>942.21</v>
      </c>
      <c r="I266" s="12" t="s">
        <v>15</v>
      </c>
      <c r="J266" s="12" t="s">
        <v>53</v>
      </c>
      <c r="K266" s="12"/>
      <c r="L266" s="9" t="n">
        <f aca="false">L265+H266</f>
        <v>50246.53</v>
      </c>
      <c r="M266" s="10" t="str">
        <f aca="false">VLOOKUP(J266,RECATALOGANDO!A:C,2,0)</f>
        <v>SERVICIO DE GROOMING</v>
      </c>
      <c r="N266" s="12" t="str">
        <f aca="false">VLOOKUP(M266,RECATALOGANDO!B:C,2,0)</f>
        <v>VENTA DE SERVICIO</v>
      </c>
      <c r="O266" s="2" t="s">
        <v>78</v>
      </c>
    </row>
    <row r="267" customFormat="false" ht="13.8" hidden="false" customHeight="false" outlineLevel="0" collapsed="false">
      <c r="A267" s="8" t="n">
        <v>44973</v>
      </c>
      <c r="B267" s="9" t="n">
        <f aca="false">DAY(A267)</f>
        <v>16</v>
      </c>
      <c r="C267" s="9" t="n">
        <f aca="false">MONTH(A267)</f>
        <v>2</v>
      </c>
      <c r="D267" s="9" t="n">
        <f aca="false">YEAR(A267)</f>
        <v>2023</v>
      </c>
      <c r="E267" s="9" t="n">
        <f aca="false">WEEKDAY(A267,2)</f>
        <v>4</v>
      </c>
      <c r="F267" s="10" t="n">
        <f aca="false">WEEKNUM(A267,2) - WEEKNUM(DATE(YEAR(A267),MONTH(A267),1),2) + 1</f>
        <v>3</v>
      </c>
      <c r="G267" s="10"/>
      <c r="H267" s="11" t="n">
        <v>942.21</v>
      </c>
      <c r="I267" s="12" t="s">
        <v>15</v>
      </c>
      <c r="J267" s="12" t="s">
        <v>53</v>
      </c>
      <c r="K267" s="12"/>
      <c r="L267" s="9" t="n">
        <f aca="false">L266+H267</f>
        <v>51188.74</v>
      </c>
      <c r="M267" s="10" t="str">
        <f aca="false">VLOOKUP(J267,RECATALOGANDO!A:C,2,0)</f>
        <v>SERVICIO DE GROOMING</v>
      </c>
      <c r="N267" s="12" t="str">
        <f aca="false">VLOOKUP(M267,RECATALOGANDO!B:C,2,0)</f>
        <v>VENTA DE SERVICIO</v>
      </c>
      <c r="O267" s="2" t="s">
        <v>78</v>
      </c>
    </row>
    <row r="268" customFormat="false" ht="13.8" hidden="false" customHeight="false" outlineLevel="0" collapsed="false">
      <c r="A268" s="8" t="n">
        <v>44974</v>
      </c>
      <c r="B268" s="9" t="n">
        <f aca="false">DAY(A268)</f>
        <v>17</v>
      </c>
      <c r="C268" s="9" t="n">
        <f aca="false">MONTH(A268)</f>
        <v>2</v>
      </c>
      <c r="D268" s="9" t="n">
        <f aca="false">YEAR(A268)</f>
        <v>2023</v>
      </c>
      <c r="E268" s="9" t="n">
        <f aca="false">WEEKDAY(A268,2)</f>
        <v>5</v>
      </c>
      <c r="F268" s="10" t="n">
        <f aca="false">WEEKNUM(A268,2) - WEEKNUM(DATE(YEAR(A268),MONTH(A268),1),2) + 1</f>
        <v>3</v>
      </c>
      <c r="G268" s="10"/>
      <c r="H268" s="11" t="n">
        <v>757</v>
      </c>
      <c r="I268" s="12" t="s">
        <v>20</v>
      </c>
      <c r="J268" s="12" t="s">
        <v>55</v>
      </c>
      <c r="K268" s="12"/>
      <c r="L268" s="9" t="n">
        <f aca="false">L267+H268</f>
        <v>51945.74</v>
      </c>
      <c r="M268" s="10" t="str">
        <f aca="false">VLOOKUP(J268,RECATALOGANDO!A:C,2,0)</f>
        <v>VENTA DE MEDICAMENTO</v>
      </c>
      <c r="N268" s="12" t="str">
        <f aca="false">VLOOKUP(M268,RECATALOGANDO!B:C,2,0)</f>
        <v>VENTA DE PRODUCTO</v>
      </c>
      <c r="O268" s="2" t="s">
        <v>78</v>
      </c>
    </row>
    <row r="269" customFormat="false" ht="13.8" hidden="false" customHeight="false" outlineLevel="0" collapsed="false">
      <c r="A269" s="8" t="n">
        <v>44974</v>
      </c>
      <c r="B269" s="9" t="n">
        <f aca="false">DAY(A269)</f>
        <v>17</v>
      </c>
      <c r="C269" s="9" t="n">
        <f aca="false">MONTH(A269)</f>
        <v>2</v>
      </c>
      <c r="D269" s="9" t="n">
        <f aca="false">YEAR(A269)</f>
        <v>2023</v>
      </c>
      <c r="E269" s="9" t="n">
        <f aca="false">WEEKDAY(A269,2)</f>
        <v>5</v>
      </c>
      <c r="F269" s="10" t="n">
        <f aca="false">WEEKNUM(A269,2) - WEEKNUM(DATE(YEAR(A269),MONTH(A269),1),2) + 1</f>
        <v>3</v>
      </c>
      <c r="G269" s="10"/>
      <c r="H269" s="11" t="n">
        <v>757</v>
      </c>
      <c r="I269" s="12" t="s">
        <v>20</v>
      </c>
      <c r="J269" s="12" t="s">
        <v>55</v>
      </c>
      <c r="K269" s="12"/>
      <c r="L269" s="9" t="n">
        <f aca="false">L268+H269</f>
        <v>52702.74</v>
      </c>
      <c r="M269" s="10" t="str">
        <f aca="false">VLOOKUP(J269,RECATALOGANDO!A:C,2,0)</f>
        <v>VENTA DE MEDICAMENTO</v>
      </c>
      <c r="N269" s="12" t="str">
        <f aca="false">VLOOKUP(M269,RECATALOGANDO!B:C,2,0)</f>
        <v>VENTA DE PRODUCTO</v>
      </c>
      <c r="O269" s="2" t="s">
        <v>78</v>
      </c>
    </row>
    <row r="270" customFormat="false" ht="13.8" hidden="false" customHeight="false" outlineLevel="0" collapsed="false">
      <c r="A270" s="8" t="n">
        <v>44974</v>
      </c>
      <c r="B270" s="9" t="n">
        <f aca="false">DAY(A270)</f>
        <v>17</v>
      </c>
      <c r="C270" s="9" t="n">
        <f aca="false">MONTH(A270)</f>
        <v>2</v>
      </c>
      <c r="D270" s="9" t="n">
        <f aca="false">YEAR(A270)</f>
        <v>2023</v>
      </c>
      <c r="E270" s="9" t="n">
        <f aca="false">WEEKDAY(A270,2)</f>
        <v>5</v>
      </c>
      <c r="F270" s="10" t="n">
        <f aca="false">WEEKNUM(A270,2) - WEEKNUM(DATE(YEAR(A270),MONTH(A270),1),2) + 1</f>
        <v>3</v>
      </c>
      <c r="G270" s="10"/>
      <c r="H270" s="11" t="n">
        <v>1130</v>
      </c>
      <c r="I270" s="12" t="s">
        <v>20</v>
      </c>
      <c r="J270" s="12" t="s">
        <v>55</v>
      </c>
      <c r="K270" s="12"/>
      <c r="L270" s="9" t="n">
        <f aca="false">L269+H270</f>
        <v>53832.74</v>
      </c>
      <c r="M270" s="10" t="str">
        <f aca="false">VLOOKUP(J270,RECATALOGANDO!A:C,2,0)</f>
        <v>VENTA DE MEDICAMENTO</v>
      </c>
      <c r="N270" s="12" t="str">
        <f aca="false">VLOOKUP(M270,RECATALOGANDO!B:C,2,0)</f>
        <v>VENTA DE PRODUCTO</v>
      </c>
      <c r="O270" s="2" t="s">
        <v>78</v>
      </c>
    </row>
    <row r="271" customFormat="false" ht="13.8" hidden="false" customHeight="false" outlineLevel="0" collapsed="false">
      <c r="A271" s="8" t="n">
        <v>44974</v>
      </c>
      <c r="B271" s="9" t="n">
        <f aca="false">DAY(A271)</f>
        <v>17</v>
      </c>
      <c r="C271" s="9" t="n">
        <f aca="false">MONTH(A271)</f>
        <v>2</v>
      </c>
      <c r="D271" s="9" t="n">
        <f aca="false">YEAR(A271)</f>
        <v>2023</v>
      </c>
      <c r="E271" s="9" t="n">
        <f aca="false">WEEKDAY(A271,2)</f>
        <v>5</v>
      </c>
      <c r="F271" s="10" t="n">
        <f aca="false">WEEKNUM(A271,2) - WEEKNUM(DATE(YEAR(A271),MONTH(A271),1),2) + 1</f>
        <v>3</v>
      </c>
      <c r="G271" s="10"/>
      <c r="H271" s="11" t="n">
        <v>1130</v>
      </c>
      <c r="I271" s="12" t="s">
        <v>20</v>
      </c>
      <c r="J271" s="12" t="s">
        <v>55</v>
      </c>
      <c r="K271" s="12"/>
      <c r="L271" s="9" t="n">
        <f aca="false">L270+H271</f>
        <v>54962.74</v>
      </c>
      <c r="M271" s="10" t="str">
        <f aca="false">VLOOKUP(J271,RECATALOGANDO!A:C,2,0)</f>
        <v>VENTA DE MEDICAMENTO</v>
      </c>
      <c r="N271" s="12" t="str">
        <f aca="false">VLOOKUP(M271,RECATALOGANDO!B:C,2,0)</f>
        <v>VENTA DE PRODUCTO</v>
      </c>
      <c r="O271" s="2" t="s">
        <v>78</v>
      </c>
    </row>
    <row r="272" customFormat="false" ht="13.8" hidden="false" customHeight="false" outlineLevel="0" collapsed="false">
      <c r="A272" s="8" t="n">
        <v>44974</v>
      </c>
      <c r="B272" s="9" t="n">
        <f aca="false">DAY(A272)</f>
        <v>17</v>
      </c>
      <c r="C272" s="9" t="n">
        <f aca="false">MONTH(A272)</f>
        <v>2</v>
      </c>
      <c r="D272" s="9" t="n">
        <f aca="false">YEAR(A272)</f>
        <v>2023</v>
      </c>
      <c r="E272" s="9" t="n">
        <f aca="false">WEEKDAY(A272,2)</f>
        <v>5</v>
      </c>
      <c r="F272" s="10" t="n">
        <f aca="false">WEEKNUM(A272,2) - WEEKNUM(DATE(YEAR(A272),MONTH(A272),1),2) + 1</f>
        <v>3</v>
      </c>
      <c r="G272" s="10"/>
      <c r="H272" s="11" t="n">
        <v>960</v>
      </c>
      <c r="I272" s="12" t="s">
        <v>20</v>
      </c>
      <c r="J272" s="12" t="s">
        <v>44</v>
      </c>
      <c r="K272" s="12"/>
      <c r="L272" s="9" t="n">
        <f aca="false">L271+H272</f>
        <v>55922.74</v>
      </c>
      <c r="M272" s="10" t="str">
        <f aca="false">VLOOKUP(J272,RECATALOGANDO!A:C,2,0)</f>
        <v>HONORARIOS MEDICOS</v>
      </c>
      <c r="N272" s="12" t="str">
        <f aca="false">VLOOKUP(M272,RECATALOGANDO!B:C,2,0)</f>
        <v>VENTA DE SERVICIO</v>
      </c>
      <c r="O272" s="2" t="s">
        <v>78</v>
      </c>
    </row>
    <row r="273" customFormat="false" ht="13.8" hidden="false" customHeight="false" outlineLevel="0" collapsed="false">
      <c r="A273" s="8" t="n">
        <v>44974</v>
      </c>
      <c r="B273" s="9" t="n">
        <f aca="false">DAY(A273)</f>
        <v>17</v>
      </c>
      <c r="C273" s="9" t="n">
        <f aca="false">MONTH(A273)</f>
        <v>2</v>
      </c>
      <c r="D273" s="9" t="n">
        <f aca="false">YEAR(A273)</f>
        <v>2023</v>
      </c>
      <c r="E273" s="9" t="n">
        <f aca="false">WEEKDAY(A273,2)</f>
        <v>5</v>
      </c>
      <c r="F273" s="10" t="n">
        <f aca="false">WEEKNUM(A273,2) - WEEKNUM(DATE(YEAR(A273),MONTH(A273),1),2) + 1</f>
        <v>3</v>
      </c>
      <c r="G273" s="10"/>
      <c r="H273" s="11" t="n">
        <v>960</v>
      </c>
      <c r="I273" s="12" t="s">
        <v>20</v>
      </c>
      <c r="J273" s="12" t="s">
        <v>44</v>
      </c>
      <c r="K273" s="12"/>
      <c r="L273" s="9" t="n">
        <f aca="false">L272+H273</f>
        <v>56882.74</v>
      </c>
      <c r="M273" s="10" t="str">
        <f aca="false">VLOOKUP(J273,RECATALOGANDO!A:C,2,0)</f>
        <v>HONORARIOS MEDICOS</v>
      </c>
      <c r="N273" s="12" t="str">
        <f aca="false">VLOOKUP(M273,RECATALOGANDO!B:C,2,0)</f>
        <v>VENTA DE SERVICIO</v>
      </c>
      <c r="O273" s="2" t="s">
        <v>78</v>
      </c>
    </row>
    <row r="274" customFormat="false" ht="13.8" hidden="false" customHeight="false" outlineLevel="0" collapsed="false">
      <c r="A274" s="8" t="n">
        <v>44977</v>
      </c>
      <c r="B274" s="9" t="n">
        <f aca="false">DAY(A274)</f>
        <v>20</v>
      </c>
      <c r="C274" s="9" t="n">
        <f aca="false">MONTH(A274)</f>
        <v>2</v>
      </c>
      <c r="D274" s="9" t="n">
        <f aca="false">YEAR(A274)</f>
        <v>2023</v>
      </c>
      <c r="E274" s="9" t="n">
        <f aca="false">WEEKDAY(A274,2)</f>
        <v>1</v>
      </c>
      <c r="F274" s="10" t="n">
        <f aca="false">WEEKNUM(A274,2) - WEEKNUM(DATE(YEAR(A274),MONTH(A274),1),2) + 1</f>
        <v>4</v>
      </c>
      <c r="G274" s="10"/>
      <c r="H274" s="11" t="n">
        <v>1020</v>
      </c>
      <c r="I274" s="12" t="s">
        <v>20</v>
      </c>
      <c r="J274" s="12" t="s">
        <v>45</v>
      </c>
      <c r="K274" s="12"/>
      <c r="L274" s="9" t="n">
        <f aca="false">L273+H274</f>
        <v>57902.74</v>
      </c>
      <c r="M274" s="10" t="str">
        <f aca="false">VLOOKUP(J274,RECATALOGANDO!A:C,2,0)</f>
        <v>VENTA DE MEDICAMENTO</v>
      </c>
      <c r="N274" s="12" t="str">
        <f aca="false">VLOOKUP(M274,RECATALOGANDO!B:C,2,0)</f>
        <v>VENTA DE PRODUCTO</v>
      </c>
      <c r="O274" s="2" t="s">
        <v>78</v>
      </c>
    </row>
    <row r="275" customFormat="false" ht="13.8" hidden="false" customHeight="false" outlineLevel="0" collapsed="false">
      <c r="A275" s="8" t="n">
        <v>44977</v>
      </c>
      <c r="B275" s="9" t="n">
        <f aca="false">DAY(A275)</f>
        <v>20</v>
      </c>
      <c r="C275" s="9" t="n">
        <f aca="false">MONTH(A275)</f>
        <v>2</v>
      </c>
      <c r="D275" s="9" t="n">
        <f aca="false">YEAR(A275)</f>
        <v>2023</v>
      </c>
      <c r="E275" s="9" t="n">
        <f aca="false">WEEKDAY(A275,2)</f>
        <v>1</v>
      </c>
      <c r="F275" s="10" t="n">
        <f aca="false">WEEKNUM(A275,2) - WEEKNUM(DATE(YEAR(A275),MONTH(A275),1),2) + 1</f>
        <v>4</v>
      </c>
      <c r="G275" s="10"/>
      <c r="H275" s="11" t="n">
        <v>1020</v>
      </c>
      <c r="I275" s="12" t="s">
        <v>20</v>
      </c>
      <c r="J275" s="12" t="s">
        <v>45</v>
      </c>
      <c r="K275" s="12"/>
      <c r="L275" s="9" t="n">
        <f aca="false">L274+H275</f>
        <v>58922.74</v>
      </c>
      <c r="M275" s="10" t="str">
        <f aca="false">VLOOKUP(J275,RECATALOGANDO!A:C,2,0)</f>
        <v>VENTA DE MEDICAMENTO</v>
      </c>
      <c r="N275" s="12" t="str">
        <f aca="false">VLOOKUP(M275,RECATALOGANDO!B:C,2,0)</f>
        <v>VENTA DE PRODUCTO</v>
      </c>
      <c r="O275" s="2" t="s">
        <v>78</v>
      </c>
    </row>
    <row r="276" customFormat="false" ht="13.8" hidden="false" customHeight="false" outlineLevel="0" collapsed="false">
      <c r="A276" s="8" t="n">
        <v>44977</v>
      </c>
      <c r="B276" s="9" t="n">
        <f aca="false">DAY(A276)</f>
        <v>20</v>
      </c>
      <c r="C276" s="9" t="n">
        <f aca="false">MONTH(A276)</f>
        <v>2</v>
      </c>
      <c r="D276" s="9" t="n">
        <f aca="false">YEAR(A276)</f>
        <v>2023</v>
      </c>
      <c r="E276" s="9" t="n">
        <f aca="false">WEEKDAY(A276,2)</f>
        <v>1</v>
      </c>
      <c r="F276" s="10" t="n">
        <f aca="false">WEEKNUM(A276,2) - WEEKNUM(DATE(YEAR(A276),MONTH(A276),1),2) + 1</f>
        <v>4</v>
      </c>
      <c r="G276" s="10"/>
      <c r="H276" s="11" t="n">
        <v>1120</v>
      </c>
      <c r="I276" s="12" t="s">
        <v>20</v>
      </c>
      <c r="J276" s="12" t="s">
        <v>51</v>
      </c>
      <c r="K276" s="12"/>
      <c r="L276" s="9" t="n">
        <f aca="false">L275+H276</f>
        <v>60042.74</v>
      </c>
      <c r="M276" s="10" t="str">
        <f aca="false">VLOOKUP(J276,RECATALOGANDO!A:C,2,0)</f>
        <v>VENTA DE ALIMENTO</v>
      </c>
      <c r="N276" s="12" t="str">
        <f aca="false">VLOOKUP(M276,RECATALOGANDO!B:C,2,0)</f>
        <v>VENTA DE PRODUCTO</v>
      </c>
      <c r="O276" s="2" t="s">
        <v>78</v>
      </c>
    </row>
    <row r="277" customFormat="false" ht="13.8" hidden="false" customHeight="false" outlineLevel="0" collapsed="false">
      <c r="A277" s="8" t="n">
        <v>44977</v>
      </c>
      <c r="B277" s="9" t="n">
        <f aca="false">DAY(A277)</f>
        <v>20</v>
      </c>
      <c r="C277" s="9" t="n">
        <f aca="false">MONTH(A277)</f>
        <v>2</v>
      </c>
      <c r="D277" s="9" t="n">
        <f aca="false">YEAR(A277)</f>
        <v>2023</v>
      </c>
      <c r="E277" s="9" t="n">
        <f aca="false">WEEKDAY(A277,2)</f>
        <v>1</v>
      </c>
      <c r="F277" s="10" t="n">
        <f aca="false">WEEKNUM(A277,2) - WEEKNUM(DATE(YEAR(A277),MONTH(A277),1),2) + 1</f>
        <v>4</v>
      </c>
      <c r="G277" s="10"/>
      <c r="H277" s="11" t="n">
        <v>1120</v>
      </c>
      <c r="I277" s="12" t="s">
        <v>20</v>
      </c>
      <c r="J277" s="12" t="s">
        <v>51</v>
      </c>
      <c r="K277" s="12"/>
      <c r="L277" s="9" t="n">
        <f aca="false">L276+H277</f>
        <v>61162.74</v>
      </c>
      <c r="M277" s="10" t="str">
        <f aca="false">VLOOKUP(J277,RECATALOGANDO!A:C,2,0)</f>
        <v>VENTA DE ALIMENTO</v>
      </c>
      <c r="N277" s="12" t="str">
        <f aca="false">VLOOKUP(M277,RECATALOGANDO!B:C,2,0)</f>
        <v>VENTA DE PRODUCTO</v>
      </c>
      <c r="O277" s="2" t="s">
        <v>78</v>
      </c>
    </row>
    <row r="278" customFormat="false" ht="13.8" hidden="false" customHeight="false" outlineLevel="0" collapsed="false">
      <c r="A278" s="8" t="n">
        <v>44978</v>
      </c>
      <c r="B278" s="9" t="n">
        <f aca="false">DAY(A278)</f>
        <v>21</v>
      </c>
      <c r="C278" s="9" t="n">
        <f aca="false">MONTH(A278)</f>
        <v>2</v>
      </c>
      <c r="D278" s="9" t="n">
        <f aca="false">YEAR(A278)</f>
        <v>2023</v>
      </c>
      <c r="E278" s="9" t="n">
        <f aca="false">WEEKDAY(A278,2)</f>
        <v>2</v>
      </c>
      <c r="F278" s="10" t="n">
        <f aca="false">WEEKNUM(A278,2) - WEEKNUM(DATE(YEAR(A278),MONTH(A278),1),2) + 1</f>
        <v>4</v>
      </c>
      <c r="G278" s="10"/>
      <c r="H278" s="11" t="n">
        <v>990.82</v>
      </c>
      <c r="I278" s="12" t="s">
        <v>15</v>
      </c>
      <c r="J278" s="12" t="s">
        <v>55</v>
      </c>
      <c r="K278" s="12"/>
      <c r="L278" s="9" t="n">
        <f aca="false">L277+H278</f>
        <v>62153.56</v>
      </c>
      <c r="M278" s="10" t="str">
        <f aca="false">VLOOKUP(J278,RECATALOGANDO!A:C,2,0)</f>
        <v>VENTA DE MEDICAMENTO</v>
      </c>
      <c r="N278" s="12" t="str">
        <f aca="false">VLOOKUP(M278,RECATALOGANDO!B:C,2,0)</f>
        <v>VENTA DE PRODUCTO</v>
      </c>
      <c r="O278" s="2" t="s">
        <v>78</v>
      </c>
    </row>
    <row r="279" customFormat="false" ht="13.8" hidden="false" customHeight="false" outlineLevel="0" collapsed="false">
      <c r="A279" s="8" t="n">
        <v>44978</v>
      </c>
      <c r="B279" s="9" t="n">
        <f aca="false">DAY(A279)</f>
        <v>21</v>
      </c>
      <c r="C279" s="9" t="n">
        <f aca="false">MONTH(A279)</f>
        <v>2</v>
      </c>
      <c r="D279" s="9" t="n">
        <f aca="false">YEAR(A279)</f>
        <v>2023</v>
      </c>
      <c r="E279" s="9" t="n">
        <f aca="false">WEEKDAY(A279,2)</f>
        <v>2</v>
      </c>
      <c r="F279" s="10" t="n">
        <f aca="false">WEEKNUM(A279,2) - WEEKNUM(DATE(YEAR(A279),MONTH(A279),1),2) + 1</f>
        <v>4</v>
      </c>
      <c r="G279" s="10"/>
      <c r="H279" s="11" t="n">
        <v>990.82</v>
      </c>
      <c r="I279" s="12" t="s">
        <v>15</v>
      </c>
      <c r="J279" s="12" t="s">
        <v>55</v>
      </c>
      <c r="K279" s="12"/>
      <c r="L279" s="9" t="n">
        <f aca="false">L278+H279</f>
        <v>63144.38</v>
      </c>
      <c r="M279" s="10" t="str">
        <f aca="false">VLOOKUP(J279,RECATALOGANDO!A:C,2,0)</f>
        <v>VENTA DE MEDICAMENTO</v>
      </c>
      <c r="N279" s="12" t="str">
        <f aca="false">VLOOKUP(M279,RECATALOGANDO!B:C,2,0)</f>
        <v>VENTA DE PRODUCTO</v>
      </c>
      <c r="O279" s="2" t="s">
        <v>78</v>
      </c>
    </row>
    <row r="280" customFormat="false" ht="13.8" hidden="false" customHeight="false" outlineLevel="0" collapsed="false">
      <c r="A280" s="8" t="n">
        <v>44978</v>
      </c>
      <c r="B280" s="9" t="n">
        <f aca="false">DAY(A280)</f>
        <v>21</v>
      </c>
      <c r="C280" s="9" t="n">
        <f aca="false">MONTH(A280)</f>
        <v>2</v>
      </c>
      <c r="D280" s="9" t="n">
        <f aca="false">YEAR(A280)</f>
        <v>2023</v>
      </c>
      <c r="E280" s="9" t="n">
        <f aca="false">WEEKDAY(A280,2)</f>
        <v>2</v>
      </c>
      <c r="F280" s="10" t="n">
        <f aca="false">WEEKNUM(A280,2) - WEEKNUM(DATE(YEAR(A280),MONTH(A280),1),2) + 1</f>
        <v>4</v>
      </c>
      <c r="G280" s="10"/>
      <c r="H280" s="11" t="n">
        <v>190</v>
      </c>
      <c r="I280" s="12" t="s">
        <v>20</v>
      </c>
      <c r="J280" s="12" t="s">
        <v>53</v>
      </c>
      <c r="K280" s="12"/>
      <c r="L280" s="9" t="n">
        <f aca="false">L279+H280</f>
        <v>63334.38</v>
      </c>
      <c r="M280" s="10" t="str">
        <f aca="false">VLOOKUP(J280,RECATALOGANDO!A:C,2,0)</f>
        <v>SERVICIO DE GROOMING</v>
      </c>
      <c r="N280" s="12" t="str">
        <f aca="false">VLOOKUP(M280,RECATALOGANDO!B:C,2,0)</f>
        <v>VENTA DE SERVICIO</v>
      </c>
      <c r="O280" s="2" t="s">
        <v>78</v>
      </c>
    </row>
    <row r="281" customFormat="false" ht="13.8" hidden="false" customHeight="false" outlineLevel="0" collapsed="false">
      <c r="A281" s="8" t="n">
        <v>44978</v>
      </c>
      <c r="B281" s="9" t="n">
        <f aca="false">DAY(A281)</f>
        <v>21</v>
      </c>
      <c r="C281" s="9" t="n">
        <f aca="false">MONTH(A281)</f>
        <v>2</v>
      </c>
      <c r="D281" s="9" t="n">
        <f aca="false">YEAR(A281)</f>
        <v>2023</v>
      </c>
      <c r="E281" s="9" t="n">
        <f aca="false">WEEKDAY(A281,2)</f>
        <v>2</v>
      </c>
      <c r="F281" s="10" t="n">
        <f aca="false">WEEKNUM(A281,2) - WEEKNUM(DATE(YEAR(A281),MONTH(A281),1),2) + 1</f>
        <v>4</v>
      </c>
      <c r="G281" s="10"/>
      <c r="H281" s="11" t="n">
        <v>190</v>
      </c>
      <c r="I281" s="12" t="s">
        <v>20</v>
      </c>
      <c r="J281" s="12" t="s">
        <v>53</v>
      </c>
      <c r="K281" s="12"/>
      <c r="L281" s="9" t="n">
        <f aca="false">L280+H281</f>
        <v>63524.38</v>
      </c>
      <c r="M281" s="10" t="str">
        <f aca="false">VLOOKUP(J281,RECATALOGANDO!A:C,2,0)</f>
        <v>SERVICIO DE GROOMING</v>
      </c>
      <c r="N281" s="12" t="str">
        <f aca="false">VLOOKUP(M281,RECATALOGANDO!B:C,2,0)</f>
        <v>VENTA DE SERVICIO</v>
      </c>
      <c r="O281" s="2" t="s">
        <v>78</v>
      </c>
    </row>
    <row r="282" customFormat="false" ht="13.8" hidden="false" customHeight="false" outlineLevel="0" collapsed="false">
      <c r="A282" s="8" t="n">
        <v>44979</v>
      </c>
      <c r="B282" s="9" t="n">
        <f aca="false">DAY(A282)</f>
        <v>22</v>
      </c>
      <c r="C282" s="9" t="n">
        <f aca="false">MONTH(A282)</f>
        <v>2</v>
      </c>
      <c r="D282" s="9" t="n">
        <f aca="false">YEAR(A282)</f>
        <v>2023</v>
      </c>
      <c r="E282" s="9" t="n">
        <f aca="false">WEEKDAY(A282,2)</f>
        <v>3</v>
      </c>
      <c r="F282" s="10" t="n">
        <f aca="false">WEEKNUM(A282,2) - WEEKNUM(DATE(YEAR(A282),MONTH(A282),1),2) + 1</f>
        <v>4</v>
      </c>
      <c r="G282" s="10"/>
      <c r="H282" s="11" t="n">
        <v>1980</v>
      </c>
      <c r="I282" s="12" t="s">
        <v>20</v>
      </c>
      <c r="J282" s="12" t="s">
        <v>51</v>
      </c>
      <c r="K282" s="12"/>
      <c r="L282" s="9" t="n">
        <f aca="false">L281+H282</f>
        <v>65504.38</v>
      </c>
      <c r="M282" s="10" t="str">
        <f aca="false">VLOOKUP(J282,RECATALOGANDO!A:C,2,0)</f>
        <v>VENTA DE ALIMENTO</v>
      </c>
      <c r="N282" s="12" t="str">
        <f aca="false">VLOOKUP(M282,RECATALOGANDO!B:C,2,0)</f>
        <v>VENTA DE PRODUCTO</v>
      </c>
      <c r="O282" s="2" t="s">
        <v>78</v>
      </c>
    </row>
    <row r="283" customFormat="false" ht="13.8" hidden="false" customHeight="false" outlineLevel="0" collapsed="false">
      <c r="A283" s="8" t="n">
        <v>44979</v>
      </c>
      <c r="B283" s="9" t="n">
        <f aca="false">DAY(A283)</f>
        <v>22</v>
      </c>
      <c r="C283" s="9" t="n">
        <f aca="false">MONTH(A283)</f>
        <v>2</v>
      </c>
      <c r="D283" s="9" t="n">
        <f aca="false">YEAR(A283)</f>
        <v>2023</v>
      </c>
      <c r="E283" s="9" t="n">
        <f aca="false">WEEKDAY(A283,2)</f>
        <v>3</v>
      </c>
      <c r="F283" s="10" t="n">
        <f aca="false">WEEKNUM(A283,2) - WEEKNUM(DATE(YEAR(A283),MONTH(A283),1),2) + 1</f>
        <v>4</v>
      </c>
      <c r="G283" s="10"/>
      <c r="H283" s="11" t="n">
        <v>1980</v>
      </c>
      <c r="I283" s="12" t="s">
        <v>20</v>
      </c>
      <c r="J283" s="12" t="s">
        <v>51</v>
      </c>
      <c r="K283" s="12"/>
      <c r="L283" s="9" t="n">
        <f aca="false">L282+H283</f>
        <v>67484.38</v>
      </c>
      <c r="M283" s="10" t="str">
        <f aca="false">VLOOKUP(J283,RECATALOGANDO!A:C,2,0)</f>
        <v>VENTA DE ALIMENTO</v>
      </c>
      <c r="N283" s="12" t="str">
        <f aca="false">VLOOKUP(M283,RECATALOGANDO!B:C,2,0)</f>
        <v>VENTA DE PRODUCTO</v>
      </c>
      <c r="O283" s="2" t="s">
        <v>78</v>
      </c>
    </row>
    <row r="284" customFormat="false" ht="13.8" hidden="false" customHeight="false" outlineLevel="0" collapsed="false">
      <c r="A284" s="8" t="n">
        <v>44980</v>
      </c>
      <c r="B284" s="9" t="n">
        <f aca="false">DAY(A284)</f>
        <v>23</v>
      </c>
      <c r="C284" s="9" t="n">
        <f aca="false">MONTH(A284)</f>
        <v>2</v>
      </c>
      <c r="D284" s="9" t="n">
        <f aca="false">YEAR(A284)</f>
        <v>2023</v>
      </c>
      <c r="E284" s="9" t="n">
        <f aca="false">WEEKDAY(A284,2)</f>
        <v>4</v>
      </c>
      <c r="F284" s="10" t="n">
        <f aca="false">WEEKNUM(A284,2) - WEEKNUM(DATE(YEAR(A284),MONTH(A284),1),2) + 1</f>
        <v>4</v>
      </c>
      <c r="G284" s="10"/>
      <c r="H284" s="11" t="n">
        <v>2410</v>
      </c>
      <c r="I284" s="12" t="s">
        <v>20</v>
      </c>
      <c r="J284" s="12" t="s">
        <v>51</v>
      </c>
      <c r="K284" s="12"/>
      <c r="L284" s="9" t="n">
        <f aca="false">L283+H284</f>
        <v>69894.38</v>
      </c>
      <c r="M284" s="10" t="str">
        <f aca="false">VLOOKUP(J284,RECATALOGANDO!A:C,2,0)</f>
        <v>VENTA DE ALIMENTO</v>
      </c>
      <c r="N284" s="12" t="str">
        <f aca="false">VLOOKUP(M284,RECATALOGANDO!B:C,2,0)</f>
        <v>VENTA DE PRODUCTO</v>
      </c>
      <c r="O284" s="2" t="s">
        <v>78</v>
      </c>
    </row>
    <row r="285" customFormat="false" ht="13.8" hidden="false" customHeight="false" outlineLevel="0" collapsed="false">
      <c r="A285" s="8" t="n">
        <v>44980</v>
      </c>
      <c r="B285" s="9" t="n">
        <f aca="false">DAY(A285)</f>
        <v>23</v>
      </c>
      <c r="C285" s="9" t="n">
        <f aca="false">MONTH(A285)</f>
        <v>2</v>
      </c>
      <c r="D285" s="9" t="n">
        <f aca="false">YEAR(A285)</f>
        <v>2023</v>
      </c>
      <c r="E285" s="9" t="n">
        <f aca="false">WEEKDAY(A285,2)</f>
        <v>4</v>
      </c>
      <c r="F285" s="10" t="n">
        <f aca="false">WEEKNUM(A285,2) - WEEKNUM(DATE(YEAR(A285),MONTH(A285),1),2) + 1</f>
        <v>4</v>
      </c>
      <c r="G285" s="10"/>
      <c r="H285" s="11" t="n">
        <v>2410</v>
      </c>
      <c r="I285" s="12" t="s">
        <v>20</v>
      </c>
      <c r="J285" s="12" t="s">
        <v>51</v>
      </c>
      <c r="K285" s="12"/>
      <c r="L285" s="9" t="n">
        <f aca="false">L284+H285</f>
        <v>72304.38</v>
      </c>
      <c r="M285" s="10" t="str">
        <f aca="false">VLOOKUP(J285,RECATALOGANDO!A:C,2,0)</f>
        <v>VENTA DE ALIMENTO</v>
      </c>
      <c r="N285" s="12" t="str">
        <f aca="false">VLOOKUP(M285,RECATALOGANDO!B:C,2,0)</f>
        <v>VENTA DE PRODUCTO</v>
      </c>
      <c r="O285" s="2" t="s">
        <v>78</v>
      </c>
    </row>
    <row r="286" customFormat="false" ht="13.8" hidden="false" customHeight="false" outlineLevel="0" collapsed="false">
      <c r="A286" s="8" t="n">
        <v>44980</v>
      </c>
      <c r="B286" s="9" t="n">
        <f aca="false">DAY(A286)</f>
        <v>23</v>
      </c>
      <c r="C286" s="9" t="n">
        <f aca="false">MONTH(A286)</f>
        <v>2</v>
      </c>
      <c r="D286" s="9" t="n">
        <f aca="false">YEAR(A286)</f>
        <v>2023</v>
      </c>
      <c r="E286" s="9" t="n">
        <f aca="false">WEEKDAY(A286,2)</f>
        <v>4</v>
      </c>
      <c r="F286" s="10" t="n">
        <f aca="false">WEEKNUM(A286,2) - WEEKNUM(DATE(YEAR(A286),MONTH(A286),1),2) + 1</f>
        <v>4</v>
      </c>
      <c r="G286" s="10"/>
      <c r="H286" s="11" t="n">
        <v>645.86</v>
      </c>
      <c r="I286" s="12" t="s">
        <v>15</v>
      </c>
      <c r="J286" s="12" t="s">
        <v>44</v>
      </c>
      <c r="K286" s="12"/>
      <c r="L286" s="9" t="n">
        <f aca="false">L285+H286</f>
        <v>72950.24</v>
      </c>
      <c r="M286" s="10" t="str">
        <f aca="false">VLOOKUP(J286,RECATALOGANDO!A:C,2,0)</f>
        <v>HONORARIOS MEDICOS</v>
      </c>
      <c r="N286" s="12" t="str">
        <f aca="false">VLOOKUP(M286,RECATALOGANDO!B:C,2,0)</f>
        <v>VENTA DE SERVICIO</v>
      </c>
      <c r="O286" s="2" t="s">
        <v>78</v>
      </c>
    </row>
    <row r="287" customFormat="false" ht="13.8" hidden="false" customHeight="false" outlineLevel="0" collapsed="false">
      <c r="A287" s="8" t="n">
        <v>44980</v>
      </c>
      <c r="B287" s="9" t="n">
        <f aca="false">DAY(A287)</f>
        <v>23</v>
      </c>
      <c r="C287" s="9" t="n">
        <f aca="false">MONTH(A287)</f>
        <v>2</v>
      </c>
      <c r="D287" s="9" t="n">
        <f aca="false">YEAR(A287)</f>
        <v>2023</v>
      </c>
      <c r="E287" s="9" t="n">
        <f aca="false">WEEKDAY(A287,2)</f>
        <v>4</v>
      </c>
      <c r="F287" s="10" t="n">
        <f aca="false">WEEKNUM(A287,2) - WEEKNUM(DATE(YEAR(A287),MONTH(A287),1),2) + 1</f>
        <v>4</v>
      </c>
      <c r="G287" s="10"/>
      <c r="H287" s="11" t="n">
        <v>645.86</v>
      </c>
      <c r="I287" s="12" t="s">
        <v>15</v>
      </c>
      <c r="J287" s="12" t="s">
        <v>44</v>
      </c>
      <c r="K287" s="12"/>
      <c r="L287" s="9" t="n">
        <f aca="false">L286+H287</f>
        <v>73596.1</v>
      </c>
      <c r="M287" s="10" t="str">
        <f aca="false">VLOOKUP(J287,RECATALOGANDO!A:C,2,0)</f>
        <v>HONORARIOS MEDICOS</v>
      </c>
      <c r="N287" s="12" t="str">
        <f aca="false">VLOOKUP(M287,RECATALOGANDO!B:C,2,0)</f>
        <v>VENTA DE SERVICIO</v>
      </c>
      <c r="O287" s="2" t="s">
        <v>78</v>
      </c>
    </row>
    <row r="288" customFormat="false" ht="13.8" hidden="false" customHeight="false" outlineLevel="0" collapsed="false">
      <c r="A288" s="8" t="n">
        <v>44980</v>
      </c>
      <c r="B288" s="9" t="n">
        <f aca="false">DAY(A288)</f>
        <v>23</v>
      </c>
      <c r="C288" s="9" t="n">
        <f aca="false">MONTH(A288)</f>
        <v>2</v>
      </c>
      <c r="D288" s="9" t="n">
        <f aca="false">YEAR(A288)</f>
        <v>2023</v>
      </c>
      <c r="E288" s="9" t="n">
        <f aca="false">WEEKDAY(A288,2)</f>
        <v>4</v>
      </c>
      <c r="F288" s="10" t="n">
        <f aca="false">WEEKNUM(A288,2) - WEEKNUM(DATE(YEAR(A288),MONTH(A288),1),2) + 1</f>
        <v>4</v>
      </c>
      <c r="G288" s="10"/>
      <c r="H288" s="11" t="n">
        <v>5000</v>
      </c>
      <c r="I288" s="12" t="s">
        <v>20</v>
      </c>
      <c r="J288" s="12" t="s">
        <v>44</v>
      </c>
      <c r="K288" s="12"/>
      <c r="L288" s="9" t="n">
        <f aca="false">L287+H288</f>
        <v>78596.1</v>
      </c>
      <c r="M288" s="10" t="str">
        <f aca="false">VLOOKUP(J288,RECATALOGANDO!A:C,2,0)</f>
        <v>HONORARIOS MEDICOS</v>
      </c>
      <c r="N288" s="12" t="str">
        <f aca="false">VLOOKUP(M288,RECATALOGANDO!B:C,2,0)</f>
        <v>VENTA DE SERVICIO</v>
      </c>
      <c r="O288" s="2" t="s">
        <v>78</v>
      </c>
    </row>
    <row r="289" customFormat="false" ht="13.8" hidden="false" customHeight="false" outlineLevel="0" collapsed="false">
      <c r="A289" s="8" t="n">
        <v>44980</v>
      </c>
      <c r="B289" s="9" t="n">
        <f aca="false">DAY(A289)</f>
        <v>23</v>
      </c>
      <c r="C289" s="9" t="n">
        <f aca="false">MONTH(A289)</f>
        <v>2</v>
      </c>
      <c r="D289" s="9" t="n">
        <f aca="false">YEAR(A289)</f>
        <v>2023</v>
      </c>
      <c r="E289" s="9" t="n">
        <f aca="false">WEEKDAY(A289,2)</f>
        <v>4</v>
      </c>
      <c r="F289" s="10" t="n">
        <f aca="false">WEEKNUM(A289,2) - WEEKNUM(DATE(YEAR(A289),MONTH(A289),1),2) + 1</f>
        <v>4</v>
      </c>
      <c r="G289" s="10"/>
      <c r="H289" s="11" t="n">
        <v>5000</v>
      </c>
      <c r="I289" s="12" t="s">
        <v>20</v>
      </c>
      <c r="J289" s="12" t="s">
        <v>44</v>
      </c>
      <c r="K289" s="12"/>
      <c r="L289" s="9" t="n">
        <f aca="false">L288+H289</f>
        <v>83596.1</v>
      </c>
      <c r="M289" s="10" t="str">
        <f aca="false">VLOOKUP(J289,RECATALOGANDO!A:C,2,0)</f>
        <v>HONORARIOS MEDICOS</v>
      </c>
      <c r="N289" s="12" t="str">
        <f aca="false">VLOOKUP(M289,RECATALOGANDO!B:C,2,0)</f>
        <v>VENTA DE SERVICIO</v>
      </c>
      <c r="O289" s="2" t="s">
        <v>78</v>
      </c>
    </row>
    <row r="290" customFormat="false" ht="13.8" hidden="false" customHeight="false" outlineLevel="0" collapsed="false">
      <c r="A290" s="8" t="n">
        <v>44981</v>
      </c>
      <c r="B290" s="9" t="n">
        <f aca="false">DAY(A290)</f>
        <v>24</v>
      </c>
      <c r="C290" s="9" t="n">
        <f aca="false">MONTH(A290)</f>
        <v>2</v>
      </c>
      <c r="D290" s="9" t="n">
        <f aca="false">YEAR(A290)</f>
        <v>2023</v>
      </c>
      <c r="E290" s="9" t="n">
        <f aca="false">WEEKDAY(A290,2)</f>
        <v>5</v>
      </c>
      <c r="F290" s="10" t="n">
        <f aca="false">WEEKNUM(A290,2) - WEEKNUM(DATE(YEAR(A290),MONTH(A290),1),2) + 1</f>
        <v>4</v>
      </c>
      <c r="G290" s="10"/>
      <c r="H290" s="11" t="n">
        <v>1000</v>
      </c>
      <c r="I290" s="12" t="s">
        <v>15</v>
      </c>
      <c r="J290" s="12" t="s">
        <v>51</v>
      </c>
      <c r="K290" s="12"/>
      <c r="L290" s="9" t="n">
        <f aca="false">L289+H290</f>
        <v>84596.1</v>
      </c>
      <c r="M290" s="10" t="str">
        <f aca="false">VLOOKUP(J290,RECATALOGANDO!A:C,2,0)</f>
        <v>VENTA DE ALIMENTO</v>
      </c>
      <c r="N290" s="12" t="str">
        <f aca="false">VLOOKUP(M290,RECATALOGANDO!B:C,2,0)</f>
        <v>VENTA DE PRODUCTO</v>
      </c>
      <c r="O290" s="2" t="s">
        <v>78</v>
      </c>
    </row>
    <row r="291" customFormat="false" ht="13.8" hidden="false" customHeight="false" outlineLevel="0" collapsed="false">
      <c r="A291" s="8" t="n">
        <v>44981</v>
      </c>
      <c r="B291" s="9" t="n">
        <f aca="false">DAY(A291)</f>
        <v>24</v>
      </c>
      <c r="C291" s="9" t="n">
        <f aca="false">MONTH(A291)</f>
        <v>2</v>
      </c>
      <c r="D291" s="9" t="n">
        <f aca="false">YEAR(A291)</f>
        <v>2023</v>
      </c>
      <c r="E291" s="9" t="n">
        <f aca="false">WEEKDAY(A291,2)</f>
        <v>5</v>
      </c>
      <c r="F291" s="10" t="n">
        <f aca="false">WEEKNUM(A291,2) - WEEKNUM(DATE(YEAR(A291),MONTH(A291),1),2) + 1</f>
        <v>4</v>
      </c>
      <c r="G291" s="10"/>
      <c r="H291" s="11" t="n">
        <v>1000</v>
      </c>
      <c r="I291" s="12" t="s">
        <v>15</v>
      </c>
      <c r="J291" s="12" t="s">
        <v>51</v>
      </c>
      <c r="K291" s="12"/>
      <c r="L291" s="9" t="n">
        <f aca="false">L290+H291</f>
        <v>85596.1</v>
      </c>
      <c r="M291" s="10" t="str">
        <f aca="false">VLOOKUP(J291,RECATALOGANDO!A:C,2,0)</f>
        <v>VENTA DE ALIMENTO</v>
      </c>
      <c r="N291" s="12" t="str">
        <f aca="false">VLOOKUP(M291,RECATALOGANDO!B:C,2,0)</f>
        <v>VENTA DE PRODUCTO</v>
      </c>
      <c r="O291" s="2" t="s">
        <v>78</v>
      </c>
    </row>
    <row r="292" customFormat="false" ht="13.8" hidden="false" customHeight="false" outlineLevel="0" collapsed="false">
      <c r="A292" s="8" t="n">
        <v>44982</v>
      </c>
      <c r="B292" s="9" t="n">
        <f aca="false">DAY(A292)</f>
        <v>25</v>
      </c>
      <c r="C292" s="9" t="n">
        <f aca="false">MONTH(A292)</f>
        <v>2</v>
      </c>
      <c r="D292" s="9" t="n">
        <f aca="false">YEAR(A292)</f>
        <v>2023</v>
      </c>
      <c r="E292" s="9" t="n">
        <f aca="false">WEEKDAY(A292,2)</f>
        <v>6</v>
      </c>
      <c r="F292" s="10" t="n">
        <f aca="false">WEEKNUM(A292,2) - WEEKNUM(DATE(YEAR(A292),MONTH(A292),1),2) + 1</f>
        <v>4</v>
      </c>
      <c r="G292" s="10"/>
      <c r="H292" s="11" t="n">
        <v>694.37</v>
      </c>
      <c r="I292" s="12" t="s">
        <v>15</v>
      </c>
      <c r="J292" s="12" t="s">
        <v>45</v>
      </c>
      <c r="K292" s="12"/>
      <c r="L292" s="9" t="n">
        <f aca="false">L291+H292</f>
        <v>86290.47</v>
      </c>
      <c r="M292" s="10" t="str">
        <f aca="false">VLOOKUP(J292,RECATALOGANDO!A:C,2,0)</f>
        <v>VENTA DE MEDICAMENTO</v>
      </c>
      <c r="N292" s="12" t="str">
        <f aca="false">VLOOKUP(M292,RECATALOGANDO!B:C,2,0)</f>
        <v>VENTA DE PRODUCTO</v>
      </c>
      <c r="O292" s="2" t="s">
        <v>78</v>
      </c>
    </row>
    <row r="293" customFormat="false" ht="13.8" hidden="false" customHeight="false" outlineLevel="0" collapsed="false">
      <c r="A293" s="8" t="n">
        <v>44982</v>
      </c>
      <c r="B293" s="9" t="n">
        <f aca="false">DAY(A293)</f>
        <v>25</v>
      </c>
      <c r="C293" s="9" t="n">
        <f aca="false">MONTH(A293)</f>
        <v>2</v>
      </c>
      <c r="D293" s="9" t="n">
        <f aca="false">YEAR(A293)</f>
        <v>2023</v>
      </c>
      <c r="E293" s="9" t="n">
        <f aca="false">WEEKDAY(A293,2)</f>
        <v>6</v>
      </c>
      <c r="F293" s="10" t="n">
        <f aca="false">WEEKNUM(A293,2) - WEEKNUM(DATE(YEAR(A293),MONTH(A293),1),2) + 1</f>
        <v>4</v>
      </c>
      <c r="G293" s="10"/>
      <c r="H293" s="11" t="n">
        <v>694.37</v>
      </c>
      <c r="I293" s="12" t="s">
        <v>15</v>
      </c>
      <c r="J293" s="12" t="s">
        <v>45</v>
      </c>
      <c r="K293" s="12"/>
      <c r="L293" s="9" t="n">
        <f aca="false">L292+H293</f>
        <v>86984.84</v>
      </c>
      <c r="M293" s="10" t="str">
        <f aca="false">VLOOKUP(J293,RECATALOGANDO!A:C,2,0)</f>
        <v>VENTA DE MEDICAMENTO</v>
      </c>
      <c r="N293" s="12" t="str">
        <f aca="false">VLOOKUP(M293,RECATALOGANDO!B:C,2,0)</f>
        <v>VENTA DE PRODUCTO</v>
      </c>
      <c r="O293" s="2" t="s">
        <v>78</v>
      </c>
    </row>
    <row r="294" customFormat="false" ht="13.8" hidden="false" customHeight="false" outlineLevel="0" collapsed="false">
      <c r="A294" s="8" t="n">
        <v>44984</v>
      </c>
      <c r="B294" s="9" t="n">
        <f aca="false">DAY(A294)</f>
        <v>27</v>
      </c>
      <c r="C294" s="9" t="n">
        <f aca="false">MONTH(A294)</f>
        <v>2</v>
      </c>
      <c r="D294" s="9" t="n">
        <f aca="false">YEAR(A294)</f>
        <v>2023</v>
      </c>
      <c r="E294" s="9" t="n">
        <f aca="false">WEEKDAY(A294,2)</f>
        <v>1</v>
      </c>
      <c r="F294" s="10" t="n">
        <f aca="false">WEEKNUM(A294,2) - WEEKNUM(DATE(YEAR(A294),MONTH(A294),1),2) + 1</f>
        <v>5</v>
      </c>
      <c r="G294" s="10"/>
      <c r="H294" s="11" t="n">
        <v>1933</v>
      </c>
      <c r="I294" s="12" t="s">
        <v>15</v>
      </c>
      <c r="J294" s="12" t="s">
        <v>52</v>
      </c>
      <c r="K294" s="12"/>
      <c r="L294" s="9" t="n">
        <f aca="false">L293+H294</f>
        <v>88917.84</v>
      </c>
      <c r="M294" s="10" t="str">
        <f aca="false">VLOOKUP(J294,RECATALOGANDO!A:C,2,0)</f>
        <v>SERVICIO DE PENSION</v>
      </c>
      <c r="N294" s="12" t="str">
        <f aca="false">VLOOKUP(M294,RECATALOGANDO!B:C,2,0)</f>
        <v>VENTA DE SERVICIO</v>
      </c>
      <c r="O294" s="2" t="s">
        <v>78</v>
      </c>
    </row>
    <row r="295" customFormat="false" ht="13.8" hidden="false" customHeight="false" outlineLevel="0" collapsed="false">
      <c r="A295" s="8" t="n">
        <v>44984</v>
      </c>
      <c r="B295" s="9" t="n">
        <f aca="false">DAY(A295)</f>
        <v>27</v>
      </c>
      <c r="C295" s="9" t="n">
        <f aca="false">MONTH(A295)</f>
        <v>2</v>
      </c>
      <c r="D295" s="9" t="n">
        <f aca="false">YEAR(A295)</f>
        <v>2023</v>
      </c>
      <c r="E295" s="9" t="n">
        <f aca="false">WEEKDAY(A295,2)</f>
        <v>1</v>
      </c>
      <c r="F295" s="10" t="n">
        <f aca="false">WEEKNUM(A295,2) - WEEKNUM(DATE(YEAR(A295),MONTH(A295),1),2) + 1</f>
        <v>5</v>
      </c>
      <c r="G295" s="10"/>
      <c r="H295" s="11" t="n">
        <v>1933</v>
      </c>
      <c r="I295" s="12" t="s">
        <v>15</v>
      </c>
      <c r="J295" s="12" t="s">
        <v>52</v>
      </c>
      <c r="K295" s="12"/>
      <c r="L295" s="9" t="n">
        <f aca="false">L294+H295</f>
        <v>90850.84</v>
      </c>
      <c r="M295" s="10" t="str">
        <f aca="false">VLOOKUP(J295,RECATALOGANDO!A:C,2,0)</f>
        <v>SERVICIO DE PENSION</v>
      </c>
      <c r="N295" s="12" t="str">
        <f aca="false">VLOOKUP(M295,RECATALOGANDO!B:C,2,0)</f>
        <v>VENTA DE SERVICIO</v>
      </c>
      <c r="O295" s="2" t="s">
        <v>78</v>
      </c>
    </row>
    <row r="296" customFormat="false" ht="13.8" hidden="false" customHeight="false" outlineLevel="0" collapsed="false">
      <c r="A296" s="8" t="n">
        <v>44984</v>
      </c>
      <c r="B296" s="9" t="n">
        <f aca="false">DAY(A296)</f>
        <v>27</v>
      </c>
      <c r="C296" s="9" t="n">
        <f aca="false">MONTH(A296)</f>
        <v>2</v>
      </c>
      <c r="D296" s="9" t="n">
        <f aca="false">YEAR(A296)</f>
        <v>2023</v>
      </c>
      <c r="E296" s="9" t="n">
        <f aca="false">WEEKDAY(A296,2)</f>
        <v>1</v>
      </c>
      <c r="F296" s="10" t="n">
        <f aca="false">WEEKNUM(A296,2) - WEEKNUM(DATE(YEAR(A296),MONTH(A296),1),2) + 1</f>
        <v>5</v>
      </c>
      <c r="G296" s="10"/>
      <c r="H296" s="11" t="n">
        <v>2500</v>
      </c>
      <c r="I296" s="12" t="s">
        <v>15</v>
      </c>
      <c r="J296" s="12" t="s">
        <v>54</v>
      </c>
      <c r="K296" s="12"/>
      <c r="L296" s="9" t="n">
        <f aca="false">L295+H296</f>
        <v>93350.84</v>
      </c>
      <c r="M296" s="10" t="str">
        <f aca="false">VLOOKUP(J296,RECATALOGANDO!A:C,2,0)</f>
        <v>SERVICIO DE LABORATORIO</v>
      </c>
      <c r="N296" s="12" t="str">
        <f aca="false">VLOOKUP(M296,RECATALOGANDO!B:C,2,0)</f>
        <v>VENTA DE SERVICIO</v>
      </c>
      <c r="O296" s="2" t="s">
        <v>78</v>
      </c>
    </row>
    <row r="297" customFormat="false" ht="13.8" hidden="false" customHeight="false" outlineLevel="0" collapsed="false">
      <c r="A297" s="8" t="n">
        <v>44984</v>
      </c>
      <c r="B297" s="9" t="n">
        <f aca="false">DAY(A297)</f>
        <v>27</v>
      </c>
      <c r="C297" s="9" t="n">
        <f aca="false">MONTH(A297)</f>
        <v>2</v>
      </c>
      <c r="D297" s="9" t="n">
        <f aca="false">YEAR(A297)</f>
        <v>2023</v>
      </c>
      <c r="E297" s="9" t="n">
        <f aca="false">WEEKDAY(A297,2)</f>
        <v>1</v>
      </c>
      <c r="F297" s="10" t="n">
        <f aca="false">WEEKNUM(A297,2) - WEEKNUM(DATE(YEAR(A297),MONTH(A297),1),2) + 1</f>
        <v>5</v>
      </c>
      <c r="G297" s="10"/>
      <c r="H297" s="11" t="n">
        <v>2500</v>
      </c>
      <c r="I297" s="12" t="s">
        <v>15</v>
      </c>
      <c r="J297" s="12" t="s">
        <v>54</v>
      </c>
      <c r="K297" s="12"/>
      <c r="L297" s="9" t="n">
        <f aca="false">L296+H297</f>
        <v>95850.84</v>
      </c>
      <c r="M297" s="10" t="str">
        <f aca="false">VLOOKUP(J297,RECATALOGANDO!A:C,2,0)</f>
        <v>SERVICIO DE LABORATORIO</v>
      </c>
      <c r="N297" s="12" t="str">
        <f aca="false">VLOOKUP(M297,RECATALOGANDO!B:C,2,0)</f>
        <v>VENTA DE SERVICIO</v>
      </c>
      <c r="O297" s="2" t="s">
        <v>78</v>
      </c>
    </row>
    <row r="298" customFormat="false" ht="13.8" hidden="false" customHeight="false" outlineLevel="0" collapsed="false">
      <c r="A298" s="8" t="n">
        <v>44984</v>
      </c>
      <c r="B298" s="9" t="n">
        <f aca="false">DAY(A298)</f>
        <v>27</v>
      </c>
      <c r="C298" s="9" t="n">
        <f aca="false">MONTH(A298)</f>
        <v>2</v>
      </c>
      <c r="D298" s="9" t="n">
        <f aca="false">YEAR(A298)</f>
        <v>2023</v>
      </c>
      <c r="E298" s="9" t="n">
        <f aca="false">WEEKDAY(A298,2)</f>
        <v>1</v>
      </c>
      <c r="F298" s="10" t="n">
        <f aca="false">WEEKNUM(A298,2) - WEEKNUM(DATE(YEAR(A298),MONTH(A298),1),2) + 1</f>
        <v>5</v>
      </c>
      <c r="G298" s="10"/>
      <c r="H298" s="11" t="n">
        <v>4500</v>
      </c>
      <c r="I298" s="12" t="s">
        <v>15</v>
      </c>
      <c r="J298" s="12" t="s">
        <v>56</v>
      </c>
      <c r="K298" s="12"/>
      <c r="L298" s="9" t="n">
        <f aca="false">L297+H298</f>
        <v>100350.84</v>
      </c>
      <c r="M298" s="10" t="str">
        <f aca="false">VLOOKUP(J298,RECATALOGANDO!A:C,2,0)</f>
        <v>SERVICIO DE IMAGEN</v>
      </c>
      <c r="N298" s="12" t="str">
        <f aca="false">VLOOKUP(M298,RECATALOGANDO!B:C,2,0)</f>
        <v>VENTA DE SERVICIO</v>
      </c>
      <c r="O298" s="2" t="s">
        <v>78</v>
      </c>
    </row>
    <row r="299" customFormat="false" ht="13.8" hidden="false" customHeight="false" outlineLevel="0" collapsed="false">
      <c r="A299" s="8" t="n">
        <v>44984</v>
      </c>
      <c r="B299" s="9" t="n">
        <f aca="false">DAY(A299)</f>
        <v>27</v>
      </c>
      <c r="C299" s="9" t="n">
        <f aca="false">MONTH(A299)</f>
        <v>2</v>
      </c>
      <c r="D299" s="9" t="n">
        <f aca="false">YEAR(A299)</f>
        <v>2023</v>
      </c>
      <c r="E299" s="9" t="n">
        <f aca="false">WEEKDAY(A299,2)</f>
        <v>1</v>
      </c>
      <c r="F299" s="10" t="n">
        <f aca="false">WEEKNUM(A299,2) - WEEKNUM(DATE(YEAR(A299),MONTH(A299),1),2) + 1</f>
        <v>5</v>
      </c>
      <c r="G299" s="10"/>
      <c r="H299" s="11" t="n">
        <v>4500</v>
      </c>
      <c r="I299" s="12" t="s">
        <v>15</v>
      </c>
      <c r="J299" s="12" t="s">
        <v>56</v>
      </c>
      <c r="K299" s="12"/>
      <c r="L299" s="9" t="n">
        <f aca="false">L298+H299</f>
        <v>104850.84</v>
      </c>
      <c r="M299" s="10" t="str">
        <f aca="false">VLOOKUP(J299,RECATALOGANDO!A:C,2,0)</f>
        <v>SERVICIO DE IMAGEN</v>
      </c>
      <c r="N299" s="12" t="str">
        <f aca="false">VLOOKUP(M299,RECATALOGANDO!B:C,2,0)</f>
        <v>VENTA DE SERVICIO</v>
      </c>
      <c r="O299" s="2" t="s">
        <v>78</v>
      </c>
    </row>
    <row r="300" customFormat="false" ht="13.8" hidden="false" customHeight="false" outlineLevel="0" collapsed="false">
      <c r="A300" s="8" t="n">
        <v>44985</v>
      </c>
      <c r="B300" s="9" t="n">
        <f aca="false">DAY(A300)</f>
        <v>28</v>
      </c>
      <c r="C300" s="9" t="n">
        <f aca="false">MONTH(A300)</f>
        <v>2</v>
      </c>
      <c r="D300" s="9" t="n">
        <f aca="false">YEAR(A300)</f>
        <v>2023</v>
      </c>
      <c r="E300" s="9" t="n">
        <f aca="false">WEEKDAY(A300,2)</f>
        <v>2</v>
      </c>
      <c r="F300" s="10" t="n">
        <f aca="false">WEEKNUM(A300,2) - WEEKNUM(DATE(YEAR(A300),MONTH(A300),1),2) + 1</f>
        <v>5</v>
      </c>
      <c r="G300" s="10"/>
      <c r="H300" s="11" t="n">
        <v>3762.05</v>
      </c>
      <c r="I300" s="12" t="s">
        <v>15</v>
      </c>
      <c r="J300" s="12" t="s">
        <v>57</v>
      </c>
      <c r="K300" s="12"/>
      <c r="L300" s="9" t="n">
        <f aca="false">L299+H300</f>
        <v>108612.89</v>
      </c>
      <c r="M300" s="10" t="str">
        <f aca="false">VLOOKUP(J300,RECATALOGANDO!A:C,2,0)</f>
        <v>SERVICIO DE CREMACION</v>
      </c>
      <c r="N300" s="12" t="str">
        <f aca="false">VLOOKUP(M300,RECATALOGANDO!B:C,2,0)</f>
        <v>VENTA DE SERVICIO</v>
      </c>
      <c r="O300" s="2" t="s">
        <v>78</v>
      </c>
    </row>
    <row r="301" customFormat="false" ht="13.8" hidden="false" customHeight="false" outlineLevel="0" collapsed="false">
      <c r="A301" s="8" t="n">
        <v>44985</v>
      </c>
      <c r="B301" s="9" t="n">
        <f aca="false">DAY(A301)</f>
        <v>28</v>
      </c>
      <c r="C301" s="9" t="n">
        <f aca="false">MONTH(A301)</f>
        <v>2</v>
      </c>
      <c r="D301" s="9" t="n">
        <f aca="false">YEAR(A301)</f>
        <v>2023</v>
      </c>
      <c r="E301" s="9" t="n">
        <f aca="false">WEEKDAY(A301,2)</f>
        <v>2</v>
      </c>
      <c r="F301" s="10" t="n">
        <f aca="false">WEEKNUM(A301,2) - WEEKNUM(DATE(YEAR(A301),MONTH(A301),1),2) + 1</f>
        <v>5</v>
      </c>
      <c r="G301" s="10"/>
      <c r="H301" s="11" t="n">
        <v>3762.05</v>
      </c>
      <c r="I301" s="12" t="s">
        <v>15</v>
      </c>
      <c r="J301" s="12" t="s">
        <v>57</v>
      </c>
      <c r="K301" s="12"/>
      <c r="L301" s="9" t="n">
        <f aca="false">L300+H301</f>
        <v>112374.94</v>
      </c>
      <c r="M301" s="10" t="str">
        <f aca="false">VLOOKUP(J301,RECATALOGANDO!A:C,2,0)</f>
        <v>SERVICIO DE CREMACION</v>
      </c>
      <c r="N301" s="12" t="str">
        <f aca="false">VLOOKUP(M301,RECATALOGANDO!B:C,2,0)</f>
        <v>VENTA DE SERVICIO</v>
      </c>
      <c r="O301" s="2" t="s">
        <v>78</v>
      </c>
    </row>
    <row r="302" customFormat="false" ht="13.8" hidden="false" customHeight="false" outlineLevel="0" collapsed="false">
      <c r="A302" s="8" t="n">
        <v>44986</v>
      </c>
      <c r="B302" s="9" t="n">
        <f aca="false">DAY(A302)</f>
        <v>1</v>
      </c>
      <c r="C302" s="9" t="n">
        <f aca="false">MONTH(A302)</f>
        <v>3</v>
      </c>
      <c r="D302" s="9" t="n">
        <f aca="false">YEAR(A302)</f>
        <v>2023</v>
      </c>
      <c r="E302" s="9" t="n">
        <f aca="false">WEEKDAY(A302,2)</f>
        <v>3</v>
      </c>
      <c r="F302" s="10" t="n">
        <f aca="false">WEEKNUM(A302,2) - WEEKNUM(DATE(YEAR(A302),MONTH(A302),1),2) + 1</f>
        <v>1</v>
      </c>
      <c r="G302" s="10"/>
      <c r="H302" s="11" t="n">
        <v>250</v>
      </c>
      <c r="I302" s="12" t="s">
        <v>20</v>
      </c>
      <c r="J302" s="12" t="s">
        <v>45</v>
      </c>
      <c r="K302" s="12"/>
      <c r="L302" s="9" t="n">
        <f aca="false">H302</f>
        <v>250</v>
      </c>
      <c r="M302" s="10" t="str">
        <f aca="false">VLOOKUP(J302,RECATALOGANDO!A:C,2,0)</f>
        <v>VENTA DE MEDICAMENTO</v>
      </c>
      <c r="N302" s="12" t="str">
        <f aca="false">VLOOKUP(M302,RECATALOGANDO!B:C,2,0)</f>
        <v>VENTA DE PRODUCTO</v>
      </c>
      <c r="O302" s="2" t="s">
        <v>78</v>
      </c>
    </row>
    <row r="303" customFormat="false" ht="13.8" hidden="false" customHeight="false" outlineLevel="0" collapsed="false">
      <c r="A303" s="8" t="n">
        <v>44988</v>
      </c>
      <c r="B303" s="9" t="n">
        <f aca="false">DAY(A303)</f>
        <v>3</v>
      </c>
      <c r="C303" s="9" t="n">
        <f aca="false">MONTH(A303)</f>
        <v>3</v>
      </c>
      <c r="D303" s="9" t="n">
        <f aca="false">YEAR(A303)</f>
        <v>2023</v>
      </c>
      <c r="E303" s="9" t="n">
        <f aca="false">WEEKDAY(A303,2)</f>
        <v>5</v>
      </c>
      <c r="F303" s="10" t="n">
        <f aca="false">WEEKNUM(A303,2) - WEEKNUM(DATE(YEAR(A303),MONTH(A303),1),2) + 1</f>
        <v>1</v>
      </c>
      <c r="G303" s="10"/>
      <c r="H303" s="11" t="n">
        <v>2000</v>
      </c>
      <c r="I303" s="12" t="s">
        <v>20</v>
      </c>
      <c r="J303" s="12" t="s">
        <v>51</v>
      </c>
      <c r="K303" s="12"/>
      <c r="L303" s="9" t="n">
        <f aca="false">L302+H303</f>
        <v>2250</v>
      </c>
      <c r="M303" s="10" t="str">
        <f aca="false">VLOOKUP(J303,RECATALOGANDO!A:C,2,0)</f>
        <v>VENTA DE ALIMENTO</v>
      </c>
      <c r="N303" s="12" t="str">
        <f aca="false">VLOOKUP(M303,RECATALOGANDO!B:C,2,0)</f>
        <v>VENTA DE PRODUCTO</v>
      </c>
      <c r="O303" s="2" t="s">
        <v>78</v>
      </c>
    </row>
    <row r="304" customFormat="false" ht="13.8" hidden="false" customHeight="false" outlineLevel="0" collapsed="false">
      <c r="A304" s="8" t="n">
        <v>44988</v>
      </c>
      <c r="B304" s="9" t="n">
        <f aca="false">DAY(A304)</f>
        <v>3</v>
      </c>
      <c r="C304" s="9" t="n">
        <f aca="false">MONTH(A304)</f>
        <v>3</v>
      </c>
      <c r="D304" s="9" t="n">
        <f aca="false">YEAR(A304)</f>
        <v>2023</v>
      </c>
      <c r="E304" s="9" t="n">
        <f aca="false">WEEKDAY(A304,2)</f>
        <v>5</v>
      </c>
      <c r="F304" s="10" t="n">
        <f aca="false">WEEKNUM(A304,2) - WEEKNUM(DATE(YEAR(A304),MONTH(A304),1),2) + 1</f>
        <v>1</v>
      </c>
      <c r="G304" s="10"/>
      <c r="H304" s="11" t="n">
        <v>650</v>
      </c>
      <c r="I304" s="12" t="s">
        <v>20</v>
      </c>
      <c r="J304" s="12" t="s">
        <v>54</v>
      </c>
      <c r="K304" s="12"/>
      <c r="L304" s="9" t="n">
        <f aca="false">L303+H304</f>
        <v>2900</v>
      </c>
      <c r="M304" s="10" t="str">
        <f aca="false">VLOOKUP(J304,RECATALOGANDO!A:C,2,0)</f>
        <v>SERVICIO DE LABORATORIO</v>
      </c>
      <c r="N304" s="12" t="str">
        <f aca="false">VLOOKUP(M304,RECATALOGANDO!B:C,2,0)</f>
        <v>VENTA DE SERVICIO</v>
      </c>
      <c r="O304" s="2" t="s">
        <v>78</v>
      </c>
    </row>
    <row r="305" customFormat="false" ht="13.8" hidden="false" customHeight="false" outlineLevel="0" collapsed="false">
      <c r="A305" s="8" t="n">
        <v>44991</v>
      </c>
      <c r="B305" s="9" t="n">
        <f aca="false">DAY(A305)</f>
        <v>6</v>
      </c>
      <c r="C305" s="9" t="n">
        <f aca="false">MONTH(A305)</f>
        <v>3</v>
      </c>
      <c r="D305" s="9" t="n">
        <f aca="false">YEAR(A305)</f>
        <v>2023</v>
      </c>
      <c r="E305" s="9" t="n">
        <f aca="false">WEEKDAY(A305,2)</f>
        <v>1</v>
      </c>
      <c r="F305" s="10" t="n">
        <f aca="false">WEEKNUM(A305,2) - WEEKNUM(DATE(YEAR(A305),MONTH(A305),1),2) + 1</f>
        <v>2</v>
      </c>
      <c r="G305" s="10"/>
      <c r="H305" s="11" t="n">
        <v>1640</v>
      </c>
      <c r="I305" s="12" t="s">
        <v>20</v>
      </c>
      <c r="J305" s="12" t="s">
        <v>45</v>
      </c>
      <c r="K305" s="12"/>
      <c r="L305" s="9" t="n">
        <f aca="false">L304+H305</f>
        <v>4540</v>
      </c>
      <c r="M305" s="10" t="str">
        <f aca="false">VLOOKUP(J305,RECATALOGANDO!A:C,2,0)</f>
        <v>VENTA DE MEDICAMENTO</v>
      </c>
      <c r="N305" s="12" t="str">
        <f aca="false">VLOOKUP(M305,RECATALOGANDO!B:C,2,0)</f>
        <v>VENTA DE PRODUCTO</v>
      </c>
      <c r="O305" s="2" t="s">
        <v>78</v>
      </c>
    </row>
    <row r="306" customFormat="false" ht="13.8" hidden="false" customHeight="false" outlineLevel="0" collapsed="false">
      <c r="A306" s="8" t="n">
        <v>44991</v>
      </c>
      <c r="B306" s="9" t="n">
        <f aca="false">DAY(A306)</f>
        <v>6</v>
      </c>
      <c r="C306" s="9" t="n">
        <f aca="false">MONTH(A306)</f>
        <v>3</v>
      </c>
      <c r="D306" s="9" t="n">
        <f aca="false">YEAR(A306)</f>
        <v>2023</v>
      </c>
      <c r="E306" s="9" t="n">
        <f aca="false">WEEKDAY(A306,2)</f>
        <v>1</v>
      </c>
      <c r="F306" s="10" t="n">
        <f aca="false">WEEKNUM(A306,2) - WEEKNUM(DATE(YEAR(A306),MONTH(A306),1),2) + 1</f>
        <v>2</v>
      </c>
      <c r="G306" s="10"/>
      <c r="H306" s="11" t="n">
        <v>7201</v>
      </c>
      <c r="I306" s="12" t="s">
        <v>20</v>
      </c>
      <c r="J306" s="12" t="s">
        <v>55</v>
      </c>
      <c r="K306" s="12"/>
      <c r="L306" s="9" t="n">
        <f aca="false">L305+H306</f>
        <v>11741</v>
      </c>
      <c r="M306" s="10" t="str">
        <f aca="false">VLOOKUP(J306,RECATALOGANDO!A:C,2,0)</f>
        <v>VENTA DE MEDICAMENTO</v>
      </c>
      <c r="N306" s="12" t="str">
        <f aca="false">VLOOKUP(M306,RECATALOGANDO!B:C,2,0)</f>
        <v>VENTA DE PRODUCTO</v>
      </c>
      <c r="O306" s="2" t="s">
        <v>78</v>
      </c>
    </row>
    <row r="307" customFormat="false" ht="13.8" hidden="false" customHeight="false" outlineLevel="0" collapsed="false">
      <c r="A307" s="8" t="n">
        <v>44991</v>
      </c>
      <c r="B307" s="9" t="n">
        <f aca="false">DAY(A307)</f>
        <v>6</v>
      </c>
      <c r="C307" s="9" t="n">
        <f aca="false">MONTH(A307)</f>
        <v>3</v>
      </c>
      <c r="D307" s="9" t="n">
        <f aca="false">YEAR(A307)</f>
        <v>2023</v>
      </c>
      <c r="E307" s="9" t="n">
        <f aca="false">WEEKDAY(A307,2)</f>
        <v>1</v>
      </c>
      <c r="F307" s="10" t="n">
        <f aca="false">WEEKNUM(A307,2) - WEEKNUM(DATE(YEAR(A307),MONTH(A307),1),2) + 1</f>
        <v>2</v>
      </c>
      <c r="G307" s="10"/>
      <c r="H307" s="11" t="n">
        <v>1220</v>
      </c>
      <c r="I307" s="12" t="s">
        <v>15</v>
      </c>
      <c r="J307" s="12" t="s">
        <v>54</v>
      </c>
      <c r="K307" s="12"/>
      <c r="L307" s="9" t="n">
        <f aca="false">L306+H307</f>
        <v>12961</v>
      </c>
      <c r="M307" s="10" t="str">
        <f aca="false">VLOOKUP(J307,RECATALOGANDO!A:C,2,0)</f>
        <v>SERVICIO DE LABORATORIO</v>
      </c>
      <c r="N307" s="12" t="str">
        <f aca="false">VLOOKUP(M307,RECATALOGANDO!B:C,2,0)</f>
        <v>VENTA DE SERVICIO</v>
      </c>
      <c r="O307" s="2" t="s">
        <v>78</v>
      </c>
    </row>
    <row r="308" customFormat="false" ht="13.8" hidden="false" customHeight="false" outlineLevel="0" collapsed="false">
      <c r="A308" s="8" t="n">
        <v>44992</v>
      </c>
      <c r="B308" s="9" t="n">
        <f aca="false">DAY(A308)</f>
        <v>7</v>
      </c>
      <c r="C308" s="9" t="n">
        <f aca="false">MONTH(A308)</f>
        <v>3</v>
      </c>
      <c r="D308" s="9" t="n">
        <f aca="false">YEAR(A308)</f>
        <v>2023</v>
      </c>
      <c r="E308" s="9" t="n">
        <f aca="false">WEEKDAY(A308,2)</f>
        <v>2</v>
      </c>
      <c r="F308" s="10" t="n">
        <f aca="false">WEEKNUM(A308,2) - WEEKNUM(DATE(YEAR(A308),MONTH(A308),1),2) + 1</f>
        <v>2</v>
      </c>
      <c r="G308" s="10"/>
      <c r="H308" s="11" t="n">
        <v>3950</v>
      </c>
      <c r="I308" s="12" t="s">
        <v>15</v>
      </c>
      <c r="J308" s="12" t="s">
        <v>45</v>
      </c>
      <c r="K308" s="12"/>
      <c r="L308" s="9" t="n">
        <f aca="false">L307+H308</f>
        <v>16911</v>
      </c>
      <c r="M308" s="10" t="str">
        <f aca="false">VLOOKUP(J308,RECATALOGANDO!A:C,2,0)</f>
        <v>VENTA DE MEDICAMENTO</v>
      </c>
      <c r="N308" s="12" t="str">
        <f aca="false">VLOOKUP(M308,RECATALOGANDO!B:C,2,0)</f>
        <v>VENTA DE PRODUCTO</v>
      </c>
      <c r="O308" s="2" t="s">
        <v>78</v>
      </c>
    </row>
    <row r="309" customFormat="false" ht="13.8" hidden="false" customHeight="false" outlineLevel="0" collapsed="false">
      <c r="A309" s="8" t="n">
        <v>44992</v>
      </c>
      <c r="B309" s="9" t="n">
        <f aca="false">DAY(A309)</f>
        <v>7</v>
      </c>
      <c r="C309" s="9" t="n">
        <f aca="false">MONTH(A309)</f>
        <v>3</v>
      </c>
      <c r="D309" s="9" t="n">
        <f aca="false">YEAR(A309)</f>
        <v>2023</v>
      </c>
      <c r="E309" s="9" t="n">
        <f aca="false">WEEKDAY(A309,2)</f>
        <v>2</v>
      </c>
      <c r="F309" s="10" t="n">
        <f aca="false">WEEKNUM(A309,2) - WEEKNUM(DATE(YEAR(A309),MONTH(A309),1),2) + 1</f>
        <v>2</v>
      </c>
      <c r="G309" s="10"/>
      <c r="H309" s="11" t="n">
        <v>170</v>
      </c>
      <c r="I309" s="12" t="s">
        <v>15</v>
      </c>
      <c r="J309" s="12" t="s">
        <v>53</v>
      </c>
      <c r="K309" s="12"/>
      <c r="L309" s="9" t="n">
        <f aca="false">L308+H309</f>
        <v>17081</v>
      </c>
      <c r="M309" s="10" t="str">
        <f aca="false">VLOOKUP(J309,RECATALOGANDO!A:C,2,0)</f>
        <v>SERVICIO DE GROOMING</v>
      </c>
      <c r="N309" s="12" t="str">
        <f aca="false">VLOOKUP(M309,RECATALOGANDO!B:C,2,0)</f>
        <v>VENTA DE SERVICIO</v>
      </c>
      <c r="O309" s="2" t="s">
        <v>78</v>
      </c>
    </row>
    <row r="310" customFormat="false" ht="13.8" hidden="false" customHeight="false" outlineLevel="0" collapsed="false">
      <c r="A310" s="8" t="n">
        <v>44992</v>
      </c>
      <c r="B310" s="9" t="n">
        <f aca="false">DAY(A310)</f>
        <v>7</v>
      </c>
      <c r="C310" s="9" t="n">
        <f aca="false">MONTH(A310)</f>
        <v>3</v>
      </c>
      <c r="D310" s="9" t="n">
        <f aca="false">YEAR(A310)</f>
        <v>2023</v>
      </c>
      <c r="E310" s="9" t="n">
        <f aca="false">WEEKDAY(A310,2)</f>
        <v>2</v>
      </c>
      <c r="F310" s="10" t="n">
        <f aca="false">WEEKNUM(A310,2) - WEEKNUM(DATE(YEAR(A310),MONTH(A310),1),2) + 1</f>
        <v>2</v>
      </c>
      <c r="G310" s="10"/>
      <c r="H310" s="11" t="n">
        <v>400</v>
      </c>
      <c r="I310" s="12" t="s">
        <v>20</v>
      </c>
      <c r="J310" s="12" t="s">
        <v>49</v>
      </c>
      <c r="K310" s="12"/>
      <c r="L310" s="9" t="n">
        <f aca="false">L309+H310</f>
        <v>17481</v>
      </c>
      <c r="M310" s="10" t="str">
        <f aca="false">VLOOKUP(J310,RECATALOGANDO!A:C,2,0)</f>
        <v>SERVICIO DE GROOMING</v>
      </c>
      <c r="N310" s="12" t="str">
        <f aca="false">VLOOKUP(M310,RECATALOGANDO!B:C,2,0)</f>
        <v>VENTA DE SERVICIO</v>
      </c>
      <c r="O310" s="2" t="s">
        <v>78</v>
      </c>
    </row>
    <row r="311" customFormat="false" ht="13.8" hidden="false" customHeight="false" outlineLevel="0" collapsed="false">
      <c r="A311" s="8" t="n">
        <v>44992</v>
      </c>
      <c r="B311" s="9" t="n">
        <f aca="false">DAY(A311)</f>
        <v>7</v>
      </c>
      <c r="C311" s="9" t="n">
        <f aca="false">MONTH(A311)</f>
        <v>3</v>
      </c>
      <c r="D311" s="9" t="n">
        <f aca="false">YEAR(A311)</f>
        <v>2023</v>
      </c>
      <c r="E311" s="9" t="n">
        <f aca="false">WEEKDAY(A311,2)</f>
        <v>2</v>
      </c>
      <c r="F311" s="10" t="n">
        <f aca="false">WEEKNUM(A311,2) - WEEKNUM(DATE(YEAR(A311),MONTH(A311),1),2) + 1</f>
        <v>2</v>
      </c>
      <c r="G311" s="10"/>
      <c r="H311" s="11" t="n">
        <v>410</v>
      </c>
      <c r="I311" s="12" t="s">
        <v>20</v>
      </c>
      <c r="J311" s="12" t="s">
        <v>53</v>
      </c>
      <c r="K311" s="12"/>
      <c r="L311" s="9" t="n">
        <f aca="false">L310+H311</f>
        <v>17891</v>
      </c>
      <c r="M311" s="10" t="str">
        <f aca="false">VLOOKUP(J311,RECATALOGANDO!A:C,2,0)</f>
        <v>SERVICIO DE GROOMING</v>
      </c>
      <c r="N311" s="12" t="str">
        <f aca="false">VLOOKUP(M311,RECATALOGANDO!B:C,2,0)</f>
        <v>VENTA DE SERVICIO</v>
      </c>
      <c r="O311" s="2" t="s">
        <v>78</v>
      </c>
    </row>
    <row r="312" customFormat="false" ht="13.8" hidden="false" customHeight="false" outlineLevel="0" collapsed="false">
      <c r="A312" s="8" t="n">
        <v>44993</v>
      </c>
      <c r="B312" s="9" t="n">
        <f aca="false">DAY(A312)</f>
        <v>8</v>
      </c>
      <c r="C312" s="9" t="n">
        <f aca="false">MONTH(A312)</f>
        <v>3</v>
      </c>
      <c r="D312" s="9" t="n">
        <f aca="false">YEAR(A312)</f>
        <v>2023</v>
      </c>
      <c r="E312" s="9" t="n">
        <f aca="false">WEEKDAY(A312,2)</f>
        <v>3</v>
      </c>
      <c r="F312" s="10" t="n">
        <f aca="false">WEEKNUM(A312,2) - WEEKNUM(DATE(YEAR(A312),MONTH(A312),1),2) + 1</f>
        <v>2</v>
      </c>
      <c r="G312" s="10"/>
      <c r="H312" s="11" t="n">
        <v>200</v>
      </c>
      <c r="I312" s="12" t="s">
        <v>20</v>
      </c>
      <c r="J312" s="12" t="s">
        <v>55</v>
      </c>
      <c r="K312" s="12"/>
      <c r="L312" s="9" t="n">
        <f aca="false">L311+H312</f>
        <v>18091</v>
      </c>
      <c r="M312" s="10" t="str">
        <f aca="false">VLOOKUP(J312,RECATALOGANDO!A:C,2,0)</f>
        <v>VENTA DE MEDICAMENTO</v>
      </c>
      <c r="N312" s="12" t="str">
        <f aca="false">VLOOKUP(M312,RECATALOGANDO!B:C,2,0)</f>
        <v>VENTA DE PRODUCTO</v>
      </c>
      <c r="O312" s="2" t="s">
        <v>78</v>
      </c>
    </row>
    <row r="313" customFormat="false" ht="13.8" hidden="false" customHeight="false" outlineLevel="0" collapsed="false">
      <c r="A313" s="8" t="n">
        <v>44993</v>
      </c>
      <c r="B313" s="9" t="n">
        <f aca="false">DAY(A313)</f>
        <v>8</v>
      </c>
      <c r="C313" s="9" t="n">
        <f aca="false">MONTH(A313)</f>
        <v>3</v>
      </c>
      <c r="D313" s="9" t="n">
        <f aca="false">YEAR(A313)</f>
        <v>2023</v>
      </c>
      <c r="E313" s="9" t="n">
        <f aca="false">WEEKDAY(A313,2)</f>
        <v>3</v>
      </c>
      <c r="F313" s="10" t="n">
        <f aca="false">WEEKNUM(A313,2) - WEEKNUM(DATE(YEAR(A313),MONTH(A313),1),2) + 1</f>
        <v>2</v>
      </c>
      <c r="G313" s="10"/>
      <c r="H313" s="11" t="n">
        <v>314</v>
      </c>
      <c r="I313" s="12" t="s">
        <v>15</v>
      </c>
      <c r="J313" s="12" t="s">
        <v>51</v>
      </c>
      <c r="K313" s="12"/>
      <c r="L313" s="9" t="n">
        <f aca="false">L312+H313</f>
        <v>18405</v>
      </c>
      <c r="M313" s="10" t="str">
        <f aca="false">VLOOKUP(J313,RECATALOGANDO!A:C,2,0)</f>
        <v>VENTA DE ALIMENTO</v>
      </c>
      <c r="N313" s="12" t="str">
        <f aca="false">VLOOKUP(M313,RECATALOGANDO!B:C,2,0)</f>
        <v>VENTA DE PRODUCTO</v>
      </c>
      <c r="O313" s="2" t="s">
        <v>78</v>
      </c>
    </row>
    <row r="314" customFormat="false" ht="13.8" hidden="false" customHeight="false" outlineLevel="0" collapsed="false">
      <c r="A314" s="8" t="n">
        <v>44995</v>
      </c>
      <c r="B314" s="9" t="n">
        <f aca="false">DAY(A314)</f>
        <v>10</v>
      </c>
      <c r="C314" s="9" t="n">
        <f aca="false">MONTH(A314)</f>
        <v>3</v>
      </c>
      <c r="D314" s="9" t="n">
        <f aca="false">YEAR(A314)</f>
        <v>2023</v>
      </c>
      <c r="E314" s="9" t="n">
        <f aca="false">WEEKDAY(A314,2)</f>
        <v>5</v>
      </c>
      <c r="F314" s="10" t="n">
        <f aca="false">WEEKNUM(A314,2) - WEEKNUM(DATE(YEAR(A314),MONTH(A314),1),2) + 1</f>
        <v>2</v>
      </c>
      <c r="G314" s="10"/>
      <c r="H314" s="11" t="n">
        <v>350</v>
      </c>
      <c r="I314" s="12" t="s">
        <v>20</v>
      </c>
      <c r="J314" s="12" t="s">
        <v>53</v>
      </c>
      <c r="K314" s="12"/>
      <c r="L314" s="9" t="n">
        <f aca="false">L313+H314</f>
        <v>18755</v>
      </c>
      <c r="M314" s="10" t="str">
        <f aca="false">VLOOKUP(J314,RECATALOGANDO!A:C,2,0)</f>
        <v>SERVICIO DE GROOMING</v>
      </c>
      <c r="N314" s="12" t="str">
        <f aca="false">VLOOKUP(M314,RECATALOGANDO!B:C,2,0)</f>
        <v>VENTA DE SERVICIO</v>
      </c>
      <c r="O314" s="2" t="s">
        <v>78</v>
      </c>
    </row>
    <row r="315" customFormat="false" ht="13.8" hidden="false" customHeight="false" outlineLevel="0" collapsed="false">
      <c r="A315" s="8" t="n">
        <v>44995</v>
      </c>
      <c r="B315" s="9" t="n">
        <f aca="false">DAY(A315)</f>
        <v>10</v>
      </c>
      <c r="C315" s="9" t="n">
        <f aca="false">MONTH(A315)</f>
        <v>3</v>
      </c>
      <c r="D315" s="9" t="n">
        <f aca="false">YEAR(A315)</f>
        <v>2023</v>
      </c>
      <c r="E315" s="9" t="n">
        <f aca="false">WEEKDAY(A315,2)</f>
        <v>5</v>
      </c>
      <c r="F315" s="10" t="n">
        <f aca="false">WEEKNUM(A315,2) - WEEKNUM(DATE(YEAR(A315),MONTH(A315),1),2) + 1</f>
        <v>2</v>
      </c>
      <c r="G315" s="10"/>
      <c r="H315" s="11" t="n">
        <v>441.74</v>
      </c>
      <c r="I315" s="12" t="s">
        <v>15</v>
      </c>
      <c r="J315" s="12" t="s">
        <v>44</v>
      </c>
      <c r="K315" s="12"/>
      <c r="L315" s="9" t="n">
        <f aca="false">L314+H315</f>
        <v>19196.74</v>
      </c>
      <c r="M315" s="10" t="str">
        <f aca="false">VLOOKUP(J315,RECATALOGANDO!A:C,2,0)</f>
        <v>HONORARIOS MEDICOS</v>
      </c>
      <c r="N315" s="12" t="str">
        <f aca="false">VLOOKUP(M315,RECATALOGANDO!B:C,2,0)</f>
        <v>VENTA DE SERVICIO</v>
      </c>
      <c r="O315" s="2" t="s">
        <v>78</v>
      </c>
    </row>
    <row r="316" customFormat="false" ht="13.8" hidden="false" customHeight="false" outlineLevel="0" collapsed="false">
      <c r="A316" s="8" t="n">
        <v>44996</v>
      </c>
      <c r="B316" s="9" t="n">
        <f aca="false">DAY(A316)</f>
        <v>11</v>
      </c>
      <c r="C316" s="9" t="n">
        <f aca="false">MONTH(A316)</f>
        <v>3</v>
      </c>
      <c r="D316" s="9" t="n">
        <f aca="false">YEAR(A316)</f>
        <v>2023</v>
      </c>
      <c r="E316" s="9" t="n">
        <f aca="false">WEEKDAY(A316,2)</f>
        <v>6</v>
      </c>
      <c r="F316" s="10" t="n">
        <f aca="false">WEEKNUM(A316,2) - WEEKNUM(DATE(YEAR(A316),MONTH(A316),1),2) + 1</f>
        <v>2</v>
      </c>
      <c r="G316" s="10"/>
      <c r="H316" s="11" t="n">
        <v>2354.38</v>
      </c>
      <c r="I316" s="12" t="s">
        <v>15</v>
      </c>
      <c r="J316" s="12" t="s">
        <v>41</v>
      </c>
      <c r="K316" s="12"/>
      <c r="L316" s="9" t="n">
        <f aca="false">L315+H316</f>
        <v>21551.12</v>
      </c>
      <c r="M316" s="10" t="str">
        <f aca="false">VLOOKUP(J316,RECATALOGANDO!A:C,2,0)</f>
        <v>HONORARIOS QUIRURGICOS</v>
      </c>
      <c r="N316" s="12" t="str">
        <f aca="false">VLOOKUP(M316,RECATALOGANDO!B:C,2,0)</f>
        <v>VENTA DE SERVICIO</v>
      </c>
      <c r="O316" s="2" t="s">
        <v>78</v>
      </c>
    </row>
    <row r="317" customFormat="false" ht="13.8" hidden="false" customHeight="false" outlineLevel="0" collapsed="false">
      <c r="A317" s="8" t="n">
        <v>44997</v>
      </c>
      <c r="B317" s="9" t="n">
        <f aca="false">DAY(A317)</f>
        <v>12</v>
      </c>
      <c r="C317" s="9" t="n">
        <f aca="false">MONTH(A317)</f>
        <v>3</v>
      </c>
      <c r="D317" s="9" t="n">
        <f aca="false">YEAR(A317)</f>
        <v>2023</v>
      </c>
      <c r="E317" s="9" t="n">
        <f aca="false">WEEKDAY(A317,2)</f>
        <v>7</v>
      </c>
      <c r="F317" s="10" t="n">
        <f aca="false">WEEKNUM(A317,2) - WEEKNUM(DATE(YEAR(A317),MONTH(A317),1),2) + 1</f>
        <v>2</v>
      </c>
      <c r="G317" s="10"/>
      <c r="H317" s="11" t="n">
        <v>280</v>
      </c>
      <c r="I317" s="12" t="s">
        <v>15</v>
      </c>
      <c r="J317" s="12" t="s">
        <v>45</v>
      </c>
      <c r="K317" s="12"/>
      <c r="L317" s="9" t="n">
        <f aca="false">L316+H317</f>
        <v>21831.12</v>
      </c>
      <c r="M317" s="10" t="str">
        <f aca="false">VLOOKUP(J317,RECATALOGANDO!A:C,2,0)</f>
        <v>VENTA DE MEDICAMENTO</v>
      </c>
      <c r="N317" s="12" t="str">
        <f aca="false">VLOOKUP(M317,RECATALOGANDO!B:C,2,0)</f>
        <v>VENTA DE PRODUCTO</v>
      </c>
      <c r="O317" s="2" t="s">
        <v>78</v>
      </c>
    </row>
    <row r="318" customFormat="false" ht="13.8" hidden="false" customHeight="false" outlineLevel="0" collapsed="false">
      <c r="A318" s="8" t="n">
        <v>44998</v>
      </c>
      <c r="B318" s="9" t="n">
        <f aca="false">DAY(A318)</f>
        <v>13</v>
      </c>
      <c r="C318" s="9" t="n">
        <f aca="false">MONTH(A318)</f>
        <v>3</v>
      </c>
      <c r="D318" s="9" t="n">
        <f aca="false">YEAR(A318)</f>
        <v>2023</v>
      </c>
      <c r="E318" s="9" t="n">
        <f aca="false">WEEKDAY(A318,2)</f>
        <v>1</v>
      </c>
      <c r="F318" s="10" t="n">
        <f aca="false">WEEKNUM(A318,2) - WEEKNUM(DATE(YEAR(A318),MONTH(A318),1),2) + 1</f>
        <v>3</v>
      </c>
      <c r="G318" s="10"/>
      <c r="H318" s="11" t="n">
        <v>857</v>
      </c>
      <c r="I318" s="12" t="s">
        <v>20</v>
      </c>
      <c r="J318" s="12" t="s">
        <v>55</v>
      </c>
      <c r="K318" s="12"/>
      <c r="L318" s="9" t="n">
        <f aca="false">L317+H318</f>
        <v>22688.12</v>
      </c>
      <c r="M318" s="10" t="str">
        <f aca="false">VLOOKUP(J318,RECATALOGANDO!A:C,2,0)</f>
        <v>VENTA DE MEDICAMENTO</v>
      </c>
      <c r="N318" s="12" t="str">
        <f aca="false">VLOOKUP(M318,RECATALOGANDO!B:C,2,0)</f>
        <v>VENTA DE PRODUCTO</v>
      </c>
      <c r="O318" s="2" t="s">
        <v>78</v>
      </c>
    </row>
    <row r="319" customFormat="false" ht="13.8" hidden="false" customHeight="false" outlineLevel="0" collapsed="false">
      <c r="A319" s="8" t="n">
        <v>44998</v>
      </c>
      <c r="B319" s="9" t="n">
        <f aca="false">DAY(A319)</f>
        <v>13</v>
      </c>
      <c r="C319" s="9" t="n">
        <f aca="false">MONTH(A319)</f>
        <v>3</v>
      </c>
      <c r="D319" s="9" t="n">
        <f aca="false">YEAR(A319)</f>
        <v>2023</v>
      </c>
      <c r="E319" s="9" t="n">
        <f aca="false">WEEKDAY(A319,2)</f>
        <v>1</v>
      </c>
      <c r="F319" s="10" t="n">
        <f aca="false">WEEKNUM(A319,2) - WEEKNUM(DATE(YEAR(A319),MONTH(A319),1),2) + 1</f>
        <v>3</v>
      </c>
      <c r="G319" s="10"/>
      <c r="H319" s="11" t="n">
        <v>950</v>
      </c>
      <c r="I319" s="12" t="s">
        <v>20</v>
      </c>
      <c r="J319" s="12" t="s">
        <v>54</v>
      </c>
      <c r="K319" s="12"/>
      <c r="L319" s="9" t="n">
        <f aca="false">L318+H319</f>
        <v>23638.12</v>
      </c>
      <c r="M319" s="10" t="str">
        <f aca="false">VLOOKUP(J319,RECATALOGANDO!A:C,2,0)</f>
        <v>SERVICIO DE LABORATORIO</v>
      </c>
      <c r="N319" s="12" t="str">
        <f aca="false">VLOOKUP(M319,RECATALOGANDO!B:C,2,0)</f>
        <v>VENTA DE SERVICIO</v>
      </c>
      <c r="O319" s="2" t="s">
        <v>78</v>
      </c>
    </row>
    <row r="320" customFormat="false" ht="13.8" hidden="false" customHeight="false" outlineLevel="0" collapsed="false">
      <c r="A320" s="8" t="n">
        <v>45006</v>
      </c>
      <c r="B320" s="9" t="n">
        <f aca="false">DAY(A320)</f>
        <v>21</v>
      </c>
      <c r="C320" s="9" t="n">
        <f aca="false">MONTH(A320)</f>
        <v>3</v>
      </c>
      <c r="D320" s="9" t="n">
        <f aca="false">YEAR(A320)</f>
        <v>2023</v>
      </c>
      <c r="E320" s="9" t="n">
        <f aca="false">WEEKDAY(A320,2)</f>
        <v>2</v>
      </c>
      <c r="F320" s="10" t="n">
        <f aca="false">WEEKNUM(A320,2) - WEEKNUM(DATE(YEAR(A320),MONTH(A320),1),2) + 1</f>
        <v>4</v>
      </c>
      <c r="G320" s="10"/>
      <c r="H320" s="11" t="n">
        <v>270</v>
      </c>
      <c r="I320" s="12" t="s">
        <v>20</v>
      </c>
      <c r="J320" s="12" t="s">
        <v>53</v>
      </c>
      <c r="K320" s="12"/>
      <c r="L320" s="9" t="n">
        <f aca="false">L319+H320</f>
        <v>23908.12</v>
      </c>
      <c r="M320" s="10" t="str">
        <f aca="false">VLOOKUP(J320,RECATALOGANDO!A:C,2,0)</f>
        <v>SERVICIO DE GROOMING</v>
      </c>
      <c r="N320" s="12" t="str">
        <f aca="false">VLOOKUP(M320,RECATALOGANDO!B:C,2,0)</f>
        <v>VENTA DE SERVICIO</v>
      </c>
      <c r="O320" s="2" t="s">
        <v>78</v>
      </c>
    </row>
    <row r="321" customFormat="false" ht="13.8" hidden="false" customHeight="false" outlineLevel="0" collapsed="false">
      <c r="A321" s="8" t="n">
        <v>45006</v>
      </c>
      <c r="B321" s="9" t="n">
        <f aca="false">DAY(A321)</f>
        <v>21</v>
      </c>
      <c r="C321" s="9" t="n">
        <f aca="false">MONTH(A321)</f>
        <v>3</v>
      </c>
      <c r="D321" s="9" t="n">
        <f aca="false">YEAR(A321)</f>
        <v>2023</v>
      </c>
      <c r="E321" s="9" t="n">
        <f aca="false">WEEKDAY(A321,2)</f>
        <v>2</v>
      </c>
      <c r="F321" s="10" t="n">
        <f aca="false">WEEKNUM(A321,2) - WEEKNUM(DATE(YEAR(A321),MONTH(A321),1),2) + 1</f>
        <v>4</v>
      </c>
      <c r="G321" s="10"/>
      <c r="H321" s="11" t="n">
        <v>1000</v>
      </c>
      <c r="I321" s="12" t="s">
        <v>20</v>
      </c>
      <c r="J321" s="12" t="s">
        <v>44</v>
      </c>
      <c r="K321" s="12"/>
      <c r="L321" s="9" t="n">
        <f aca="false">L320+H321</f>
        <v>24908.12</v>
      </c>
      <c r="M321" s="10" t="str">
        <f aca="false">VLOOKUP(J321,RECATALOGANDO!A:C,2,0)</f>
        <v>HONORARIOS MEDICOS</v>
      </c>
      <c r="N321" s="12" t="str">
        <f aca="false">VLOOKUP(M321,RECATALOGANDO!B:C,2,0)</f>
        <v>VENTA DE SERVICIO</v>
      </c>
      <c r="O321" s="2" t="s">
        <v>78</v>
      </c>
    </row>
    <row r="322" customFormat="false" ht="13.8" hidden="false" customHeight="false" outlineLevel="0" collapsed="false">
      <c r="A322" s="8" t="n">
        <v>45006</v>
      </c>
      <c r="B322" s="9" t="n">
        <f aca="false">DAY(A322)</f>
        <v>21</v>
      </c>
      <c r="C322" s="9" t="n">
        <f aca="false">MONTH(A322)</f>
        <v>3</v>
      </c>
      <c r="D322" s="9" t="n">
        <f aca="false">YEAR(A322)</f>
        <v>2023</v>
      </c>
      <c r="E322" s="9" t="n">
        <f aca="false">WEEKDAY(A322,2)</f>
        <v>2</v>
      </c>
      <c r="F322" s="10" t="n">
        <f aca="false">WEEKNUM(A322,2) - WEEKNUM(DATE(YEAR(A322),MONTH(A322),1),2) + 1</f>
        <v>4</v>
      </c>
      <c r="G322" s="10"/>
      <c r="H322" s="11" t="n">
        <v>1400</v>
      </c>
      <c r="I322" s="12" t="s">
        <v>20</v>
      </c>
      <c r="J322" s="12" t="s">
        <v>47</v>
      </c>
      <c r="K322" s="12"/>
      <c r="L322" s="9" t="n">
        <f aca="false">L321+H322</f>
        <v>26308.12</v>
      </c>
      <c r="M322" s="10" t="str">
        <f aca="false">VLOOKUP(J322,RECATALOGANDO!A:C,2,0)</f>
        <v>SERVICIO DE PENSION</v>
      </c>
      <c r="N322" s="12" t="str">
        <f aca="false">VLOOKUP(M322,RECATALOGANDO!B:C,2,0)</f>
        <v>VENTA DE SERVICIO</v>
      </c>
      <c r="O322" s="2" t="s">
        <v>78</v>
      </c>
    </row>
    <row r="323" customFormat="false" ht="13.8" hidden="false" customHeight="false" outlineLevel="0" collapsed="false">
      <c r="A323" s="8" t="n">
        <v>45007</v>
      </c>
      <c r="B323" s="9" t="n">
        <f aca="false">DAY(A323)</f>
        <v>22</v>
      </c>
      <c r="C323" s="9" t="n">
        <f aca="false">MONTH(A323)</f>
        <v>3</v>
      </c>
      <c r="D323" s="9" t="n">
        <f aca="false">YEAR(A323)</f>
        <v>2023</v>
      </c>
      <c r="E323" s="9" t="n">
        <f aca="false">WEEKDAY(A323,2)</f>
        <v>3</v>
      </c>
      <c r="F323" s="10" t="n">
        <f aca="false">WEEKNUM(A323,2) - WEEKNUM(DATE(YEAR(A323),MONTH(A323),1),2) + 1</f>
        <v>4</v>
      </c>
      <c r="G323" s="10"/>
      <c r="H323" s="11" t="n">
        <v>1119</v>
      </c>
      <c r="I323" s="12" t="s">
        <v>20</v>
      </c>
      <c r="J323" s="12" t="s">
        <v>51</v>
      </c>
      <c r="K323" s="12"/>
      <c r="L323" s="9" t="n">
        <f aca="false">L322+H323</f>
        <v>27427.12</v>
      </c>
      <c r="M323" s="10" t="str">
        <f aca="false">VLOOKUP(J323,RECATALOGANDO!A:C,2,0)</f>
        <v>VENTA DE ALIMENTO</v>
      </c>
      <c r="N323" s="12" t="str">
        <f aca="false">VLOOKUP(M323,RECATALOGANDO!B:C,2,0)</f>
        <v>VENTA DE PRODUCTO</v>
      </c>
      <c r="O323" s="2" t="s">
        <v>78</v>
      </c>
    </row>
    <row r="324" customFormat="false" ht="13.8" hidden="false" customHeight="false" outlineLevel="0" collapsed="false">
      <c r="A324" s="8" t="n">
        <v>45007</v>
      </c>
      <c r="B324" s="9" t="n">
        <f aca="false">DAY(A324)</f>
        <v>22</v>
      </c>
      <c r="C324" s="9" t="n">
        <f aca="false">MONTH(A324)</f>
        <v>3</v>
      </c>
      <c r="D324" s="9" t="n">
        <f aca="false">YEAR(A324)</f>
        <v>2023</v>
      </c>
      <c r="E324" s="9" t="n">
        <f aca="false">WEEKDAY(A324,2)</f>
        <v>3</v>
      </c>
      <c r="F324" s="10" t="n">
        <f aca="false">WEEKNUM(A324,2) - WEEKNUM(DATE(YEAR(A324),MONTH(A324),1),2) + 1</f>
        <v>4</v>
      </c>
      <c r="G324" s="10"/>
      <c r="H324" s="11" t="n">
        <v>200</v>
      </c>
      <c r="I324" s="12" t="s">
        <v>20</v>
      </c>
      <c r="J324" s="12" t="s">
        <v>47</v>
      </c>
      <c r="K324" s="12"/>
      <c r="L324" s="9" t="n">
        <f aca="false">L323+H324</f>
        <v>27627.12</v>
      </c>
      <c r="M324" s="10" t="str">
        <f aca="false">VLOOKUP(J324,RECATALOGANDO!A:C,2,0)</f>
        <v>SERVICIO DE PENSION</v>
      </c>
      <c r="N324" s="12" t="str">
        <f aca="false">VLOOKUP(M324,RECATALOGANDO!B:C,2,0)</f>
        <v>VENTA DE SERVICIO</v>
      </c>
      <c r="O324" s="2" t="s">
        <v>78</v>
      </c>
    </row>
    <row r="325" customFormat="false" ht="13.8" hidden="false" customHeight="false" outlineLevel="0" collapsed="false">
      <c r="A325" s="8" t="n">
        <v>45007</v>
      </c>
      <c r="B325" s="9" t="n">
        <f aca="false">DAY(A325)</f>
        <v>22</v>
      </c>
      <c r="C325" s="9" t="n">
        <f aca="false">MONTH(A325)</f>
        <v>3</v>
      </c>
      <c r="D325" s="9" t="n">
        <f aca="false">YEAR(A325)</f>
        <v>2023</v>
      </c>
      <c r="E325" s="9" t="n">
        <f aca="false">WEEKDAY(A325,2)</f>
        <v>3</v>
      </c>
      <c r="F325" s="10" t="n">
        <f aca="false">WEEKNUM(A325,2) - WEEKNUM(DATE(YEAR(A325),MONTH(A325),1),2) + 1</f>
        <v>4</v>
      </c>
      <c r="G325" s="10"/>
      <c r="H325" s="11" t="n">
        <v>250</v>
      </c>
      <c r="I325" s="12" t="s">
        <v>20</v>
      </c>
      <c r="J325" s="12" t="s">
        <v>44</v>
      </c>
      <c r="K325" s="12"/>
      <c r="L325" s="9" t="n">
        <f aca="false">L324+H325</f>
        <v>27877.12</v>
      </c>
      <c r="M325" s="10" t="str">
        <f aca="false">VLOOKUP(J325,RECATALOGANDO!A:C,2,0)</f>
        <v>HONORARIOS MEDICOS</v>
      </c>
      <c r="N325" s="12" t="str">
        <f aca="false">VLOOKUP(M325,RECATALOGANDO!B:C,2,0)</f>
        <v>VENTA DE SERVICIO</v>
      </c>
      <c r="O325" s="2" t="s">
        <v>78</v>
      </c>
    </row>
    <row r="326" customFormat="false" ht="13.8" hidden="false" customHeight="false" outlineLevel="0" collapsed="false">
      <c r="A326" s="8" t="n">
        <v>45007</v>
      </c>
      <c r="B326" s="9" t="n">
        <f aca="false">DAY(A326)</f>
        <v>22</v>
      </c>
      <c r="C326" s="9" t="n">
        <f aca="false">MONTH(A326)</f>
        <v>3</v>
      </c>
      <c r="D326" s="9" t="n">
        <f aca="false">YEAR(A326)</f>
        <v>2023</v>
      </c>
      <c r="E326" s="9" t="n">
        <f aca="false">WEEKDAY(A326,2)</f>
        <v>3</v>
      </c>
      <c r="F326" s="10" t="n">
        <f aca="false">WEEKNUM(A326,2) - WEEKNUM(DATE(YEAR(A326),MONTH(A326),1),2) + 1</f>
        <v>4</v>
      </c>
      <c r="G326" s="10"/>
      <c r="H326" s="11" t="n">
        <v>250</v>
      </c>
      <c r="I326" s="12" t="s">
        <v>20</v>
      </c>
      <c r="J326" s="12" t="s">
        <v>44</v>
      </c>
      <c r="K326" s="12"/>
      <c r="L326" s="9" t="n">
        <f aca="false">L325+H326</f>
        <v>28127.12</v>
      </c>
      <c r="M326" s="10" t="str">
        <f aca="false">VLOOKUP(J326,RECATALOGANDO!A:C,2,0)</f>
        <v>HONORARIOS MEDICOS</v>
      </c>
      <c r="N326" s="12" t="str">
        <f aca="false">VLOOKUP(M326,RECATALOGANDO!B:C,2,0)</f>
        <v>VENTA DE SERVICIO</v>
      </c>
      <c r="O326" s="2" t="s">
        <v>78</v>
      </c>
    </row>
    <row r="327" customFormat="false" ht="13.8" hidden="false" customHeight="false" outlineLevel="0" collapsed="false">
      <c r="A327" s="8" t="n">
        <v>45008</v>
      </c>
      <c r="B327" s="9" t="n">
        <f aca="false">DAY(A327)</f>
        <v>23</v>
      </c>
      <c r="C327" s="9" t="n">
        <f aca="false">MONTH(A327)</f>
        <v>3</v>
      </c>
      <c r="D327" s="9" t="n">
        <f aca="false">YEAR(A327)</f>
        <v>2023</v>
      </c>
      <c r="E327" s="9" t="n">
        <f aca="false">WEEKDAY(A327,2)</f>
        <v>4</v>
      </c>
      <c r="F327" s="10" t="n">
        <f aca="false">WEEKNUM(A327,2) - WEEKNUM(DATE(YEAR(A327),MONTH(A327),1),2) + 1</f>
        <v>4</v>
      </c>
      <c r="G327" s="10"/>
      <c r="H327" s="11" t="n">
        <v>1880</v>
      </c>
      <c r="I327" s="12" t="s">
        <v>20</v>
      </c>
      <c r="J327" s="12" t="s">
        <v>44</v>
      </c>
      <c r="K327" s="12"/>
      <c r="L327" s="9" t="n">
        <f aca="false">L326+H327</f>
        <v>30007.12</v>
      </c>
      <c r="M327" s="10" t="str">
        <f aca="false">VLOOKUP(J327,RECATALOGANDO!A:C,2,0)</f>
        <v>HONORARIOS MEDICOS</v>
      </c>
      <c r="N327" s="12" t="str">
        <f aca="false">VLOOKUP(M327,RECATALOGANDO!B:C,2,0)</f>
        <v>VENTA DE SERVICIO</v>
      </c>
      <c r="O327" s="2" t="s">
        <v>78</v>
      </c>
    </row>
    <row r="328" customFormat="false" ht="13.8" hidden="false" customHeight="false" outlineLevel="0" collapsed="false">
      <c r="A328" s="8" t="n">
        <v>45009</v>
      </c>
      <c r="B328" s="9" t="n">
        <f aca="false">DAY(A328)</f>
        <v>24</v>
      </c>
      <c r="C328" s="9" t="n">
        <f aca="false">MONTH(A328)</f>
        <v>3</v>
      </c>
      <c r="D328" s="9" t="n">
        <f aca="false">YEAR(A328)</f>
        <v>2023</v>
      </c>
      <c r="E328" s="9" t="n">
        <f aca="false">WEEKDAY(A328,2)</f>
        <v>5</v>
      </c>
      <c r="F328" s="10" t="n">
        <f aca="false">WEEKNUM(A328,2) - WEEKNUM(DATE(YEAR(A328),MONTH(A328),1),2) + 1</f>
        <v>4</v>
      </c>
      <c r="G328" s="10"/>
      <c r="H328" s="11" t="n">
        <v>990</v>
      </c>
      <c r="I328" s="12" t="s">
        <v>15</v>
      </c>
      <c r="J328" s="12" t="s">
        <v>54</v>
      </c>
      <c r="K328" s="12"/>
      <c r="L328" s="9" t="n">
        <f aca="false">L327+H328</f>
        <v>30997.12</v>
      </c>
      <c r="M328" s="10" t="str">
        <f aca="false">VLOOKUP(J328,RECATALOGANDO!A:C,2,0)</f>
        <v>SERVICIO DE LABORATORIO</v>
      </c>
      <c r="N328" s="12" t="str">
        <f aca="false">VLOOKUP(M328,RECATALOGANDO!B:C,2,0)</f>
        <v>VENTA DE SERVICIO</v>
      </c>
      <c r="O328" s="2" t="s">
        <v>78</v>
      </c>
    </row>
    <row r="329" customFormat="false" ht="13.8" hidden="false" customHeight="false" outlineLevel="0" collapsed="false">
      <c r="A329" s="8" t="n">
        <v>45009</v>
      </c>
      <c r="B329" s="9" t="n">
        <f aca="false">DAY(A329)</f>
        <v>24</v>
      </c>
      <c r="C329" s="9" t="n">
        <f aca="false">MONTH(A329)</f>
        <v>3</v>
      </c>
      <c r="D329" s="9" t="n">
        <f aca="false">YEAR(A329)</f>
        <v>2023</v>
      </c>
      <c r="E329" s="9" t="n">
        <f aca="false">WEEKDAY(A329,2)</f>
        <v>5</v>
      </c>
      <c r="F329" s="10" t="n">
        <f aca="false">WEEKNUM(A329,2) - WEEKNUM(DATE(YEAR(A329),MONTH(A329),1),2) + 1</f>
        <v>4</v>
      </c>
      <c r="G329" s="10"/>
      <c r="H329" s="11" t="n">
        <v>5714.95</v>
      </c>
      <c r="I329" s="12" t="s">
        <v>15</v>
      </c>
      <c r="J329" s="12" t="s">
        <v>41</v>
      </c>
      <c r="K329" s="12"/>
      <c r="L329" s="9" t="n">
        <f aca="false">L328+H329</f>
        <v>36712.07</v>
      </c>
      <c r="M329" s="10" t="str">
        <f aca="false">VLOOKUP(J329,RECATALOGANDO!A:C,2,0)</f>
        <v>HONORARIOS QUIRURGICOS</v>
      </c>
      <c r="N329" s="12" t="str">
        <f aca="false">VLOOKUP(M329,RECATALOGANDO!B:C,2,0)</f>
        <v>VENTA DE SERVICIO</v>
      </c>
      <c r="O329" s="2" t="s">
        <v>78</v>
      </c>
    </row>
    <row r="330" customFormat="false" ht="13.8" hidden="false" customHeight="false" outlineLevel="0" collapsed="false">
      <c r="A330" s="8" t="n">
        <v>45010</v>
      </c>
      <c r="B330" s="9" t="n">
        <f aca="false">DAY(A330)</f>
        <v>25</v>
      </c>
      <c r="C330" s="9" t="n">
        <f aca="false">MONTH(A330)</f>
        <v>3</v>
      </c>
      <c r="D330" s="9" t="n">
        <f aca="false">YEAR(A330)</f>
        <v>2023</v>
      </c>
      <c r="E330" s="9" t="n">
        <f aca="false">WEEKDAY(A330,2)</f>
        <v>6</v>
      </c>
      <c r="F330" s="10" t="n">
        <f aca="false">WEEKNUM(A330,2) - WEEKNUM(DATE(YEAR(A330),MONTH(A330),1),2) + 1</f>
        <v>4</v>
      </c>
      <c r="G330" s="10"/>
      <c r="H330" s="11" t="n">
        <v>1081.86</v>
      </c>
      <c r="I330" s="12" t="s">
        <v>15</v>
      </c>
      <c r="J330" s="12" t="s">
        <v>51</v>
      </c>
      <c r="K330" s="12"/>
      <c r="L330" s="9" t="n">
        <f aca="false">L329+H330</f>
        <v>37793.93</v>
      </c>
      <c r="M330" s="10" t="str">
        <f aca="false">VLOOKUP(J330,RECATALOGANDO!A:C,2,0)</f>
        <v>VENTA DE ALIMENTO</v>
      </c>
      <c r="N330" s="12" t="str">
        <f aca="false">VLOOKUP(M330,RECATALOGANDO!B:C,2,0)</f>
        <v>VENTA DE PRODUCTO</v>
      </c>
      <c r="O330" s="2" t="s">
        <v>78</v>
      </c>
    </row>
    <row r="331" customFormat="false" ht="13.8" hidden="false" customHeight="false" outlineLevel="0" collapsed="false">
      <c r="A331" s="8" t="n">
        <v>45011</v>
      </c>
      <c r="B331" s="9" t="n">
        <f aca="false">DAY(A331)</f>
        <v>26</v>
      </c>
      <c r="C331" s="9" t="n">
        <f aca="false">MONTH(A331)</f>
        <v>3</v>
      </c>
      <c r="D331" s="9" t="n">
        <f aca="false">YEAR(A331)</f>
        <v>2023</v>
      </c>
      <c r="E331" s="9" t="n">
        <f aca="false">WEEKDAY(A331,2)</f>
        <v>7</v>
      </c>
      <c r="F331" s="10" t="n">
        <f aca="false">WEEKNUM(A331,2) - WEEKNUM(DATE(YEAR(A331),MONTH(A331),1),2) + 1</f>
        <v>4</v>
      </c>
      <c r="G331" s="10"/>
      <c r="H331" s="11" t="n">
        <v>4224.89</v>
      </c>
      <c r="I331" s="12" t="s">
        <v>15</v>
      </c>
      <c r="J331" s="12" t="s">
        <v>54</v>
      </c>
      <c r="K331" s="12"/>
      <c r="L331" s="9" t="n">
        <f aca="false">L330+H331</f>
        <v>42018.82</v>
      </c>
      <c r="M331" s="10" t="str">
        <f aca="false">VLOOKUP(J331,RECATALOGANDO!A:C,2,0)</f>
        <v>SERVICIO DE LABORATORIO</v>
      </c>
      <c r="N331" s="12" t="str">
        <f aca="false">VLOOKUP(M331,RECATALOGANDO!B:C,2,0)</f>
        <v>VENTA DE SERVICIO</v>
      </c>
      <c r="O331" s="2" t="s">
        <v>78</v>
      </c>
    </row>
    <row r="332" customFormat="false" ht="13.8" hidden="false" customHeight="false" outlineLevel="0" collapsed="false">
      <c r="A332" s="8" t="n">
        <v>45012</v>
      </c>
      <c r="B332" s="9" t="n">
        <f aca="false">DAY(A332)</f>
        <v>27</v>
      </c>
      <c r="C332" s="9" t="n">
        <f aca="false">MONTH(A332)</f>
        <v>3</v>
      </c>
      <c r="D332" s="9" t="n">
        <f aca="false">YEAR(A332)</f>
        <v>2023</v>
      </c>
      <c r="E332" s="9" t="n">
        <f aca="false">WEEKDAY(A332,2)</f>
        <v>1</v>
      </c>
      <c r="F332" s="10" t="n">
        <f aca="false">WEEKNUM(A332,2) - WEEKNUM(DATE(YEAR(A332),MONTH(A332),1),2) + 1</f>
        <v>5</v>
      </c>
      <c r="G332" s="10"/>
      <c r="H332" s="11" t="n">
        <v>750</v>
      </c>
      <c r="I332" s="12" t="s">
        <v>20</v>
      </c>
      <c r="J332" s="12" t="s">
        <v>45</v>
      </c>
      <c r="K332" s="12"/>
      <c r="L332" s="9" t="n">
        <f aca="false">L331+H332</f>
        <v>42768.82</v>
      </c>
      <c r="M332" s="10" t="str">
        <f aca="false">VLOOKUP(J332,RECATALOGANDO!A:C,2,0)</f>
        <v>VENTA DE MEDICAMENTO</v>
      </c>
      <c r="N332" s="12" t="str">
        <f aca="false">VLOOKUP(M332,RECATALOGANDO!B:C,2,0)</f>
        <v>VENTA DE PRODUCTO</v>
      </c>
      <c r="O332" s="2" t="s">
        <v>78</v>
      </c>
    </row>
    <row r="333" customFormat="false" ht="13.8" hidden="false" customHeight="false" outlineLevel="0" collapsed="false">
      <c r="A333" s="8" t="n">
        <v>45012</v>
      </c>
      <c r="B333" s="9" t="n">
        <f aca="false">DAY(A333)</f>
        <v>27</v>
      </c>
      <c r="C333" s="9" t="n">
        <f aca="false">MONTH(A333)</f>
        <v>3</v>
      </c>
      <c r="D333" s="9" t="n">
        <f aca="false">YEAR(A333)</f>
        <v>2023</v>
      </c>
      <c r="E333" s="9" t="n">
        <f aca="false">WEEKDAY(A333,2)</f>
        <v>1</v>
      </c>
      <c r="F333" s="10" t="n">
        <f aca="false">WEEKNUM(A333,2) - WEEKNUM(DATE(YEAR(A333),MONTH(A333),1),2) + 1</f>
        <v>5</v>
      </c>
      <c r="G333" s="10"/>
      <c r="H333" s="11" t="n">
        <v>180</v>
      </c>
      <c r="I333" s="12" t="s">
        <v>20</v>
      </c>
      <c r="J333" s="12" t="s">
        <v>53</v>
      </c>
      <c r="K333" s="12"/>
      <c r="L333" s="9" t="n">
        <f aca="false">L332+H333</f>
        <v>42948.82</v>
      </c>
      <c r="M333" s="10" t="str">
        <f aca="false">VLOOKUP(J333,RECATALOGANDO!A:C,2,0)</f>
        <v>SERVICIO DE GROOMING</v>
      </c>
      <c r="N333" s="12" t="str">
        <f aca="false">VLOOKUP(M333,RECATALOGANDO!B:C,2,0)</f>
        <v>VENTA DE SERVICIO</v>
      </c>
      <c r="O333" s="2" t="s">
        <v>78</v>
      </c>
    </row>
    <row r="334" customFormat="false" ht="13.8" hidden="false" customHeight="false" outlineLevel="0" collapsed="false">
      <c r="A334" s="8" t="n">
        <v>45012</v>
      </c>
      <c r="B334" s="9" t="n">
        <f aca="false">DAY(A334)</f>
        <v>27</v>
      </c>
      <c r="C334" s="9" t="n">
        <f aca="false">MONTH(A334)</f>
        <v>3</v>
      </c>
      <c r="D334" s="9" t="n">
        <f aca="false">YEAR(A334)</f>
        <v>2023</v>
      </c>
      <c r="E334" s="9" t="n">
        <f aca="false">WEEKDAY(A334,2)</f>
        <v>1</v>
      </c>
      <c r="F334" s="10" t="n">
        <f aca="false">WEEKNUM(A334,2) - WEEKNUM(DATE(YEAR(A334),MONTH(A334),1),2) + 1</f>
        <v>5</v>
      </c>
      <c r="G334" s="10"/>
      <c r="H334" s="11" t="n">
        <v>980</v>
      </c>
      <c r="I334" s="12" t="s">
        <v>20</v>
      </c>
      <c r="J334" s="12" t="s">
        <v>58</v>
      </c>
      <c r="K334" s="12"/>
      <c r="L334" s="9" t="n">
        <f aca="false">L333+H334</f>
        <v>43928.82</v>
      </c>
      <c r="M334" s="10" t="str">
        <f aca="false">VLOOKUP(J334,RECATALOGANDO!A:C,2,0)</f>
        <v>SERVICIO DE LABORATORIO</v>
      </c>
      <c r="N334" s="12" t="str">
        <f aca="false">VLOOKUP(M334,RECATALOGANDO!B:C,2,0)</f>
        <v>VENTA DE SERVICIO</v>
      </c>
      <c r="O334" s="2" t="s">
        <v>78</v>
      </c>
    </row>
    <row r="335" customFormat="false" ht="13.8" hidden="false" customHeight="false" outlineLevel="0" collapsed="false">
      <c r="A335" s="8" t="n">
        <v>45012</v>
      </c>
      <c r="B335" s="9" t="n">
        <f aca="false">DAY(A335)</f>
        <v>27</v>
      </c>
      <c r="C335" s="9" t="n">
        <f aca="false">MONTH(A335)</f>
        <v>3</v>
      </c>
      <c r="D335" s="9" t="n">
        <f aca="false">YEAR(A335)</f>
        <v>2023</v>
      </c>
      <c r="E335" s="9" t="n">
        <f aca="false">WEEKDAY(A335,2)</f>
        <v>1</v>
      </c>
      <c r="F335" s="10" t="n">
        <f aca="false">WEEKNUM(A335,2) - WEEKNUM(DATE(YEAR(A335),MONTH(A335),1),2) + 1</f>
        <v>5</v>
      </c>
      <c r="G335" s="10"/>
      <c r="H335" s="11" t="n">
        <v>980</v>
      </c>
      <c r="I335" s="12" t="s">
        <v>20</v>
      </c>
      <c r="J335" s="12" t="s">
        <v>44</v>
      </c>
      <c r="K335" s="12"/>
      <c r="L335" s="9" t="n">
        <f aca="false">L334+H335</f>
        <v>44908.82</v>
      </c>
      <c r="M335" s="10" t="str">
        <f aca="false">VLOOKUP(J335,RECATALOGANDO!A:C,2,0)</f>
        <v>HONORARIOS MEDICOS</v>
      </c>
      <c r="N335" s="12" t="str">
        <f aca="false">VLOOKUP(M335,RECATALOGANDO!B:C,2,0)</f>
        <v>VENTA DE SERVICIO</v>
      </c>
      <c r="O335" s="2" t="s">
        <v>78</v>
      </c>
    </row>
    <row r="336" customFormat="false" ht="13.8" hidden="false" customHeight="false" outlineLevel="0" collapsed="false">
      <c r="A336" s="8" t="n">
        <v>45015</v>
      </c>
      <c r="B336" s="9" t="n">
        <f aca="false">DAY(A336)</f>
        <v>30</v>
      </c>
      <c r="C336" s="9" t="n">
        <f aca="false">MONTH(A336)</f>
        <v>3</v>
      </c>
      <c r="D336" s="9" t="n">
        <f aca="false">YEAR(A336)</f>
        <v>2023</v>
      </c>
      <c r="E336" s="9" t="n">
        <f aca="false">WEEKDAY(A336,2)</f>
        <v>4</v>
      </c>
      <c r="F336" s="10" t="n">
        <f aca="false">WEEKNUM(A336,2) - WEEKNUM(DATE(YEAR(A336),MONTH(A336),1),2) + 1</f>
        <v>5</v>
      </c>
      <c r="G336" s="10" t="n">
        <v>2</v>
      </c>
      <c r="H336" s="11" t="n">
        <v>350</v>
      </c>
      <c r="I336" s="12" t="s">
        <v>20</v>
      </c>
      <c r="J336" s="12" t="s">
        <v>45</v>
      </c>
      <c r="K336" s="12"/>
      <c r="L336" s="9" t="n">
        <f aca="false">L335+H336</f>
        <v>45258.82</v>
      </c>
      <c r="M336" s="10" t="str">
        <f aca="false">VLOOKUP(J336,RECATALOGANDO!A:C,2,0)</f>
        <v>VENTA DE MEDICAMENTO</v>
      </c>
      <c r="N336" s="12" t="str">
        <f aca="false">VLOOKUP(M336,RECATALOGANDO!B:C,2,0)</f>
        <v>VENTA DE PRODUCTO</v>
      </c>
      <c r="O336" s="2" t="s">
        <v>78</v>
      </c>
    </row>
    <row r="337" customFormat="false" ht="13.8" hidden="false" customHeight="false" outlineLevel="0" collapsed="false">
      <c r="A337" s="8" t="n">
        <v>45015</v>
      </c>
      <c r="B337" s="9" t="n">
        <f aca="false">DAY(A337)</f>
        <v>30</v>
      </c>
      <c r="C337" s="9" t="n">
        <f aca="false">MONTH(A337)</f>
        <v>3</v>
      </c>
      <c r="D337" s="9" t="n">
        <f aca="false">YEAR(A337)</f>
        <v>2023</v>
      </c>
      <c r="E337" s="9" t="n">
        <f aca="false">WEEKDAY(A337,2)</f>
        <v>4</v>
      </c>
      <c r="F337" s="10" t="n">
        <f aca="false">WEEKNUM(A337,2) - WEEKNUM(DATE(YEAR(A337),MONTH(A337),1),2) + 1</f>
        <v>5</v>
      </c>
      <c r="G337" s="10" t="n">
        <v>2</v>
      </c>
      <c r="H337" s="11" t="n">
        <v>2980</v>
      </c>
      <c r="I337" s="12" t="s">
        <v>20</v>
      </c>
      <c r="J337" s="12" t="s">
        <v>44</v>
      </c>
      <c r="K337" s="12"/>
      <c r="L337" s="9" t="n">
        <f aca="false">L336+H337</f>
        <v>48238.82</v>
      </c>
      <c r="M337" s="10" t="str">
        <f aca="false">VLOOKUP(J337,RECATALOGANDO!A:C,2,0)</f>
        <v>HONORARIOS MEDICOS</v>
      </c>
      <c r="N337" s="12" t="str">
        <f aca="false">VLOOKUP(M337,RECATALOGANDO!B:C,2,0)</f>
        <v>VENTA DE SERVICIO</v>
      </c>
      <c r="O337" s="2" t="s">
        <v>78</v>
      </c>
    </row>
    <row r="338" customFormat="false" ht="13.8" hidden="false" customHeight="false" outlineLevel="0" collapsed="false">
      <c r="A338" s="8" t="n">
        <v>45016</v>
      </c>
      <c r="B338" s="9" t="n">
        <f aca="false">DAY(A338)</f>
        <v>31</v>
      </c>
      <c r="C338" s="9" t="n">
        <f aca="false">MONTH(A338)</f>
        <v>3</v>
      </c>
      <c r="D338" s="9" t="n">
        <f aca="false">YEAR(A338)</f>
        <v>2023</v>
      </c>
      <c r="E338" s="9" t="n">
        <f aca="false">WEEKDAY(A338,2)</f>
        <v>5</v>
      </c>
      <c r="F338" s="10" t="n">
        <f aca="false">WEEKNUM(A338,2) - WEEKNUM(DATE(YEAR(A338),MONTH(A338),1),2) + 1</f>
        <v>5</v>
      </c>
      <c r="G338" s="10"/>
      <c r="H338" s="11" t="n">
        <v>3400</v>
      </c>
      <c r="I338" s="12" t="s">
        <v>20</v>
      </c>
      <c r="J338" s="12" t="s">
        <v>51</v>
      </c>
      <c r="K338" s="12"/>
      <c r="L338" s="9" t="n">
        <f aca="false">L337+H338</f>
        <v>51638.82</v>
      </c>
      <c r="M338" s="10" t="str">
        <f aca="false">VLOOKUP(J338,RECATALOGANDO!A:C,2,0)</f>
        <v>VENTA DE ALIMENTO</v>
      </c>
      <c r="N338" s="12" t="str">
        <f aca="false">VLOOKUP(M338,RECATALOGANDO!B:C,2,0)</f>
        <v>VENTA DE PRODUCTO</v>
      </c>
      <c r="O338" s="2" t="s">
        <v>78</v>
      </c>
    </row>
    <row r="339" customFormat="false" ht="13.8" hidden="false" customHeight="false" outlineLevel="0" collapsed="false">
      <c r="A339" s="8" t="n">
        <v>45017</v>
      </c>
      <c r="B339" s="9" t="n">
        <f aca="false">DAY(A339)</f>
        <v>1</v>
      </c>
      <c r="C339" s="9" t="n">
        <f aca="false">MONTH(A339)</f>
        <v>4</v>
      </c>
      <c r="D339" s="9" t="n">
        <f aca="false">YEAR(A339)</f>
        <v>2023</v>
      </c>
      <c r="E339" s="9" t="n">
        <f aca="false">WEEKDAY(A339,2)</f>
        <v>6</v>
      </c>
      <c r="F339" s="10" t="n">
        <f aca="false">WEEKNUM(A339,2) - WEEKNUM(DATE(YEAR(A339),MONTH(A339),1),2) + 1</f>
        <v>1</v>
      </c>
      <c r="G339" s="10"/>
      <c r="H339" s="11" t="n">
        <v>230</v>
      </c>
      <c r="I339" s="12" t="s">
        <v>15</v>
      </c>
      <c r="J339" s="12" t="s">
        <v>53</v>
      </c>
      <c r="K339" s="12"/>
      <c r="L339" s="9" t="n">
        <f aca="false">H339</f>
        <v>230</v>
      </c>
      <c r="M339" s="10" t="str">
        <f aca="false">VLOOKUP(J339,RECATALOGANDO!A:C,2,0)</f>
        <v>SERVICIO DE GROOMING</v>
      </c>
      <c r="N339" s="12" t="str">
        <f aca="false">VLOOKUP(M339,RECATALOGANDO!B:C,2,0)</f>
        <v>VENTA DE SERVICIO</v>
      </c>
      <c r="O339" s="2" t="s">
        <v>78</v>
      </c>
    </row>
    <row r="340" customFormat="false" ht="13.8" hidden="false" customHeight="false" outlineLevel="0" collapsed="false">
      <c r="A340" s="8" t="n">
        <v>45019</v>
      </c>
      <c r="B340" s="9" t="n">
        <f aca="false">DAY(A340)</f>
        <v>3</v>
      </c>
      <c r="C340" s="9" t="n">
        <f aca="false">MONTH(A340)</f>
        <v>4</v>
      </c>
      <c r="D340" s="9" t="n">
        <f aca="false">YEAR(A340)</f>
        <v>2023</v>
      </c>
      <c r="E340" s="9" t="n">
        <f aca="false">WEEKDAY(A340,2)</f>
        <v>1</v>
      </c>
      <c r="F340" s="10" t="n">
        <f aca="false">WEEKNUM(A340,2) - WEEKNUM(DATE(YEAR(A340),MONTH(A340),1),2) + 1</f>
        <v>2</v>
      </c>
      <c r="G340" s="10"/>
      <c r="H340" s="11" t="n">
        <v>1100</v>
      </c>
      <c r="I340" s="12" t="s">
        <v>20</v>
      </c>
      <c r="J340" s="12" t="s">
        <v>45</v>
      </c>
      <c r="K340" s="12"/>
      <c r="L340" s="9" t="n">
        <f aca="false">L339+H340</f>
        <v>1330</v>
      </c>
      <c r="M340" s="10" t="str">
        <f aca="false">VLOOKUP(J340,RECATALOGANDO!A:C,2,0)</f>
        <v>VENTA DE MEDICAMENTO</v>
      </c>
      <c r="N340" s="12" t="str">
        <f aca="false">VLOOKUP(M340,RECATALOGANDO!B:C,2,0)</f>
        <v>VENTA DE PRODUCTO</v>
      </c>
      <c r="O340" s="2" t="s">
        <v>78</v>
      </c>
    </row>
    <row r="341" customFormat="false" ht="13.8" hidden="false" customHeight="false" outlineLevel="0" collapsed="false">
      <c r="A341" s="8" t="n">
        <v>45019</v>
      </c>
      <c r="B341" s="9" t="n">
        <f aca="false">DAY(A341)</f>
        <v>3</v>
      </c>
      <c r="C341" s="9" t="n">
        <f aca="false">MONTH(A341)</f>
        <v>4</v>
      </c>
      <c r="D341" s="9" t="n">
        <f aca="false">YEAR(A341)</f>
        <v>2023</v>
      </c>
      <c r="E341" s="9" t="n">
        <f aca="false">WEEKDAY(A341,2)</f>
        <v>1</v>
      </c>
      <c r="F341" s="10" t="n">
        <f aca="false">WEEKNUM(A341,2) - WEEKNUM(DATE(YEAR(A341),MONTH(A341),1),2) + 1</f>
        <v>2</v>
      </c>
      <c r="G341" s="10"/>
      <c r="H341" s="11" t="n">
        <v>1500</v>
      </c>
      <c r="I341" s="12" t="s">
        <v>20</v>
      </c>
      <c r="J341" s="12" t="s">
        <v>51</v>
      </c>
      <c r="K341" s="12"/>
      <c r="L341" s="9" t="n">
        <f aca="false">L340+H341</f>
        <v>2830</v>
      </c>
      <c r="M341" s="10" t="str">
        <f aca="false">VLOOKUP(J341,RECATALOGANDO!A:C,2,0)</f>
        <v>VENTA DE ALIMENTO</v>
      </c>
      <c r="N341" s="12" t="str">
        <f aca="false">VLOOKUP(M341,RECATALOGANDO!B:C,2,0)</f>
        <v>VENTA DE PRODUCTO</v>
      </c>
      <c r="O341" s="2" t="s">
        <v>78</v>
      </c>
    </row>
    <row r="342" customFormat="false" ht="13.8" hidden="false" customHeight="false" outlineLevel="0" collapsed="false">
      <c r="A342" s="8" t="n">
        <v>45019</v>
      </c>
      <c r="B342" s="9" t="n">
        <f aca="false">DAY(A342)</f>
        <v>3</v>
      </c>
      <c r="C342" s="9" t="n">
        <f aca="false">MONTH(A342)</f>
        <v>4</v>
      </c>
      <c r="D342" s="9" t="n">
        <f aca="false">YEAR(A342)</f>
        <v>2023</v>
      </c>
      <c r="E342" s="9" t="n">
        <f aca="false">WEEKDAY(A342,2)</f>
        <v>1</v>
      </c>
      <c r="F342" s="10" t="n">
        <f aca="false">WEEKNUM(A342,2) - WEEKNUM(DATE(YEAR(A342),MONTH(A342),1),2) + 1</f>
        <v>2</v>
      </c>
      <c r="G342" s="10"/>
      <c r="H342" s="11" t="n">
        <v>350</v>
      </c>
      <c r="I342" s="12" t="s">
        <v>20</v>
      </c>
      <c r="J342" s="12" t="s">
        <v>54</v>
      </c>
      <c r="K342" s="12"/>
      <c r="L342" s="9" t="n">
        <f aca="false">L341+H342</f>
        <v>3180</v>
      </c>
      <c r="M342" s="10" t="str">
        <f aca="false">VLOOKUP(J342,RECATALOGANDO!A:C,2,0)</f>
        <v>SERVICIO DE LABORATORIO</v>
      </c>
      <c r="N342" s="12" t="str">
        <f aca="false">VLOOKUP(M342,RECATALOGANDO!B:C,2,0)</f>
        <v>VENTA DE SERVICIO</v>
      </c>
      <c r="O342" s="2" t="s">
        <v>78</v>
      </c>
    </row>
    <row r="343" customFormat="false" ht="13.8" hidden="false" customHeight="false" outlineLevel="0" collapsed="false">
      <c r="A343" s="8" t="n">
        <v>45019</v>
      </c>
      <c r="B343" s="9" t="n">
        <f aca="false">DAY(A343)</f>
        <v>3</v>
      </c>
      <c r="C343" s="9" t="n">
        <f aca="false">MONTH(A343)</f>
        <v>4</v>
      </c>
      <c r="D343" s="9" t="n">
        <f aca="false">YEAR(A343)</f>
        <v>2023</v>
      </c>
      <c r="E343" s="9" t="n">
        <f aca="false">WEEKDAY(A343,2)</f>
        <v>1</v>
      </c>
      <c r="F343" s="10" t="n">
        <f aca="false">WEEKNUM(A343,2) - WEEKNUM(DATE(YEAR(A343),MONTH(A343),1),2) + 1</f>
        <v>2</v>
      </c>
      <c r="G343" s="10"/>
      <c r="H343" s="11" t="n">
        <v>2000</v>
      </c>
      <c r="I343" s="12" t="s">
        <v>20</v>
      </c>
      <c r="J343" s="12" t="s">
        <v>59</v>
      </c>
      <c r="K343" s="12"/>
      <c r="L343" s="9" t="n">
        <f aca="false">L342+H343</f>
        <v>5180</v>
      </c>
      <c r="M343" s="10" t="str">
        <f aca="false">VLOOKUP(J343,RECATALOGANDO!A:C,2,0)</f>
        <v>SERVICIO DE PENSION</v>
      </c>
      <c r="N343" s="12" t="str">
        <f aca="false">VLOOKUP(M343,RECATALOGANDO!B:C,2,0)</f>
        <v>VENTA DE SERVICIO</v>
      </c>
      <c r="O343" s="2" t="s">
        <v>78</v>
      </c>
    </row>
    <row r="344" customFormat="false" ht="13.8" hidden="false" customHeight="false" outlineLevel="0" collapsed="false">
      <c r="A344" s="8" t="n">
        <v>45020</v>
      </c>
      <c r="B344" s="9" t="n">
        <f aca="false">DAY(A344)</f>
        <v>4</v>
      </c>
      <c r="C344" s="9" t="n">
        <f aca="false">MONTH(A344)</f>
        <v>4</v>
      </c>
      <c r="D344" s="9" t="n">
        <f aca="false">YEAR(A344)</f>
        <v>2023</v>
      </c>
      <c r="E344" s="9" t="n">
        <f aca="false">WEEKDAY(A344,2)</f>
        <v>2</v>
      </c>
      <c r="F344" s="10" t="n">
        <f aca="false">WEEKNUM(A344,2) - WEEKNUM(DATE(YEAR(A344),MONTH(A344),1),2) + 1</f>
        <v>2</v>
      </c>
      <c r="G344" s="10"/>
      <c r="H344" s="11" t="n">
        <v>1380</v>
      </c>
      <c r="I344" s="12" t="s">
        <v>20</v>
      </c>
      <c r="J344" s="12" t="s">
        <v>45</v>
      </c>
      <c r="K344" s="12"/>
      <c r="L344" s="9" t="n">
        <f aca="false">L343+H344</f>
        <v>6560</v>
      </c>
      <c r="M344" s="10" t="str">
        <f aca="false">VLOOKUP(J344,RECATALOGANDO!A:C,2,0)</f>
        <v>VENTA DE MEDICAMENTO</v>
      </c>
      <c r="N344" s="12" t="str">
        <f aca="false">VLOOKUP(M344,RECATALOGANDO!B:C,2,0)</f>
        <v>VENTA DE PRODUCTO</v>
      </c>
      <c r="O344" s="2" t="s">
        <v>78</v>
      </c>
    </row>
    <row r="345" customFormat="false" ht="13.8" hidden="false" customHeight="false" outlineLevel="0" collapsed="false">
      <c r="A345" s="8" t="n">
        <v>45021</v>
      </c>
      <c r="B345" s="9" t="n">
        <f aca="false">DAY(A345)</f>
        <v>5</v>
      </c>
      <c r="C345" s="9" t="n">
        <f aca="false">MONTH(A345)</f>
        <v>4</v>
      </c>
      <c r="D345" s="9" t="n">
        <f aca="false">YEAR(A345)</f>
        <v>2023</v>
      </c>
      <c r="E345" s="9" t="n">
        <f aca="false">WEEKDAY(A345,2)</f>
        <v>3</v>
      </c>
      <c r="F345" s="10" t="n">
        <f aca="false">WEEKNUM(A345,2) - WEEKNUM(DATE(YEAR(A345),MONTH(A345),1),2) + 1</f>
        <v>2</v>
      </c>
      <c r="G345" s="10"/>
      <c r="H345" s="11" t="n">
        <v>714</v>
      </c>
      <c r="I345" s="12" t="s">
        <v>20</v>
      </c>
      <c r="J345" s="12" t="s">
        <v>45</v>
      </c>
      <c r="K345" s="12"/>
      <c r="L345" s="9" t="n">
        <f aca="false">L344+H345</f>
        <v>7274</v>
      </c>
      <c r="M345" s="10" t="str">
        <f aca="false">VLOOKUP(J345,RECATALOGANDO!A:C,2,0)</f>
        <v>VENTA DE MEDICAMENTO</v>
      </c>
      <c r="N345" s="12" t="str">
        <f aca="false">VLOOKUP(M345,RECATALOGANDO!B:C,2,0)</f>
        <v>VENTA DE PRODUCTO</v>
      </c>
      <c r="O345" s="2" t="s">
        <v>78</v>
      </c>
    </row>
    <row r="346" customFormat="false" ht="13.8" hidden="false" customHeight="false" outlineLevel="0" collapsed="false">
      <c r="A346" s="8" t="n">
        <v>45021</v>
      </c>
      <c r="B346" s="9" t="n">
        <f aca="false">DAY(A346)</f>
        <v>5</v>
      </c>
      <c r="C346" s="9" t="n">
        <f aca="false">MONTH(A346)</f>
        <v>4</v>
      </c>
      <c r="D346" s="9" t="n">
        <f aca="false">YEAR(A346)</f>
        <v>2023</v>
      </c>
      <c r="E346" s="9" t="n">
        <f aca="false">WEEKDAY(A346,2)</f>
        <v>3</v>
      </c>
      <c r="F346" s="10" t="n">
        <f aca="false">WEEKNUM(A346,2) - WEEKNUM(DATE(YEAR(A346),MONTH(A346),1),2) + 1</f>
        <v>2</v>
      </c>
      <c r="G346" s="10"/>
      <c r="H346" s="11" t="n">
        <v>1260</v>
      </c>
      <c r="I346" s="12" t="s">
        <v>20</v>
      </c>
      <c r="J346" s="12" t="s">
        <v>59</v>
      </c>
      <c r="K346" s="12"/>
      <c r="L346" s="9" t="n">
        <f aca="false">L345+H346</f>
        <v>8534</v>
      </c>
      <c r="M346" s="10" t="str">
        <f aca="false">VLOOKUP(J346,RECATALOGANDO!A:C,2,0)</f>
        <v>SERVICIO DE PENSION</v>
      </c>
      <c r="N346" s="12" t="str">
        <f aca="false">VLOOKUP(M346,RECATALOGANDO!B:C,2,0)</f>
        <v>VENTA DE SERVICIO</v>
      </c>
      <c r="O346" s="2" t="s">
        <v>78</v>
      </c>
    </row>
    <row r="347" customFormat="false" ht="13.8" hidden="false" customHeight="false" outlineLevel="0" collapsed="false">
      <c r="A347" s="8" t="n">
        <v>45021</v>
      </c>
      <c r="B347" s="9" t="n">
        <f aca="false">DAY(A347)</f>
        <v>5</v>
      </c>
      <c r="C347" s="9" t="n">
        <f aca="false">MONTH(A347)</f>
        <v>4</v>
      </c>
      <c r="D347" s="9" t="n">
        <f aca="false">YEAR(A347)</f>
        <v>2023</v>
      </c>
      <c r="E347" s="9" t="n">
        <f aca="false">WEEKDAY(A347,2)</f>
        <v>3</v>
      </c>
      <c r="F347" s="10" t="n">
        <f aca="false">WEEKNUM(A347,2) - WEEKNUM(DATE(YEAR(A347),MONTH(A347),1),2) + 1</f>
        <v>2</v>
      </c>
      <c r="G347" s="10"/>
      <c r="H347" s="11" t="n">
        <v>2341</v>
      </c>
      <c r="I347" s="12" t="s">
        <v>20</v>
      </c>
      <c r="J347" s="12" t="s">
        <v>44</v>
      </c>
      <c r="K347" s="12"/>
      <c r="L347" s="9" t="n">
        <f aca="false">L346+H347</f>
        <v>10875</v>
      </c>
      <c r="M347" s="10" t="str">
        <f aca="false">VLOOKUP(J347,RECATALOGANDO!A:C,2,0)</f>
        <v>HONORARIOS MEDICOS</v>
      </c>
      <c r="N347" s="12" t="str">
        <f aca="false">VLOOKUP(M347,RECATALOGANDO!B:C,2,0)</f>
        <v>VENTA DE SERVICIO</v>
      </c>
      <c r="O347" s="2" t="s">
        <v>78</v>
      </c>
    </row>
    <row r="348" customFormat="false" ht="13.8" hidden="false" customHeight="false" outlineLevel="0" collapsed="false">
      <c r="A348" s="8" t="n">
        <v>45021</v>
      </c>
      <c r="B348" s="9" t="n">
        <f aca="false">DAY(A348)</f>
        <v>5</v>
      </c>
      <c r="C348" s="9" t="n">
        <f aca="false">MONTH(A348)</f>
        <v>4</v>
      </c>
      <c r="D348" s="9" t="n">
        <f aca="false">YEAR(A348)</f>
        <v>2023</v>
      </c>
      <c r="E348" s="9" t="n">
        <f aca="false">WEEKDAY(A348,2)</f>
        <v>3</v>
      </c>
      <c r="F348" s="10" t="n">
        <f aca="false">WEEKNUM(A348,2) - WEEKNUM(DATE(YEAR(A348),MONTH(A348),1),2) + 1</f>
        <v>2</v>
      </c>
      <c r="G348" s="10"/>
      <c r="H348" s="11" t="n">
        <v>5000</v>
      </c>
      <c r="I348" s="12" t="s">
        <v>15</v>
      </c>
      <c r="J348" s="12" t="s">
        <v>41</v>
      </c>
      <c r="K348" s="12"/>
      <c r="L348" s="9" t="n">
        <f aca="false">L347+H348</f>
        <v>15875</v>
      </c>
      <c r="M348" s="10" t="str">
        <f aca="false">VLOOKUP(J348,RECATALOGANDO!A:C,2,0)</f>
        <v>HONORARIOS QUIRURGICOS</v>
      </c>
      <c r="N348" s="12" t="str">
        <f aca="false">VLOOKUP(M348,RECATALOGANDO!B:C,2,0)</f>
        <v>VENTA DE SERVICIO</v>
      </c>
      <c r="O348" s="2" t="s">
        <v>78</v>
      </c>
    </row>
    <row r="349" customFormat="false" ht="13.8" hidden="false" customHeight="false" outlineLevel="0" collapsed="false">
      <c r="A349" s="8" t="n">
        <v>45022</v>
      </c>
      <c r="B349" s="9" t="n">
        <f aca="false">DAY(A349)</f>
        <v>6</v>
      </c>
      <c r="C349" s="9" t="n">
        <f aca="false">MONTH(A349)</f>
        <v>4</v>
      </c>
      <c r="D349" s="9" t="n">
        <f aca="false">YEAR(A349)</f>
        <v>2023</v>
      </c>
      <c r="E349" s="9" t="n">
        <f aca="false">WEEKDAY(A349,2)</f>
        <v>4</v>
      </c>
      <c r="F349" s="10" t="n">
        <f aca="false">WEEKNUM(A349,2) - WEEKNUM(DATE(YEAR(A349),MONTH(A349),1),2) + 1</f>
        <v>2</v>
      </c>
      <c r="G349" s="10"/>
      <c r="H349" s="11" t="n">
        <v>2044</v>
      </c>
      <c r="I349" s="12" t="s">
        <v>15</v>
      </c>
      <c r="J349" s="12" t="s">
        <v>51</v>
      </c>
      <c r="K349" s="12"/>
      <c r="L349" s="9" t="n">
        <f aca="false">L348+H349</f>
        <v>17919</v>
      </c>
      <c r="M349" s="10" t="str">
        <f aca="false">VLOOKUP(J349,RECATALOGANDO!A:C,2,0)</f>
        <v>VENTA DE ALIMENTO</v>
      </c>
      <c r="N349" s="12" t="str">
        <f aca="false">VLOOKUP(M349,RECATALOGANDO!B:C,2,0)</f>
        <v>VENTA DE PRODUCTO</v>
      </c>
      <c r="O349" s="2" t="s">
        <v>78</v>
      </c>
    </row>
    <row r="350" customFormat="false" ht="13.8" hidden="false" customHeight="false" outlineLevel="0" collapsed="false">
      <c r="A350" s="8" t="n">
        <v>45023</v>
      </c>
      <c r="B350" s="9" t="n">
        <f aca="false">DAY(A350)</f>
        <v>7</v>
      </c>
      <c r="C350" s="9" t="n">
        <f aca="false">MONTH(A350)</f>
        <v>4</v>
      </c>
      <c r="D350" s="9" t="n">
        <f aca="false">YEAR(A350)</f>
        <v>2023</v>
      </c>
      <c r="E350" s="9" t="n">
        <f aca="false">WEEKDAY(A350,2)</f>
        <v>5</v>
      </c>
      <c r="F350" s="10" t="n">
        <f aca="false">WEEKNUM(A350,2) - WEEKNUM(DATE(YEAR(A350),MONTH(A350),1),2) + 1</f>
        <v>2</v>
      </c>
      <c r="G350" s="10"/>
      <c r="H350" s="11" t="n">
        <v>1030</v>
      </c>
      <c r="I350" s="12" t="s">
        <v>15</v>
      </c>
      <c r="J350" s="12" t="s">
        <v>44</v>
      </c>
      <c r="K350" s="12"/>
      <c r="L350" s="9" t="n">
        <f aca="false">L349+H350</f>
        <v>18949</v>
      </c>
      <c r="M350" s="10" t="str">
        <f aca="false">VLOOKUP(J350,RECATALOGANDO!A:C,2,0)</f>
        <v>HONORARIOS MEDICOS</v>
      </c>
      <c r="N350" s="12" t="str">
        <f aca="false">VLOOKUP(M350,RECATALOGANDO!B:C,2,0)</f>
        <v>VENTA DE SERVICIO</v>
      </c>
      <c r="O350" s="2" t="s">
        <v>78</v>
      </c>
    </row>
    <row r="351" customFormat="false" ht="13.8" hidden="false" customHeight="false" outlineLevel="0" collapsed="false">
      <c r="A351" s="8" t="n">
        <v>45026</v>
      </c>
      <c r="B351" s="9" t="n">
        <f aca="false">DAY(A351)</f>
        <v>10</v>
      </c>
      <c r="C351" s="9" t="n">
        <f aca="false">MONTH(A351)</f>
        <v>4</v>
      </c>
      <c r="D351" s="9" t="n">
        <f aca="false">YEAR(A351)</f>
        <v>2023</v>
      </c>
      <c r="E351" s="9" t="n">
        <f aca="false">WEEKDAY(A351,2)</f>
        <v>1</v>
      </c>
      <c r="F351" s="10" t="n">
        <f aca="false">WEEKNUM(A351,2) - WEEKNUM(DATE(YEAR(A351),MONTH(A351),1),2) + 1</f>
        <v>3</v>
      </c>
      <c r="G351" s="10"/>
      <c r="H351" s="11" t="n">
        <v>295</v>
      </c>
      <c r="I351" s="12" t="s">
        <v>20</v>
      </c>
      <c r="J351" s="12" t="s">
        <v>45</v>
      </c>
      <c r="K351" s="12"/>
      <c r="L351" s="9" t="n">
        <f aca="false">L350+H351</f>
        <v>19244</v>
      </c>
      <c r="M351" s="10" t="str">
        <f aca="false">VLOOKUP(J351,RECATALOGANDO!A:C,2,0)</f>
        <v>VENTA DE MEDICAMENTO</v>
      </c>
      <c r="N351" s="12" t="str">
        <f aca="false">VLOOKUP(M351,RECATALOGANDO!B:C,2,0)</f>
        <v>VENTA DE PRODUCTO</v>
      </c>
      <c r="O351" s="2" t="s">
        <v>78</v>
      </c>
    </row>
    <row r="352" customFormat="false" ht="13.8" hidden="false" customHeight="false" outlineLevel="0" collapsed="false">
      <c r="A352" s="8" t="n">
        <v>45026</v>
      </c>
      <c r="B352" s="9" t="n">
        <f aca="false">DAY(A352)</f>
        <v>10</v>
      </c>
      <c r="C352" s="9" t="n">
        <f aca="false">MONTH(A352)</f>
        <v>4</v>
      </c>
      <c r="D352" s="9" t="n">
        <f aca="false">YEAR(A352)</f>
        <v>2023</v>
      </c>
      <c r="E352" s="9" t="n">
        <f aca="false">WEEKDAY(A352,2)</f>
        <v>1</v>
      </c>
      <c r="F352" s="10" t="n">
        <f aca="false">WEEKNUM(A352,2) - WEEKNUM(DATE(YEAR(A352),MONTH(A352),1),2) + 1</f>
        <v>3</v>
      </c>
      <c r="G352" s="10"/>
      <c r="H352" s="11" t="n">
        <v>420</v>
      </c>
      <c r="I352" s="12" t="s">
        <v>20</v>
      </c>
      <c r="J352" s="12" t="s">
        <v>59</v>
      </c>
      <c r="K352" s="12"/>
      <c r="L352" s="9" t="n">
        <f aca="false">L351+H352</f>
        <v>19664</v>
      </c>
      <c r="M352" s="10" t="str">
        <f aca="false">VLOOKUP(J352,RECATALOGANDO!A:C,2,0)</f>
        <v>SERVICIO DE PENSION</v>
      </c>
      <c r="N352" s="12" t="str">
        <f aca="false">VLOOKUP(M352,RECATALOGANDO!B:C,2,0)</f>
        <v>VENTA DE SERVICIO</v>
      </c>
      <c r="O352" s="2" t="s">
        <v>78</v>
      </c>
    </row>
    <row r="353" customFormat="false" ht="13.8" hidden="false" customHeight="false" outlineLevel="0" collapsed="false">
      <c r="A353" s="8" t="n">
        <v>45026</v>
      </c>
      <c r="B353" s="9" t="n">
        <f aca="false">DAY(A353)</f>
        <v>10</v>
      </c>
      <c r="C353" s="9" t="n">
        <f aca="false">MONTH(A353)</f>
        <v>4</v>
      </c>
      <c r="D353" s="9" t="n">
        <f aca="false">YEAR(A353)</f>
        <v>2023</v>
      </c>
      <c r="E353" s="9" t="n">
        <f aca="false">WEEKDAY(A353,2)</f>
        <v>1</v>
      </c>
      <c r="F353" s="10" t="n">
        <f aca="false">WEEKNUM(A353,2) - WEEKNUM(DATE(YEAR(A353),MONTH(A353),1),2) + 1</f>
        <v>3</v>
      </c>
      <c r="G353" s="10"/>
      <c r="H353" s="11" t="n">
        <v>1790</v>
      </c>
      <c r="I353" s="12" t="s">
        <v>20</v>
      </c>
      <c r="J353" s="12" t="s">
        <v>54</v>
      </c>
      <c r="K353" s="12"/>
      <c r="L353" s="9" t="n">
        <f aca="false">L352+H353</f>
        <v>21454</v>
      </c>
      <c r="M353" s="10" t="str">
        <f aca="false">VLOOKUP(J353,RECATALOGANDO!A:C,2,0)</f>
        <v>SERVICIO DE LABORATORIO</v>
      </c>
      <c r="N353" s="12" t="str">
        <f aca="false">VLOOKUP(M353,RECATALOGANDO!B:C,2,0)</f>
        <v>VENTA DE SERVICIO</v>
      </c>
      <c r="O353" s="2" t="s">
        <v>78</v>
      </c>
    </row>
    <row r="354" customFormat="false" ht="13.8" hidden="false" customHeight="false" outlineLevel="0" collapsed="false">
      <c r="A354" s="8" t="n">
        <v>45026</v>
      </c>
      <c r="B354" s="9" t="n">
        <f aca="false">DAY(A354)</f>
        <v>10</v>
      </c>
      <c r="C354" s="9" t="n">
        <f aca="false">MONTH(A354)</f>
        <v>4</v>
      </c>
      <c r="D354" s="9" t="n">
        <f aca="false">YEAR(A354)</f>
        <v>2023</v>
      </c>
      <c r="E354" s="9" t="n">
        <f aca="false">WEEKDAY(A354,2)</f>
        <v>1</v>
      </c>
      <c r="F354" s="10" t="n">
        <f aca="false">WEEKNUM(A354,2) - WEEKNUM(DATE(YEAR(A354),MONTH(A354),1),2) + 1</f>
        <v>3</v>
      </c>
      <c r="G354" s="10"/>
      <c r="H354" s="11" t="n">
        <v>1800</v>
      </c>
      <c r="I354" s="12" t="s">
        <v>20</v>
      </c>
      <c r="J354" s="12" t="s">
        <v>59</v>
      </c>
      <c r="K354" s="12"/>
      <c r="L354" s="9" t="n">
        <f aca="false">L353+H354</f>
        <v>23254</v>
      </c>
      <c r="M354" s="10" t="str">
        <f aca="false">VLOOKUP(J354,RECATALOGANDO!A:C,2,0)</f>
        <v>SERVICIO DE PENSION</v>
      </c>
      <c r="N354" s="12" t="str">
        <f aca="false">VLOOKUP(M354,RECATALOGANDO!B:C,2,0)</f>
        <v>VENTA DE SERVICIO</v>
      </c>
      <c r="O354" s="2" t="s">
        <v>78</v>
      </c>
    </row>
    <row r="355" customFormat="false" ht="13.8" hidden="false" customHeight="false" outlineLevel="0" collapsed="false">
      <c r="A355" s="8" t="n">
        <v>45027</v>
      </c>
      <c r="B355" s="9" t="n">
        <f aca="false">DAY(A355)</f>
        <v>11</v>
      </c>
      <c r="C355" s="9" t="n">
        <f aca="false">MONTH(A355)</f>
        <v>4</v>
      </c>
      <c r="D355" s="9" t="n">
        <f aca="false">YEAR(A355)</f>
        <v>2023</v>
      </c>
      <c r="E355" s="9" t="n">
        <f aca="false">WEEKDAY(A355,2)</f>
        <v>2</v>
      </c>
      <c r="F355" s="10" t="n">
        <f aca="false">WEEKNUM(A355,2) - WEEKNUM(DATE(YEAR(A355),MONTH(A355),1),2) + 1</f>
        <v>3</v>
      </c>
      <c r="G355" s="10"/>
      <c r="H355" s="11" t="n">
        <v>899</v>
      </c>
      <c r="I355" s="12" t="s">
        <v>20</v>
      </c>
      <c r="J355" s="12" t="s">
        <v>51</v>
      </c>
      <c r="K355" s="12"/>
      <c r="L355" s="9" t="n">
        <f aca="false">L354+H355</f>
        <v>24153</v>
      </c>
      <c r="M355" s="10" t="str">
        <f aca="false">VLOOKUP(J355,RECATALOGANDO!A:C,2,0)</f>
        <v>VENTA DE ALIMENTO</v>
      </c>
      <c r="N355" s="12" t="str">
        <f aca="false">VLOOKUP(M355,RECATALOGANDO!B:C,2,0)</f>
        <v>VENTA DE PRODUCTO</v>
      </c>
      <c r="O355" s="2" t="s">
        <v>78</v>
      </c>
    </row>
    <row r="356" customFormat="false" ht="13.8" hidden="false" customHeight="false" outlineLevel="0" collapsed="false">
      <c r="A356" s="8" t="n">
        <v>45027</v>
      </c>
      <c r="B356" s="9" t="n">
        <f aca="false">DAY(A356)</f>
        <v>11</v>
      </c>
      <c r="C356" s="9" t="n">
        <f aca="false">MONTH(A356)</f>
        <v>4</v>
      </c>
      <c r="D356" s="9" t="n">
        <f aca="false">YEAR(A356)</f>
        <v>2023</v>
      </c>
      <c r="E356" s="9" t="n">
        <f aca="false">WEEKDAY(A356,2)</f>
        <v>2</v>
      </c>
      <c r="F356" s="10" t="n">
        <f aca="false">WEEKNUM(A356,2) - WEEKNUM(DATE(YEAR(A356),MONTH(A356),1),2) + 1</f>
        <v>3</v>
      </c>
      <c r="G356" s="10"/>
      <c r="H356" s="11" t="n">
        <v>370</v>
      </c>
      <c r="I356" s="12" t="s">
        <v>20</v>
      </c>
      <c r="J356" s="12" t="s">
        <v>49</v>
      </c>
      <c r="K356" s="12"/>
      <c r="L356" s="9" t="n">
        <f aca="false">L355+H356</f>
        <v>24523</v>
      </c>
      <c r="M356" s="10" t="str">
        <f aca="false">VLOOKUP(J356,RECATALOGANDO!A:C,2,0)</f>
        <v>SERVICIO DE GROOMING</v>
      </c>
      <c r="N356" s="12" t="str">
        <f aca="false">VLOOKUP(M356,RECATALOGANDO!B:C,2,0)</f>
        <v>VENTA DE SERVICIO</v>
      </c>
      <c r="O356" s="2" t="s">
        <v>78</v>
      </c>
    </row>
    <row r="357" customFormat="false" ht="13.8" hidden="false" customHeight="false" outlineLevel="0" collapsed="false">
      <c r="A357" s="8" t="n">
        <v>45027</v>
      </c>
      <c r="B357" s="9" t="n">
        <f aca="false">DAY(A357)</f>
        <v>11</v>
      </c>
      <c r="C357" s="9" t="n">
        <f aca="false">MONTH(A357)</f>
        <v>4</v>
      </c>
      <c r="D357" s="9" t="n">
        <f aca="false">YEAR(A357)</f>
        <v>2023</v>
      </c>
      <c r="E357" s="9" t="n">
        <f aca="false">WEEKDAY(A357,2)</f>
        <v>2</v>
      </c>
      <c r="F357" s="10" t="n">
        <f aca="false">WEEKNUM(A357,2) - WEEKNUM(DATE(YEAR(A357),MONTH(A357),1),2) + 1</f>
        <v>3</v>
      </c>
      <c r="G357" s="10"/>
      <c r="H357" s="11" t="n">
        <v>750</v>
      </c>
      <c r="I357" s="12" t="s">
        <v>20</v>
      </c>
      <c r="J357" s="12" t="s">
        <v>54</v>
      </c>
      <c r="K357" s="12"/>
      <c r="L357" s="9" t="n">
        <f aca="false">L356+H357</f>
        <v>25273</v>
      </c>
      <c r="M357" s="10" t="str">
        <f aca="false">VLOOKUP(J357,RECATALOGANDO!A:C,2,0)</f>
        <v>SERVICIO DE LABORATORIO</v>
      </c>
      <c r="N357" s="12" t="str">
        <f aca="false">VLOOKUP(M357,RECATALOGANDO!B:C,2,0)</f>
        <v>VENTA DE SERVICIO</v>
      </c>
      <c r="O357" s="2" t="s">
        <v>78</v>
      </c>
    </row>
    <row r="358" customFormat="false" ht="13.8" hidden="false" customHeight="false" outlineLevel="0" collapsed="false">
      <c r="A358" s="8" t="n">
        <v>45028</v>
      </c>
      <c r="B358" s="9" t="n">
        <f aca="false">DAY(A358)</f>
        <v>12</v>
      </c>
      <c r="C358" s="9" t="n">
        <f aca="false">MONTH(A358)</f>
        <v>4</v>
      </c>
      <c r="D358" s="9" t="n">
        <f aca="false">YEAR(A358)</f>
        <v>2023</v>
      </c>
      <c r="E358" s="9" t="n">
        <f aca="false">WEEKDAY(A358,2)</f>
        <v>3</v>
      </c>
      <c r="F358" s="10" t="n">
        <f aca="false">WEEKNUM(A358,2) - WEEKNUM(DATE(YEAR(A358),MONTH(A358),1),2) + 1</f>
        <v>3</v>
      </c>
      <c r="G358" s="10"/>
      <c r="H358" s="11" t="n">
        <v>5938</v>
      </c>
      <c r="I358" s="12" t="s">
        <v>15</v>
      </c>
      <c r="J358" s="12" t="s">
        <v>45</v>
      </c>
      <c r="K358" s="12"/>
      <c r="L358" s="9" t="n">
        <f aca="false">L357+H358</f>
        <v>31211</v>
      </c>
      <c r="M358" s="10" t="str">
        <f aca="false">VLOOKUP(J358,RECATALOGANDO!A:C,2,0)</f>
        <v>VENTA DE MEDICAMENTO</v>
      </c>
      <c r="N358" s="12" t="str">
        <f aca="false">VLOOKUP(M358,RECATALOGANDO!B:C,2,0)</f>
        <v>VENTA DE PRODUCTO</v>
      </c>
      <c r="O358" s="2" t="s">
        <v>78</v>
      </c>
    </row>
    <row r="359" customFormat="false" ht="13.8" hidden="false" customHeight="false" outlineLevel="0" collapsed="false">
      <c r="A359" s="8" t="n">
        <v>45028</v>
      </c>
      <c r="B359" s="9" t="n">
        <f aca="false">DAY(A359)</f>
        <v>12</v>
      </c>
      <c r="C359" s="9" t="n">
        <f aca="false">MONTH(A359)</f>
        <v>4</v>
      </c>
      <c r="D359" s="9" t="n">
        <f aca="false">YEAR(A359)</f>
        <v>2023</v>
      </c>
      <c r="E359" s="9" t="n">
        <f aca="false">WEEKDAY(A359,2)</f>
        <v>3</v>
      </c>
      <c r="F359" s="10" t="n">
        <f aca="false">WEEKNUM(A359,2) - WEEKNUM(DATE(YEAR(A359),MONTH(A359),1),2) + 1</f>
        <v>3</v>
      </c>
      <c r="G359" s="10"/>
      <c r="H359" s="11" t="n">
        <v>959</v>
      </c>
      <c r="I359" s="12" t="s">
        <v>15</v>
      </c>
      <c r="J359" s="12" t="s">
        <v>59</v>
      </c>
      <c r="K359" s="12"/>
      <c r="L359" s="9" t="n">
        <f aca="false">L358+H359</f>
        <v>32170</v>
      </c>
      <c r="M359" s="10" t="str">
        <f aca="false">VLOOKUP(J359,RECATALOGANDO!A:C,2,0)</f>
        <v>SERVICIO DE PENSION</v>
      </c>
      <c r="N359" s="12" t="str">
        <f aca="false">VLOOKUP(M359,RECATALOGANDO!B:C,2,0)</f>
        <v>VENTA DE SERVICIO</v>
      </c>
      <c r="O359" s="2" t="s">
        <v>78</v>
      </c>
    </row>
    <row r="360" customFormat="false" ht="13.8" hidden="false" customHeight="false" outlineLevel="0" collapsed="false">
      <c r="A360" s="8" t="n">
        <v>45029</v>
      </c>
      <c r="B360" s="9" t="n">
        <f aca="false">DAY(A360)</f>
        <v>13</v>
      </c>
      <c r="C360" s="9" t="n">
        <f aca="false">MONTH(A360)</f>
        <v>4</v>
      </c>
      <c r="D360" s="9" t="n">
        <f aca="false">YEAR(A360)</f>
        <v>2023</v>
      </c>
      <c r="E360" s="9" t="n">
        <f aca="false">WEEKDAY(A360,2)</f>
        <v>4</v>
      </c>
      <c r="F360" s="10" t="n">
        <f aca="false">WEEKNUM(A360,2) - WEEKNUM(DATE(YEAR(A360),MONTH(A360),1),2) + 1</f>
        <v>3</v>
      </c>
      <c r="G360" s="10"/>
      <c r="H360" s="11" t="n">
        <v>883</v>
      </c>
      <c r="I360" s="12" t="s">
        <v>20</v>
      </c>
      <c r="J360" s="12" t="s">
        <v>45</v>
      </c>
      <c r="K360" s="12"/>
      <c r="L360" s="9" t="n">
        <f aca="false">L359+H360</f>
        <v>33053</v>
      </c>
      <c r="M360" s="10" t="str">
        <f aca="false">VLOOKUP(J360,RECATALOGANDO!A:C,2,0)</f>
        <v>VENTA DE MEDICAMENTO</v>
      </c>
      <c r="N360" s="12" t="str">
        <f aca="false">VLOOKUP(M360,RECATALOGANDO!B:C,2,0)</f>
        <v>VENTA DE PRODUCTO</v>
      </c>
      <c r="O360" s="2" t="s">
        <v>78</v>
      </c>
    </row>
    <row r="361" customFormat="false" ht="13.8" hidden="false" customHeight="false" outlineLevel="0" collapsed="false">
      <c r="A361" s="8" t="n">
        <v>45029</v>
      </c>
      <c r="B361" s="9" t="n">
        <f aca="false">DAY(A361)</f>
        <v>13</v>
      </c>
      <c r="C361" s="9" t="n">
        <f aca="false">MONTH(A361)</f>
        <v>4</v>
      </c>
      <c r="D361" s="9" t="n">
        <f aca="false">YEAR(A361)</f>
        <v>2023</v>
      </c>
      <c r="E361" s="9" t="n">
        <f aca="false">WEEKDAY(A361,2)</f>
        <v>4</v>
      </c>
      <c r="F361" s="10" t="n">
        <f aca="false">WEEKNUM(A361,2) - WEEKNUM(DATE(YEAR(A361),MONTH(A361),1),2) + 1</f>
        <v>3</v>
      </c>
      <c r="G361" s="10"/>
      <c r="H361" s="11" t="n">
        <v>1235</v>
      </c>
      <c r="I361" s="12" t="s">
        <v>15</v>
      </c>
      <c r="J361" s="12" t="s">
        <v>56</v>
      </c>
      <c r="K361" s="12"/>
      <c r="L361" s="9" t="n">
        <f aca="false">L360+H361</f>
        <v>34288</v>
      </c>
      <c r="M361" s="10" t="str">
        <f aca="false">VLOOKUP(J361,RECATALOGANDO!A:C,2,0)</f>
        <v>SERVICIO DE IMAGEN</v>
      </c>
      <c r="N361" s="12" t="str">
        <f aca="false">VLOOKUP(M361,RECATALOGANDO!B:C,2,0)</f>
        <v>VENTA DE SERVICIO</v>
      </c>
      <c r="O361" s="2" t="s">
        <v>78</v>
      </c>
    </row>
    <row r="362" customFormat="false" ht="13.8" hidden="false" customHeight="false" outlineLevel="0" collapsed="false">
      <c r="A362" s="8" t="n">
        <v>45029</v>
      </c>
      <c r="B362" s="9" t="n">
        <f aca="false">DAY(A362)</f>
        <v>13</v>
      </c>
      <c r="C362" s="9" t="n">
        <f aca="false">MONTH(A362)</f>
        <v>4</v>
      </c>
      <c r="D362" s="9" t="n">
        <f aca="false">YEAR(A362)</f>
        <v>2023</v>
      </c>
      <c r="E362" s="9" t="n">
        <f aca="false">WEEKDAY(A362,2)</f>
        <v>4</v>
      </c>
      <c r="F362" s="10" t="n">
        <f aca="false">WEEKNUM(A362,2) - WEEKNUM(DATE(YEAR(A362),MONTH(A362),1),2) + 1</f>
        <v>3</v>
      </c>
      <c r="G362" s="10"/>
      <c r="H362" s="11" t="n">
        <v>3000</v>
      </c>
      <c r="I362" s="12" t="s">
        <v>15</v>
      </c>
      <c r="J362" s="12" t="s">
        <v>41</v>
      </c>
      <c r="K362" s="12"/>
      <c r="L362" s="9" t="n">
        <f aca="false">L361+H362</f>
        <v>37288</v>
      </c>
      <c r="M362" s="10" t="str">
        <f aca="false">VLOOKUP(J362,RECATALOGANDO!A:C,2,0)</f>
        <v>HONORARIOS QUIRURGICOS</v>
      </c>
      <c r="N362" s="12" t="str">
        <f aca="false">VLOOKUP(M362,RECATALOGANDO!B:C,2,0)</f>
        <v>VENTA DE SERVICIO</v>
      </c>
      <c r="O362" s="2" t="s">
        <v>78</v>
      </c>
    </row>
    <row r="363" customFormat="false" ht="13.8" hidden="false" customHeight="false" outlineLevel="0" collapsed="false">
      <c r="A363" s="8" t="n">
        <v>45031</v>
      </c>
      <c r="B363" s="9" t="n">
        <f aca="false">DAY(A363)</f>
        <v>15</v>
      </c>
      <c r="C363" s="9" t="n">
        <f aca="false">MONTH(A363)</f>
        <v>4</v>
      </c>
      <c r="D363" s="9" t="n">
        <f aca="false">YEAR(A363)</f>
        <v>2023</v>
      </c>
      <c r="E363" s="9" t="n">
        <f aca="false">WEEKDAY(A363,2)</f>
        <v>6</v>
      </c>
      <c r="F363" s="10" t="n">
        <f aca="false">WEEKNUM(A363,2) - WEEKNUM(DATE(YEAR(A363),MONTH(A363),1),2) + 1</f>
        <v>3</v>
      </c>
      <c r="G363" s="10"/>
      <c r="H363" s="11" t="n">
        <v>2810</v>
      </c>
      <c r="I363" s="22" t="s">
        <v>20</v>
      </c>
      <c r="J363" s="12" t="s">
        <v>45</v>
      </c>
      <c r="K363" s="12"/>
      <c r="L363" s="9" t="n">
        <f aca="false">L362+H363</f>
        <v>40098</v>
      </c>
      <c r="M363" s="10" t="str">
        <f aca="false">VLOOKUP(J363,RECATALOGANDO!A:C,2,0)</f>
        <v>VENTA DE MEDICAMENTO</v>
      </c>
      <c r="N363" s="12" t="str">
        <f aca="false">VLOOKUP(M363,RECATALOGANDO!B:C,2,0)</f>
        <v>VENTA DE PRODUCTO</v>
      </c>
      <c r="O363" s="2" t="s">
        <v>78</v>
      </c>
    </row>
    <row r="364" customFormat="false" ht="13.8" hidden="false" customHeight="false" outlineLevel="0" collapsed="false">
      <c r="A364" s="8" t="n">
        <v>45031</v>
      </c>
      <c r="B364" s="9" t="n">
        <f aca="false">DAY(A364)</f>
        <v>15</v>
      </c>
      <c r="C364" s="9" t="n">
        <f aca="false">MONTH(A364)</f>
        <v>4</v>
      </c>
      <c r="D364" s="9" t="n">
        <f aca="false">YEAR(A364)</f>
        <v>2023</v>
      </c>
      <c r="E364" s="9" t="n">
        <f aca="false">WEEKDAY(A364,2)</f>
        <v>6</v>
      </c>
      <c r="F364" s="10" t="n">
        <f aca="false">WEEKNUM(A364,2) - WEEKNUM(DATE(YEAR(A364),MONTH(A364),1),2) + 1</f>
        <v>3</v>
      </c>
      <c r="G364" s="10"/>
      <c r="H364" s="11" t="n">
        <v>148.53</v>
      </c>
      <c r="I364" s="22" t="s">
        <v>15</v>
      </c>
      <c r="J364" s="12" t="s">
        <v>53</v>
      </c>
      <c r="K364" s="12"/>
      <c r="L364" s="9" t="n">
        <f aca="false">L363+H364</f>
        <v>40246.53</v>
      </c>
      <c r="M364" s="10" t="str">
        <f aca="false">VLOOKUP(J364,RECATALOGANDO!A:C,2,0)</f>
        <v>SERVICIO DE GROOMING</v>
      </c>
      <c r="N364" s="12" t="str">
        <f aca="false">VLOOKUP(M364,RECATALOGANDO!B:C,2,0)</f>
        <v>VENTA DE SERVICIO</v>
      </c>
      <c r="O364" s="2" t="s">
        <v>78</v>
      </c>
    </row>
    <row r="365" customFormat="false" ht="13.8" hidden="false" customHeight="false" outlineLevel="0" collapsed="false">
      <c r="A365" s="8" t="n">
        <v>45031</v>
      </c>
      <c r="B365" s="9" t="n">
        <f aca="false">DAY(A365)</f>
        <v>15</v>
      </c>
      <c r="C365" s="9" t="n">
        <f aca="false">MONTH(A365)</f>
        <v>4</v>
      </c>
      <c r="D365" s="9" t="n">
        <f aca="false">YEAR(A365)</f>
        <v>2023</v>
      </c>
      <c r="E365" s="9" t="n">
        <f aca="false">WEEKDAY(A365,2)</f>
        <v>6</v>
      </c>
      <c r="F365" s="10" t="n">
        <f aca="false">WEEKNUM(A365,2) - WEEKNUM(DATE(YEAR(A365),MONTH(A365),1),2) + 1</f>
        <v>3</v>
      </c>
      <c r="G365" s="10"/>
      <c r="H365" s="11" t="n">
        <v>150</v>
      </c>
      <c r="I365" s="22" t="s">
        <v>20</v>
      </c>
      <c r="J365" s="12" t="s">
        <v>53</v>
      </c>
      <c r="K365" s="12"/>
      <c r="L365" s="9" t="n">
        <f aca="false">L364+H365</f>
        <v>40396.53</v>
      </c>
      <c r="M365" s="10" t="str">
        <f aca="false">VLOOKUP(J365,RECATALOGANDO!A:C,2,0)</f>
        <v>SERVICIO DE GROOMING</v>
      </c>
      <c r="N365" s="12" t="str">
        <f aca="false">VLOOKUP(M365,RECATALOGANDO!B:C,2,0)</f>
        <v>VENTA DE SERVICIO</v>
      </c>
      <c r="O365" s="2" t="s">
        <v>78</v>
      </c>
    </row>
    <row r="366" customFormat="false" ht="13.8" hidden="false" customHeight="false" outlineLevel="0" collapsed="false">
      <c r="A366" s="8" t="n">
        <v>45031</v>
      </c>
      <c r="B366" s="9" t="n">
        <f aca="false">DAY(A366)</f>
        <v>15</v>
      </c>
      <c r="C366" s="9" t="n">
        <f aca="false">MONTH(A366)</f>
        <v>4</v>
      </c>
      <c r="D366" s="9" t="n">
        <f aca="false">YEAR(A366)</f>
        <v>2023</v>
      </c>
      <c r="E366" s="9" t="n">
        <f aca="false">WEEKDAY(A366,2)</f>
        <v>6</v>
      </c>
      <c r="F366" s="10" t="n">
        <f aca="false">WEEKNUM(A366,2) - WEEKNUM(DATE(YEAR(A366),MONTH(A366),1),2) + 1</f>
        <v>3</v>
      </c>
      <c r="G366" s="10"/>
      <c r="H366" s="11" t="n">
        <v>200</v>
      </c>
      <c r="I366" s="22" t="s">
        <v>20</v>
      </c>
      <c r="J366" s="12" t="s">
        <v>53</v>
      </c>
      <c r="K366" s="12"/>
      <c r="L366" s="9" t="n">
        <f aca="false">L365+H366</f>
        <v>40596.53</v>
      </c>
      <c r="M366" s="10" t="str">
        <f aca="false">VLOOKUP(J366,RECATALOGANDO!A:C,2,0)</f>
        <v>SERVICIO DE GROOMING</v>
      </c>
      <c r="N366" s="12" t="str">
        <f aca="false">VLOOKUP(M366,RECATALOGANDO!B:C,2,0)</f>
        <v>VENTA DE SERVICIO</v>
      </c>
      <c r="O366" s="2" t="s">
        <v>78</v>
      </c>
    </row>
    <row r="367" customFormat="false" ht="13.8" hidden="false" customHeight="false" outlineLevel="0" collapsed="false">
      <c r="A367" s="8" t="n">
        <v>45031</v>
      </c>
      <c r="B367" s="9" t="n">
        <f aca="false">DAY(A367)</f>
        <v>15</v>
      </c>
      <c r="C367" s="9" t="n">
        <f aca="false">MONTH(A367)</f>
        <v>4</v>
      </c>
      <c r="D367" s="9" t="n">
        <f aca="false">YEAR(A367)</f>
        <v>2023</v>
      </c>
      <c r="E367" s="9" t="n">
        <f aca="false">WEEKDAY(A367,2)</f>
        <v>6</v>
      </c>
      <c r="F367" s="10" t="n">
        <f aca="false">WEEKNUM(A367,2) - WEEKNUM(DATE(YEAR(A367),MONTH(A367),1),2) + 1</f>
        <v>3</v>
      </c>
      <c r="G367" s="10"/>
      <c r="H367" s="11" t="n">
        <v>2069.83</v>
      </c>
      <c r="I367" s="12" t="s">
        <v>15</v>
      </c>
      <c r="J367" s="12" t="s">
        <v>60</v>
      </c>
      <c r="K367" s="12"/>
      <c r="L367" s="9" t="n">
        <f aca="false">L366+H367</f>
        <v>42666.36</v>
      </c>
      <c r="M367" s="10" t="str">
        <f aca="false">VLOOKUP(J367,RECATALOGANDO!A:C,2,0)</f>
        <v>SERVICIO DE HOSPITALIZACION</v>
      </c>
      <c r="N367" s="12" t="str">
        <f aca="false">VLOOKUP(M367,RECATALOGANDO!B:C,2,0)</f>
        <v>VENTA DE SERVICIO</v>
      </c>
      <c r="O367" s="2" t="s">
        <v>78</v>
      </c>
    </row>
    <row r="368" customFormat="false" ht="13.8" hidden="false" customHeight="false" outlineLevel="0" collapsed="false">
      <c r="A368" s="8" t="n">
        <v>45033</v>
      </c>
      <c r="B368" s="9" t="n">
        <f aca="false">DAY(A368)</f>
        <v>17</v>
      </c>
      <c r="C368" s="9" t="n">
        <f aca="false">MONTH(A368)</f>
        <v>4</v>
      </c>
      <c r="D368" s="9" t="n">
        <f aca="false">YEAR(A368)</f>
        <v>2023</v>
      </c>
      <c r="E368" s="9" t="n">
        <f aca="false">WEEKDAY(A368,2)</f>
        <v>1</v>
      </c>
      <c r="F368" s="10" t="n">
        <f aca="false">WEEKNUM(A368,2) - WEEKNUM(DATE(YEAR(A368),MONTH(A368),1),2) + 1</f>
        <v>4</v>
      </c>
      <c r="G368" s="10"/>
      <c r="H368" s="11" t="n">
        <v>1000</v>
      </c>
      <c r="I368" s="12" t="s">
        <v>15</v>
      </c>
      <c r="J368" s="12" t="s">
        <v>44</v>
      </c>
      <c r="K368" s="12"/>
      <c r="L368" s="9" t="n">
        <f aca="false">L367+H368</f>
        <v>43666.36</v>
      </c>
      <c r="M368" s="10" t="str">
        <f aca="false">VLOOKUP(J368,RECATALOGANDO!A:C,2,0)</f>
        <v>HONORARIOS MEDICOS</v>
      </c>
      <c r="N368" s="12" t="str">
        <f aca="false">VLOOKUP(M368,RECATALOGANDO!B:C,2,0)</f>
        <v>VENTA DE SERVICIO</v>
      </c>
      <c r="O368" s="2" t="s">
        <v>78</v>
      </c>
    </row>
    <row r="369" customFormat="false" ht="13.8" hidden="false" customHeight="false" outlineLevel="0" collapsed="false">
      <c r="A369" s="8" t="n">
        <v>45034</v>
      </c>
      <c r="B369" s="9" t="n">
        <f aca="false">DAY(A369)</f>
        <v>18</v>
      </c>
      <c r="C369" s="9" t="n">
        <f aca="false">MONTH(A369)</f>
        <v>4</v>
      </c>
      <c r="D369" s="9" t="n">
        <f aca="false">YEAR(A369)</f>
        <v>2023</v>
      </c>
      <c r="E369" s="9" t="n">
        <f aca="false">WEEKDAY(A369,2)</f>
        <v>2</v>
      </c>
      <c r="F369" s="10" t="n">
        <f aca="false">WEEKNUM(A369,2) - WEEKNUM(DATE(YEAR(A369),MONTH(A369),1),2) + 1</f>
        <v>4</v>
      </c>
      <c r="G369" s="10"/>
      <c r="H369" s="11" t="n">
        <v>380.42</v>
      </c>
      <c r="I369" s="12" t="s">
        <v>15</v>
      </c>
      <c r="J369" s="12" t="s">
        <v>53</v>
      </c>
      <c r="K369" s="12"/>
      <c r="L369" s="9" t="n">
        <f aca="false">L368+H369</f>
        <v>44046.78</v>
      </c>
      <c r="M369" s="10" t="str">
        <f aca="false">VLOOKUP(J369,RECATALOGANDO!A:C,2,0)</f>
        <v>SERVICIO DE GROOMING</v>
      </c>
      <c r="N369" s="12" t="str">
        <f aca="false">VLOOKUP(M369,RECATALOGANDO!B:C,2,0)</f>
        <v>VENTA DE SERVICIO</v>
      </c>
      <c r="O369" s="2" t="s">
        <v>78</v>
      </c>
    </row>
    <row r="370" customFormat="false" ht="13.8" hidden="false" customHeight="false" outlineLevel="0" collapsed="false">
      <c r="A370" s="8" t="n">
        <v>45034</v>
      </c>
      <c r="B370" s="9" t="n">
        <f aca="false">DAY(A370)</f>
        <v>18</v>
      </c>
      <c r="C370" s="9" t="n">
        <f aca="false">MONTH(A370)</f>
        <v>4</v>
      </c>
      <c r="D370" s="9" t="n">
        <f aca="false">YEAR(A370)</f>
        <v>2023</v>
      </c>
      <c r="E370" s="9" t="n">
        <f aca="false">WEEKDAY(A370,2)</f>
        <v>2</v>
      </c>
      <c r="F370" s="10" t="n">
        <f aca="false">WEEKNUM(A370,2) - WEEKNUM(DATE(YEAR(A370),MONTH(A370),1),2) + 1</f>
        <v>4</v>
      </c>
      <c r="G370" s="10"/>
      <c r="H370" s="11" t="n">
        <v>5000</v>
      </c>
      <c r="I370" s="12" t="s">
        <v>15</v>
      </c>
      <c r="J370" s="12" t="s">
        <v>41</v>
      </c>
      <c r="K370" s="12"/>
      <c r="L370" s="9" t="n">
        <f aca="false">L369+H370</f>
        <v>49046.78</v>
      </c>
      <c r="M370" s="10" t="str">
        <f aca="false">VLOOKUP(J370,RECATALOGANDO!A:C,2,0)</f>
        <v>HONORARIOS QUIRURGICOS</v>
      </c>
      <c r="N370" s="12" t="str">
        <f aca="false">VLOOKUP(M370,RECATALOGANDO!B:C,2,0)</f>
        <v>VENTA DE SERVICIO</v>
      </c>
      <c r="O370" s="2" t="s">
        <v>78</v>
      </c>
    </row>
    <row r="371" customFormat="false" ht="13.8" hidden="false" customHeight="false" outlineLevel="0" collapsed="false">
      <c r="A371" s="8" t="n">
        <v>45035</v>
      </c>
      <c r="B371" s="9" t="n">
        <f aca="false">DAY(A371)</f>
        <v>19</v>
      </c>
      <c r="C371" s="9" t="n">
        <f aca="false">MONTH(A371)</f>
        <v>4</v>
      </c>
      <c r="D371" s="9" t="n">
        <f aca="false">YEAR(A371)</f>
        <v>2023</v>
      </c>
      <c r="E371" s="9" t="n">
        <f aca="false">WEEKDAY(A371,2)</f>
        <v>3</v>
      </c>
      <c r="F371" s="10" t="n">
        <f aca="false">WEEKNUM(A371,2) - WEEKNUM(DATE(YEAR(A371),MONTH(A371),1),2) + 1</f>
        <v>4</v>
      </c>
      <c r="G371" s="10"/>
      <c r="H371" s="11" t="n">
        <v>3380.67</v>
      </c>
      <c r="I371" s="12" t="s">
        <v>15</v>
      </c>
      <c r="J371" s="12" t="s">
        <v>45</v>
      </c>
      <c r="K371" s="12"/>
      <c r="L371" s="9" t="n">
        <f aca="false">L370+H371</f>
        <v>52427.45</v>
      </c>
      <c r="M371" s="10" t="str">
        <f aca="false">VLOOKUP(J371,RECATALOGANDO!A:C,2,0)</f>
        <v>VENTA DE MEDICAMENTO</v>
      </c>
      <c r="N371" s="12" t="str">
        <f aca="false">VLOOKUP(M371,RECATALOGANDO!B:C,2,0)</f>
        <v>VENTA DE PRODUCTO</v>
      </c>
      <c r="O371" s="2" t="s">
        <v>78</v>
      </c>
    </row>
    <row r="372" customFormat="false" ht="13.8" hidden="false" customHeight="false" outlineLevel="0" collapsed="false">
      <c r="A372" s="8" t="n">
        <v>45035</v>
      </c>
      <c r="B372" s="9" t="n">
        <f aca="false">DAY(A372)</f>
        <v>19</v>
      </c>
      <c r="C372" s="9" t="n">
        <f aca="false">MONTH(A372)</f>
        <v>4</v>
      </c>
      <c r="D372" s="9" t="n">
        <f aca="false">YEAR(A372)</f>
        <v>2023</v>
      </c>
      <c r="E372" s="9" t="n">
        <f aca="false">WEEKDAY(A372,2)</f>
        <v>3</v>
      </c>
      <c r="F372" s="10" t="n">
        <f aca="false">WEEKNUM(A372,2) - WEEKNUM(DATE(YEAR(A372),MONTH(A372),1),2) + 1</f>
        <v>4</v>
      </c>
      <c r="G372" s="10"/>
      <c r="H372" s="11" t="n">
        <v>1920</v>
      </c>
      <c r="I372" s="12" t="s">
        <v>20</v>
      </c>
      <c r="J372" s="12" t="s">
        <v>54</v>
      </c>
      <c r="K372" s="12"/>
      <c r="L372" s="9" t="n">
        <f aca="false">L371+H372</f>
        <v>54347.45</v>
      </c>
      <c r="M372" s="10" t="str">
        <f aca="false">VLOOKUP(J372,RECATALOGANDO!A:C,2,0)</f>
        <v>SERVICIO DE LABORATORIO</v>
      </c>
      <c r="N372" s="12" t="str">
        <f aca="false">VLOOKUP(M372,RECATALOGANDO!B:C,2,0)</f>
        <v>VENTA DE SERVICIO</v>
      </c>
      <c r="O372" s="2" t="s">
        <v>78</v>
      </c>
    </row>
    <row r="373" customFormat="false" ht="13.8" hidden="false" customHeight="false" outlineLevel="0" collapsed="false">
      <c r="A373" s="8" t="n">
        <v>45035</v>
      </c>
      <c r="B373" s="9" t="n">
        <f aca="false">DAY(A373)</f>
        <v>19</v>
      </c>
      <c r="C373" s="9" t="n">
        <f aca="false">MONTH(A373)</f>
        <v>4</v>
      </c>
      <c r="D373" s="9" t="n">
        <f aca="false">YEAR(A373)</f>
        <v>2023</v>
      </c>
      <c r="E373" s="9" t="n">
        <f aca="false">WEEKDAY(A373,2)</f>
        <v>3</v>
      </c>
      <c r="F373" s="10" t="n">
        <f aca="false">WEEKNUM(A373,2) - WEEKNUM(DATE(YEAR(A373),MONTH(A373),1),2) + 1</f>
        <v>4</v>
      </c>
      <c r="G373" s="10"/>
      <c r="H373" s="11" t="n">
        <v>2860</v>
      </c>
      <c r="I373" s="12" t="s">
        <v>15</v>
      </c>
      <c r="J373" s="12" t="s">
        <v>41</v>
      </c>
      <c r="K373" s="12"/>
      <c r="L373" s="9" t="n">
        <f aca="false">L372+H373</f>
        <v>57207.45</v>
      </c>
      <c r="M373" s="10" t="str">
        <f aca="false">VLOOKUP(J373,RECATALOGANDO!A:C,2,0)</f>
        <v>HONORARIOS QUIRURGICOS</v>
      </c>
      <c r="N373" s="12" t="str">
        <f aca="false">VLOOKUP(M373,RECATALOGANDO!B:C,2,0)</f>
        <v>VENTA DE SERVICIO</v>
      </c>
      <c r="O373" s="2" t="s">
        <v>78</v>
      </c>
    </row>
    <row r="374" customFormat="false" ht="13.8" hidden="false" customHeight="false" outlineLevel="0" collapsed="false">
      <c r="A374" s="8" t="n">
        <v>45036</v>
      </c>
      <c r="B374" s="9" t="n">
        <f aca="false">DAY(A374)</f>
        <v>20</v>
      </c>
      <c r="C374" s="9" t="n">
        <f aca="false">MONTH(A374)</f>
        <v>4</v>
      </c>
      <c r="D374" s="9" t="n">
        <f aca="false">YEAR(A374)</f>
        <v>2023</v>
      </c>
      <c r="E374" s="9" t="n">
        <f aca="false">WEEKDAY(A374,2)</f>
        <v>4</v>
      </c>
      <c r="F374" s="10" t="n">
        <f aca="false">WEEKNUM(A374,2) - WEEKNUM(DATE(YEAR(A374),MONTH(A374),1),2) + 1</f>
        <v>4</v>
      </c>
      <c r="G374" s="10"/>
      <c r="H374" s="11" t="n">
        <v>560</v>
      </c>
      <c r="I374" s="12" t="s">
        <v>20</v>
      </c>
      <c r="J374" s="12" t="s">
        <v>44</v>
      </c>
      <c r="K374" s="12"/>
      <c r="L374" s="9" t="n">
        <f aca="false">L373+H374</f>
        <v>57767.45</v>
      </c>
      <c r="M374" s="10" t="str">
        <f aca="false">VLOOKUP(J374,RECATALOGANDO!A:C,2,0)</f>
        <v>HONORARIOS MEDICOS</v>
      </c>
      <c r="N374" s="12" t="str">
        <f aca="false">VLOOKUP(M374,RECATALOGANDO!B:C,2,0)</f>
        <v>VENTA DE SERVICIO</v>
      </c>
      <c r="O374" s="2" t="s">
        <v>78</v>
      </c>
    </row>
    <row r="375" customFormat="false" ht="13.8" hidden="false" customHeight="false" outlineLevel="0" collapsed="false">
      <c r="A375" s="8" t="n">
        <v>45036</v>
      </c>
      <c r="B375" s="9" t="n">
        <f aca="false">DAY(A375)</f>
        <v>20</v>
      </c>
      <c r="C375" s="9" t="n">
        <f aca="false">MONTH(A375)</f>
        <v>4</v>
      </c>
      <c r="D375" s="9" t="n">
        <f aca="false">YEAR(A375)</f>
        <v>2023</v>
      </c>
      <c r="E375" s="9" t="n">
        <f aca="false">WEEKDAY(A375,2)</f>
        <v>4</v>
      </c>
      <c r="F375" s="10" t="n">
        <f aca="false">WEEKNUM(A375,2) - WEEKNUM(DATE(YEAR(A375),MONTH(A375),1),2) + 1</f>
        <v>4</v>
      </c>
      <c r="G375" s="10"/>
      <c r="H375" s="11" t="n">
        <v>1000</v>
      </c>
      <c r="I375" s="12" t="s">
        <v>15</v>
      </c>
      <c r="J375" s="12" t="s">
        <v>60</v>
      </c>
      <c r="K375" s="12"/>
      <c r="L375" s="9" t="n">
        <f aca="false">L374+H375</f>
        <v>58767.45</v>
      </c>
      <c r="M375" s="10" t="str">
        <f aca="false">VLOOKUP(J375,RECATALOGANDO!A:C,2,0)</f>
        <v>SERVICIO DE HOSPITALIZACION</v>
      </c>
      <c r="N375" s="12" t="str">
        <f aca="false">VLOOKUP(M375,RECATALOGANDO!B:C,2,0)</f>
        <v>VENTA DE SERVICIO</v>
      </c>
      <c r="O375" s="2" t="s">
        <v>78</v>
      </c>
    </row>
    <row r="376" customFormat="false" ht="13.8" hidden="false" customHeight="false" outlineLevel="0" collapsed="false">
      <c r="A376" s="8" t="n">
        <v>45039</v>
      </c>
      <c r="B376" s="9" t="n">
        <f aca="false">DAY(A376)</f>
        <v>23</v>
      </c>
      <c r="C376" s="9" t="n">
        <f aca="false">MONTH(A376)</f>
        <v>4</v>
      </c>
      <c r="D376" s="9" t="n">
        <f aca="false">YEAR(A376)</f>
        <v>2023</v>
      </c>
      <c r="E376" s="9" t="n">
        <f aca="false">WEEKDAY(A376,2)</f>
        <v>7</v>
      </c>
      <c r="F376" s="10" t="n">
        <f aca="false">WEEKNUM(A376,2) - WEEKNUM(DATE(YEAR(A376),MONTH(A376),1),2) + 1</f>
        <v>4</v>
      </c>
      <c r="G376" s="10"/>
      <c r="H376" s="11" t="n">
        <v>1087</v>
      </c>
      <c r="I376" s="12" t="s">
        <v>15</v>
      </c>
      <c r="J376" s="12" t="s">
        <v>51</v>
      </c>
      <c r="K376" s="12"/>
      <c r="L376" s="9" t="n">
        <f aca="false">L375+H376</f>
        <v>59854.45</v>
      </c>
      <c r="M376" s="10" t="str">
        <f aca="false">VLOOKUP(J376,RECATALOGANDO!A:C,2,0)</f>
        <v>VENTA DE ALIMENTO</v>
      </c>
      <c r="N376" s="12" t="str">
        <f aca="false">VLOOKUP(M376,RECATALOGANDO!B:C,2,0)</f>
        <v>VENTA DE PRODUCTO</v>
      </c>
      <c r="O376" s="2" t="s">
        <v>78</v>
      </c>
    </row>
    <row r="377" customFormat="false" ht="13.8" hidden="false" customHeight="false" outlineLevel="0" collapsed="false">
      <c r="A377" s="8" t="n">
        <v>45040</v>
      </c>
      <c r="B377" s="9" t="n">
        <f aca="false">DAY(A377)</f>
        <v>24</v>
      </c>
      <c r="C377" s="9" t="n">
        <f aca="false">MONTH(A377)</f>
        <v>4</v>
      </c>
      <c r="D377" s="9" t="n">
        <f aca="false">YEAR(A377)</f>
        <v>2023</v>
      </c>
      <c r="E377" s="9" t="n">
        <f aca="false">WEEKDAY(A377,2)</f>
        <v>1</v>
      </c>
      <c r="F377" s="10" t="n">
        <f aca="false">WEEKNUM(A377,2) - WEEKNUM(DATE(YEAR(A377),MONTH(A377),1),2) + 1</f>
        <v>5</v>
      </c>
      <c r="G377" s="10"/>
      <c r="H377" s="11" t="n">
        <v>680</v>
      </c>
      <c r="I377" s="12" t="s">
        <v>20</v>
      </c>
      <c r="J377" s="12" t="s">
        <v>51</v>
      </c>
      <c r="K377" s="12"/>
      <c r="L377" s="9" t="n">
        <f aca="false">L376+H377</f>
        <v>60534.45</v>
      </c>
      <c r="M377" s="10" t="str">
        <f aca="false">VLOOKUP(J377,RECATALOGANDO!A:C,2,0)</f>
        <v>VENTA DE ALIMENTO</v>
      </c>
      <c r="N377" s="12" t="str">
        <f aca="false">VLOOKUP(M377,RECATALOGANDO!B:C,2,0)</f>
        <v>VENTA DE PRODUCTO</v>
      </c>
      <c r="O377" s="2" t="s">
        <v>78</v>
      </c>
    </row>
    <row r="378" customFormat="false" ht="13.8" hidden="false" customHeight="false" outlineLevel="0" collapsed="false">
      <c r="A378" s="8" t="n">
        <v>45040</v>
      </c>
      <c r="B378" s="9" t="n">
        <f aca="false">DAY(A378)</f>
        <v>24</v>
      </c>
      <c r="C378" s="9" t="n">
        <f aca="false">MONTH(A378)</f>
        <v>4</v>
      </c>
      <c r="D378" s="9" t="n">
        <f aca="false">YEAR(A378)</f>
        <v>2023</v>
      </c>
      <c r="E378" s="9" t="n">
        <f aca="false">WEEKDAY(A378,2)</f>
        <v>1</v>
      </c>
      <c r="F378" s="10" t="n">
        <f aca="false">WEEKNUM(A378,2) - WEEKNUM(DATE(YEAR(A378),MONTH(A378),1),2) + 1</f>
        <v>5</v>
      </c>
      <c r="G378" s="10"/>
      <c r="H378" s="11" t="n">
        <v>1990</v>
      </c>
      <c r="I378" s="12" t="s">
        <v>20</v>
      </c>
      <c r="J378" s="12" t="s">
        <v>51</v>
      </c>
      <c r="K378" s="12"/>
      <c r="L378" s="9" t="n">
        <f aca="false">L377+H378</f>
        <v>62524.45</v>
      </c>
      <c r="M378" s="10" t="str">
        <f aca="false">VLOOKUP(J378,RECATALOGANDO!A:C,2,0)</f>
        <v>VENTA DE ALIMENTO</v>
      </c>
      <c r="N378" s="12" t="str">
        <f aca="false">VLOOKUP(M378,RECATALOGANDO!B:C,2,0)</f>
        <v>VENTA DE PRODUCTO</v>
      </c>
      <c r="O378" s="2" t="s">
        <v>78</v>
      </c>
    </row>
    <row r="379" customFormat="false" ht="13.8" hidden="false" customHeight="false" outlineLevel="0" collapsed="false">
      <c r="A379" s="8" t="n">
        <v>45040</v>
      </c>
      <c r="B379" s="9" t="n">
        <f aca="false">DAY(A379)</f>
        <v>24</v>
      </c>
      <c r="C379" s="9" t="n">
        <f aca="false">MONTH(A379)</f>
        <v>4</v>
      </c>
      <c r="D379" s="9" t="n">
        <f aca="false">YEAR(A379)</f>
        <v>2023</v>
      </c>
      <c r="E379" s="9" t="n">
        <f aca="false">WEEKDAY(A379,2)</f>
        <v>1</v>
      </c>
      <c r="F379" s="10" t="n">
        <f aca="false">WEEKNUM(A379,2) - WEEKNUM(DATE(YEAR(A379),MONTH(A379),1),2) + 1</f>
        <v>5</v>
      </c>
      <c r="G379" s="10"/>
      <c r="H379" s="11" t="n">
        <v>290</v>
      </c>
      <c r="I379" s="12" t="s">
        <v>20</v>
      </c>
      <c r="J379" s="12" t="s">
        <v>49</v>
      </c>
      <c r="K379" s="12"/>
      <c r="L379" s="9" t="n">
        <f aca="false">L378+H379</f>
        <v>62814.45</v>
      </c>
      <c r="M379" s="10" t="str">
        <f aca="false">VLOOKUP(J379,RECATALOGANDO!A:C,2,0)</f>
        <v>SERVICIO DE GROOMING</v>
      </c>
      <c r="N379" s="12" t="str">
        <f aca="false">VLOOKUP(M379,RECATALOGANDO!B:C,2,0)</f>
        <v>VENTA DE SERVICIO</v>
      </c>
      <c r="O379" s="2" t="s">
        <v>78</v>
      </c>
    </row>
    <row r="380" customFormat="false" ht="13.8" hidden="false" customHeight="false" outlineLevel="0" collapsed="false">
      <c r="A380" s="8" t="n">
        <v>45041</v>
      </c>
      <c r="B380" s="9" t="n">
        <f aca="false">DAY(A380)</f>
        <v>25</v>
      </c>
      <c r="C380" s="9" t="n">
        <f aca="false">MONTH(A380)</f>
        <v>4</v>
      </c>
      <c r="D380" s="9" t="n">
        <f aca="false">YEAR(A380)</f>
        <v>2023</v>
      </c>
      <c r="E380" s="9" t="n">
        <f aca="false">WEEKDAY(A380,2)</f>
        <v>2</v>
      </c>
      <c r="F380" s="10" t="n">
        <f aca="false">WEEKNUM(A380,2) - WEEKNUM(DATE(YEAR(A380),MONTH(A380),1),2) + 1</f>
        <v>5</v>
      </c>
      <c r="G380" s="10"/>
      <c r="H380" s="11" t="n">
        <v>1703</v>
      </c>
      <c r="I380" s="12" t="s">
        <v>20</v>
      </c>
      <c r="J380" s="12" t="s">
        <v>45</v>
      </c>
      <c r="K380" s="12"/>
      <c r="L380" s="9" t="n">
        <f aca="false">L379+H380</f>
        <v>64517.45</v>
      </c>
      <c r="M380" s="10" t="str">
        <f aca="false">VLOOKUP(J380,RECATALOGANDO!A:C,2,0)</f>
        <v>VENTA DE MEDICAMENTO</v>
      </c>
      <c r="N380" s="12" t="str">
        <f aca="false">VLOOKUP(M380,RECATALOGANDO!B:C,2,0)</f>
        <v>VENTA DE PRODUCTO</v>
      </c>
      <c r="O380" s="2" t="s">
        <v>78</v>
      </c>
    </row>
    <row r="381" customFormat="false" ht="13.8" hidden="false" customHeight="false" outlineLevel="0" collapsed="false">
      <c r="A381" s="8" t="n">
        <v>45041</v>
      </c>
      <c r="B381" s="9" t="n">
        <f aca="false">DAY(A381)</f>
        <v>25</v>
      </c>
      <c r="C381" s="9" t="n">
        <f aca="false">MONTH(A381)</f>
        <v>4</v>
      </c>
      <c r="D381" s="9" t="n">
        <f aca="false">YEAR(A381)</f>
        <v>2023</v>
      </c>
      <c r="E381" s="9" t="n">
        <f aca="false">WEEKDAY(A381,2)</f>
        <v>2</v>
      </c>
      <c r="F381" s="10" t="n">
        <f aca="false">WEEKNUM(A381,2) - WEEKNUM(DATE(YEAR(A381),MONTH(A381),1),2) + 1</f>
        <v>5</v>
      </c>
      <c r="G381" s="10"/>
      <c r="H381" s="11" t="n">
        <v>280</v>
      </c>
      <c r="I381" s="12" t="s">
        <v>15</v>
      </c>
      <c r="J381" s="12" t="s">
        <v>49</v>
      </c>
      <c r="K381" s="12"/>
      <c r="L381" s="9" t="n">
        <f aca="false">L380+H381</f>
        <v>64797.45</v>
      </c>
      <c r="M381" s="10" t="str">
        <f aca="false">VLOOKUP(J381,RECATALOGANDO!A:C,2,0)</f>
        <v>SERVICIO DE GROOMING</v>
      </c>
      <c r="N381" s="12" t="str">
        <f aca="false">VLOOKUP(M381,RECATALOGANDO!B:C,2,0)</f>
        <v>VENTA DE SERVICIO</v>
      </c>
      <c r="O381" s="2" t="s">
        <v>78</v>
      </c>
    </row>
    <row r="382" customFormat="false" ht="13.8" hidden="false" customHeight="false" outlineLevel="0" collapsed="false">
      <c r="A382" s="8" t="n">
        <v>45041</v>
      </c>
      <c r="B382" s="9" t="n">
        <f aca="false">DAY(A382)</f>
        <v>25</v>
      </c>
      <c r="C382" s="9" t="n">
        <f aca="false">MONTH(A382)</f>
        <v>4</v>
      </c>
      <c r="D382" s="9" t="n">
        <f aca="false">YEAR(A382)</f>
        <v>2023</v>
      </c>
      <c r="E382" s="9" t="n">
        <f aca="false">WEEKDAY(A382,2)</f>
        <v>2</v>
      </c>
      <c r="F382" s="10" t="n">
        <f aca="false">WEEKNUM(A382,2) - WEEKNUM(DATE(YEAR(A382),MONTH(A382),1),2) + 1</f>
        <v>5</v>
      </c>
      <c r="G382" s="10"/>
      <c r="H382" s="11" t="n">
        <v>770</v>
      </c>
      <c r="I382" s="12" t="s">
        <v>20</v>
      </c>
      <c r="J382" s="12" t="s">
        <v>44</v>
      </c>
      <c r="K382" s="12"/>
      <c r="L382" s="9" t="n">
        <f aca="false">L381+H382</f>
        <v>65567.45</v>
      </c>
      <c r="M382" s="10" t="str">
        <f aca="false">VLOOKUP(J382,RECATALOGANDO!A:C,2,0)</f>
        <v>HONORARIOS MEDICOS</v>
      </c>
      <c r="N382" s="12" t="str">
        <f aca="false">VLOOKUP(M382,RECATALOGANDO!B:C,2,0)</f>
        <v>VENTA DE SERVICIO</v>
      </c>
      <c r="O382" s="2" t="s">
        <v>78</v>
      </c>
    </row>
    <row r="383" customFormat="false" ht="13.8" hidden="false" customHeight="false" outlineLevel="0" collapsed="false">
      <c r="A383" s="8" t="n">
        <v>45042</v>
      </c>
      <c r="B383" s="9" t="n">
        <f aca="false">DAY(A383)</f>
        <v>26</v>
      </c>
      <c r="C383" s="9" t="n">
        <f aca="false">MONTH(A383)</f>
        <v>4</v>
      </c>
      <c r="D383" s="9" t="n">
        <f aca="false">YEAR(A383)</f>
        <v>2023</v>
      </c>
      <c r="E383" s="9" t="n">
        <f aca="false">WEEKDAY(A383,2)</f>
        <v>3</v>
      </c>
      <c r="F383" s="10" t="n">
        <f aca="false">WEEKNUM(A383,2) - WEEKNUM(DATE(YEAR(A383),MONTH(A383),1),2) + 1</f>
        <v>5</v>
      </c>
      <c r="G383" s="10"/>
      <c r="H383" s="11" t="n">
        <v>200</v>
      </c>
      <c r="I383" s="12" t="s">
        <v>15</v>
      </c>
      <c r="J383" s="12" t="s">
        <v>49</v>
      </c>
      <c r="K383" s="12"/>
      <c r="L383" s="9" t="n">
        <f aca="false">L382+H383</f>
        <v>65767.45</v>
      </c>
      <c r="M383" s="10" t="str">
        <f aca="false">VLOOKUP(J383,RECATALOGANDO!A:C,2,0)</f>
        <v>SERVICIO DE GROOMING</v>
      </c>
      <c r="N383" s="12" t="str">
        <f aca="false">VLOOKUP(M383,RECATALOGANDO!B:C,2,0)</f>
        <v>VENTA DE SERVICIO</v>
      </c>
      <c r="O383" s="2" t="s">
        <v>78</v>
      </c>
    </row>
    <row r="384" customFormat="false" ht="13.8" hidden="false" customHeight="false" outlineLevel="0" collapsed="false">
      <c r="A384" s="8" t="n">
        <v>45043</v>
      </c>
      <c r="B384" s="9" t="n">
        <f aca="false">DAY(A384)</f>
        <v>27</v>
      </c>
      <c r="C384" s="9" t="n">
        <f aca="false">MONTH(A384)</f>
        <v>4</v>
      </c>
      <c r="D384" s="9" t="n">
        <f aca="false">YEAR(A384)</f>
        <v>2023</v>
      </c>
      <c r="E384" s="9" t="n">
        <f aca="false">WEEKDAY(A384,2)</f>
        <v>4</v>
      </c>
      <c r="F384" s="10" t="n">
        <f aca="false">WEEKNUM(A384,2) - WEEKNUM(DATE(YEAR(A384),MONTH(A384),1),2) + 1</f>
        <v>5</v>
      </c>
      <c r="G384" s="10"/>
      <c r="H384" s="11" t="n">
        <v>2403</v>
      </c>
      <c r="I384" s="12" t="s">
        <v>20</v>
      </c>
      <c r="J384" s="12" t="s">
        <v>51</v>
      </c>
      <c r="K384" s="12"/>
      <c r="L384" s="9" t="n">
        <f aca="false">L383+H384</f>
        <v>68170.45</v>
      </c>
      <c r="M384" s="10" t="str">
        <f aca="false">VLOOKUP(J384,RECATALOGANDO!A:C,2,0)</f>
        <v>VENTA DE ALIMENTO</v>
      </c>
      <c r="N384" s="12" t="str">
        <f aca="false">VLOOKUP(M384,RECATALOGANDO!B:C,2,0)</f>
        <v>VENTA DE PRODUCTO</v>
      </c>
      <c r="O384" s="2" t="s">
        <v>78</v>
      </c>
    </row>
    <row r="385" customFormat="false" ht="13.8" hidden="false" customHeight="false" outlineLevel="0" collapsed="false">
      <c r="A385" s="8" t="n">
        <v>45043</v>
      </c>
      <c r="B385" s="9" t="n">
        <f aca="false">DAY(A385)</f>
        <v>27</v>
      </c>
      <c r="C385" s="9" t="n">
        <f aca="false">MONTH(A385)</f>
        <v>4</v>
      </c>
      <c r="D385" s="9" t="n">
        <f aca="false">YEAR(A385)</f>
        <v>2023</v>
      </c>
      <c r="E385" s="9" t="n">
        <f aca="false">WEEKDAY(A385,2)</f>
        <v>4</v>
      </c>
      <c r="F385" s="10" t="n">
        <f aca="false">WEEKNUM(A385,2) - WEEKNUM(DATE(YEAR(A385),MONTH(A385),1),2) + 1</f>
        <v>5</v>
      </c>
      <c r="G385" s="10"/>
      <c r="H385" s="11" t="n">
        <v>160</v>
      </c>
      <c r="I385" s="12" t="s">
        <v>20</v>
      </c>
      <c r="J385" s="12" t="s">
        <v>49</v>
      </c>
      <c r="K385" s="12"/>
      <c r="L385" s="9" t="n">
        <f aca="false">L384+H385</f>
        <v>68330.45</v>
      </c>
      <c r="M385" s="10" t="str">
        <f aca="false">VLOOKUP(J385,RECATALOGANDO!A:C,2,0)</f>
        <v>SERVICIO DE GROOMING</v>
      </c>
      <c r="N385" s="12" t="str">
        <f aca="false">VLOOKUP(M385,RECATALOGANDO!B:C,2,0)</f>
        <v>VENTA DE SERVICIO</v>
      </c>
      <c r="O385" s="2" t="s">
        <v>78</v>
      </c>
    </row>
    <row r="386" customFormat="false" ht="13.8" hidden="false" customHeight="false" outlineLevel="0" collapsed="false">
      <c r="A386" s="8" t="n">
        <v>45045</v>
      </c>
      <c r="B386" s="9" t="n">
        <f aca="false">DAY(A386)</f>
        <v>29</v>
      </c>
      <c r="C386" s="9" t="n">
        <f aca="false">MONTH(A386)</f>
        <v>4</v>
      </c>
      <c r="D386" s="9" t="n">
        <f aca="false">YEAR(A386)</f>
        <v>2023</v>
      </c>
      <c r="E386" s="9" t="n">
        <f aca="false">WEEKDAY(A386,2)</f>
        <v>6</v>
      </c>
      <c r="F386" s="10" t="n">
        <f aca="false">WEEKNUM(A386,2) - WEEKNUM(DATE(YEAR(A386),MONTH(A386),1),2) + 1</f>
        <v>5</v>
      </c>
      <c r="G386" s="10"/>
      <c r="H386" s="11" t="n">
        <v>424</v>
      </c>
      <c r="I386" s="12" t="s">
        <v>20</v>
      </c>
      <c r="J386" s="12" t="s">
        <v>45</v>
      </c>
      <c r="K386" s="12"/>
      <c r="L386" s="9" t="n">
        <f aca="false">L385+H386</f>
        <v>68754.45</v>
      </c>
      <c r="M386" s="10" t="str">
        <f aca="false">VLOOKUP(J386,RECATALOGANDO!A:C,2,0)</f>
        <v>VENTA DE MEDICAMENTO</v>
      </c>
      <c r="N386" s="12" t="str">
        <f aca="false">VLOOKUP(M386,RECATALOGANDO!B:C,2,0)</f>
        <v>VENTA DE PRODUCTO</v>
      </c>
      <c r="O386" s="2" t="s">
        <v>78</v>
      </c>
    </row>
    <row r="387" customFormat="false" ht="13.8" hidden="false" customHeight="false" outlineLevel="0" collapsed="false">
      <c r="A387" s="8" t="n">
        <v>45045</v>
      </c>
      <c r="B387" s="9" t="n">
        <f aca="false">DAY(A387)</f>
        <v>29</v>
      </c>
      <c r="C387" s="9" t="n">
        <f aca="false">MONTH(A387)</f>
        <v>4</v>
      </c>
      <c r="D387" s="9" t="n">
        <f aca="false">YEAR(A387)</f>
        <v>2023</v>
      </c>
      <c r="E387" s="9" t="n">
        <f aca="false">WEEKDAY(A387,2)</f>
        <v>6</v>
      </c>
      <c r="F387" s="10" t="n">
        <f aca="false">WEEKNUM(A387,2) - WEEKNUM(DATE(YEAR(A387),MONTH(A387),1),2) + 1</f>
        <v>5</v>
      </c>
      <c r="G387" s="10"/>
      <c r="H387" s="11" t="n">
        <v>1100</v>
      </c>
      <c r="I387" s="12" t="s">
        <v>20</v>
      </c>
      <c r="J387" s="12" t="s">
        <v>44</v>
      </c>
      <c r="K387" s="12"/>
      <c r="L387" s="9" t="n">
        <f aca="false">L386+H387</f>
        <v>69854.45</v>
      </c>
      <c r="M387" s="10" t="str">
        <f aca="false">VLOOKUP(J387,RECATALOGANDO!A:C,2,0)</f>
        <v>HONORARIOS MEDICOS</v>
      </c>
      <c r="N387" s="12" t="str">
        <f aca="false">VLOOKUP(M387,RECATALOGANDO!B:C,2,0)</f>
        <v>VENTA DE SERVICIO</v>
      </c>
      <c r="O387" s="2" t="s">
        <v>78</v>
      </c>
    </row>
    <row r="388" customFormat="false" ht="13.8" hidden="false" customHeight="false" outlineLevel="0" collapsed="false">
      <c r="A388" s="8" t="n">
        <v>45045</v>
      </c>
      <c r="B388" s="9" t="n">
        <f aca="false">DAY(A388)</f>
        <v>29</v>
      </c>
      <c r="C388" s="9" t="n">
        <f aca="false">MONTH(A388)</f>
        <v>4</v>
      </c>
      <c r="D388" s="9" t="n">
        <f aca="false">YEAR(A388)</f>
        <v>2023</v>
      </c>
      <c r="E388" s="9" t="n">
        <f aca="false">WEEKDAY(A388,2)</f>
        <v>6</v>
      </c>
      <c r="F388" s="10" t="n">
        <f aca="false">WEEKNUM(A388,2) - WEEKNUM(DATE(YEAR(A388),MONTH(A388),1),2) + 1</f>
        <v>5</v>
      </c>
      <c r="G388" s="10"/>
      <c r="H388" s="11" t="n">
        <v>2000</v>
      </c>
      <c r="I388" s="12" t="s">
        <v>20</v>
      </c>
      <c r="J388" s="12" t="s">
        <v>41</v>
      </c>
      <c r="K388" s="12"/>
      <c r="L388" s="9" t="n">
        <f aca="false">L387+H388</f>
        <v>71854.45</v>
      </c>
      <c r="M388" s="10" t="str">
        <f aca="false">VLOOKUP(J388,RECATALOGANDO!A:C,2,0)</f>
        <v>HONORARIOS QUIRURGICOS</v>
      </c>
      <c r="N388" s="12" t="str">
        <f aca="false">VLOOKUP(M388,RECATALOGANDO!B:C,2,0)</f>
        <v>VENTA DE SERVICIO</v>
      </c>
      <c r="O388" s="2" t="s">
        <v>78</v>
      </c>
    </row>
    <row r="389" customFormat="false" ht="13.8" hidden="false" customHeight="false" outlineLevel="0" collapsed="false">
      <c r="A389" s="8" t="n">
        <v>45045</v>
      </c>
      <c r="B389" s="9" t="n">
        <f aca="false">DAY(A389)</f>
        <v>29</v>
      </c>
      <c r="C389" s="9" t="n">
        <f aca="false">MONTH(A389)</f>
        <v>4</v>
      </c>
      <c r="D389" s="9" t="n">
        <f aca="false">YEAR(A389)</f>
        <v>2023</v>
      </c>
      <c r="E389" s="9" t="n">
        <f aca="false">WEEKDAY(A389,2)</f>
        <v>6</v>
      </c>
      <c r="F389" s="10" t="n">
        <f aca="false">WEEKNUM(A389,2) - WEEKNUM(DATE(YEAR(A389),MONTH(A389),1),2) + 1</f>
        <v>5</v>
      </c>
      <c r="G389" s="10"/>
      <c r="H389" s="11" t="n">
        <v>3600</v>
      </c>
      <c r="I389" s="12" t="s">
        <v>15</v>
      </c>
      <c r="J389" s="12" t="s">
        <v>57</v>
      </c>
      <c r="K389" s="12"/>
      <c r="L389" s="9" t="n">
        <f aca="false">L388+H389</f>
        <v>75454.45</v>
      </c>
      <c r="M389" s="10" t="str">
        <f aca="false">VLOOKUP(J389,RECATALOGANDO!A:C,2,0)</f>
        <v>SERVICIO DE CREMACION</v>
      </c>
      <c r="N389" s="12" t="str">
        <f aca="false">VLOOKUP(M389,RECATALOGANDO!B:C,2,0)</f>
        <v>VENTA DE SERVICIO</v>
      </c>
      <c r="O389" s="2" t="s">
        <v>78</v>
      </c>
    </row>
    <row r="390" customFormat="false" ht="13.8" hidden="false" customHeight="false" outlineLevel="0" collapsed="false">
      <c r="A390" s="8" t="n">
        <v>45045</v>
      </c>
      <c r="B390" s="9" t="n">
        <f aca="false">DAY(A390)</f>
        <v>29</v>
      </c>
      <c r="C390" s="9" t="n">
        <f aca="false">MONTH(A390)</f>
        <v>4</v>
      </c>
      <c r="D390" s="9" t="n">
        <f aca="false">YEAR(A390)</f>
        <v>2023</v>
      </c>
      <c r="E390" s="9" t="n">
        <f aca="false">WEEKDAY(A390,2)</f>
        <v>6</v>
      </c>
      <c r="F390" s="10" t="n">
        <f aca="false">WEEKNUM(A390,2) - WEEKNUM(DATE(YEAR(A390),MONTH(A390),1),2) + 1</f>
        <v>5</v>
      </c>
      <c r="G390" s="10"/>
      <c r="H390" s="11" t="n">
        <v>3781.22</v>
      </c>
      <c r="I390" s="12" t="s">
        <v>15</v>
      </c>
      <c r="J390" s="12" t="s">
        <v>47</v>
      </c>
      <c r="K390" s="12"/>
      <c r="L390" s="9" t="n">
        <f aca="false">L389+H390</f>
        <v>79235.67</v>
      </c>
      <c r="M390" s="10" t="str">
        <f aca="false">VLOOKUP(J390,RECATALOGANDO!A:C,2,0)</f>
        <v>SERVICIO DE PENSION</v>
      </c>
      <c r="N390" s="12" t="str">
        <f aca="false">VLOOKUP(M390,RECATALOGANDO!B:C,2,0)</f>
        <v>VENTA DE SERVICIO</v>
      </c>
      <c r="O390" s="2" t="s">
        <v>78</v>
      </c>
    </row>
    <row r="391" customFormat="false" ht="13.8" hidden="false" customHeight="false" outlineLevel="0" collapsed="false">
      <c r="A391" s="8" t="n">
        <v>45046</v>
      </c>
      <c r="B391" s="9" t="n">
        <f aca="false">DAY(A391)</f>
        <v>30</v>
      </c>
      <c r="C391" s="9" t="n">
        <f aca="false">MONTH(A391)</f>
        <v>4</v>
      </c>
      <c r="D391" s="9" t="n">
        <f aca="false">YEAR(A391)</f>
        <v>2023</v>
      </c>
      <c r="E391" s="9" t="n">
        <f aca="false">WEEKDAY(A391,2)</f>
        <v>7</v>
      </c>
      <c r="F391" s="10" t="n">
        <f aca="false">WEEKNUM(A391,2) - WEEKNUM(DATE(YEAR(A391),MONTH(A391),1),2) + 1</f>
        <v>5</v>
      </c>
      <c r="G391" s="10"/>
      <c r="H391" s="11" t="n">
        <v>277.89</v>
      </c>
      <c r="I391" s="12" t="s">
        <v>15</v>
      </c>
      <c r="J391" s="12" t="s">
        <v>49</v>
      </c>
      <c r="K391" s="12"/>
      <c r="L391" s="9" t="n">
        <f aca="false">L390+H391</f>
        <v>79513.56</v>
      </c>
      <c r="M391" s="10" t="str">
        <f aca="false">VLOOKUP(J391,RECATALOGANDO!A:C,2,0)</f>
        <v>SERVICIO DE GROOMING</v>
      </c>
      <c r="N391" s="12" t="str">
        <f aca="false">VLOOKUP(M391,RECATALOGANDO!B:C,2,0)</f>
        <v>VENTA DE SERVICIO</v>
      </c>
      <c r="O391" s="2" t="s">
        <v>78</v>
      </c>
    </row>
    <row r="392" customFormat="false" ht="13.8" hidden="false" customHeight="false" outlineLevel="0" collapsed="false">
      <c r="A392" s="8" t="n">
        <v>45046</v>
      </c>
      <c r="B392" s="9" t="n">
        <f aca="false">DAY(A392)</f>
        <v>30</v>
      </c>
      <c r="C392" s="9" t="n">
        <f aca="false">MONTH(A392)</f>
        <v>4</v>
      </c>
      <c r="D392" s="9" t="n">
        <f aca="false">YEAR(A392)</f>
        <v>2023</v>
      </c>
      <c r="E392" s="9" t="n">
        <f aca="false">WEEKDAY(A392,2)</f>
        <v>7</v>
      </c>
      <c r="F392" s="10" t="n">
        <f aca="false">WEEKNUM(A392,2) - WEEKNUM(DATE(YEAR(A392),MONTH(A392),1),2) + 1</f>
        <v>5</v>
      </c>
      <c r="G392" s="10"/>
      <c r="H392" s="11" t="n">
        <v>465</v>
      </c>
      <c r="I392" s="12" t="s">
        <v>15</v>
      </c>
      <c r="J392" s="12" t="s">
        <v>44</v>
      </c>
      <c r="K392" s="12"/>
      <c r="L392" s="9" t="n">
        <f aca="false">L391+H392</f>
        <v>79978.56</v>
      </c>
      <c r="M392" s="10" t="str">
        <f aca="false">VLOOKUP(J392,RECATALOGANDO!A:C,2,0)</f>
        <v>HONORARIOS MEDICOS</v>
      </c>
      <c r="N392" s="12" t="str">
        <f aca="false">VLOOKUP(M392,RECATALOGANDO!B:C,2,0)</f>
        <v>VENTA DE SERVICIO</v>
      </c>
      <c r="O392" s="2" t="s">
        <v>78</v>
      </c>
    </row>
    <row r="393" customFormat="false" ht="13.8" hidden="false" customHeight="false" outlineLevel="0" collapsed="false">
      <c r="A393" s="8" t="n">
        <v>45048</v>
      </c>
      <c r="B393" s="9" t="n">
        <f aca="false">DAY(A393)</f>
        <v>2</v>
      </c>
      <c r="C393" s="9" t="n">
        <f aca="false">MONTH(A393)</f>
        <v>5</v>
      </c>
      <c r="D393" s="9" t="n">
        <f aca="false">YEAR(A393)</f>
        <v>2023</v>
      </c>
      <c r="E393" s="9" t="n">
        <f aca="false">WEEKDAY(A393,2)</f>
        <v>2</v>
      </c>
      <c r="F393" s="10" t="n">
        <f aca="false">WEEKNUM(A393,2) - WEEKNUM(DATE(YEAR(A393),MONTH(A393),1),2) + 1</f>
        <v>1</v>
      </c>
      <c r="G393" s="10"/>
      <c r="H393" s="11" t="n">
        <v>424</v>
      </c>
      <c r="I393" s="12" t="s">
        <v>20</v>
      </c>
      <c r="J393" s="12" t="s">
        <v>45</v>
      </c>
      <c r="K393" s="12"/>
      <c r="L393" s="9" t="n">
        <f aca="false">H393</f>
        <v>424</v>
      </c>
      <c r="M393" s="10" t="str">
        <f aca="false">VLOOKUP(J393,RECATALOGANDO!A:C,2,0)</f>
        <v>VENTA DE MEDICAMENTO</v>
      </c>
      <c r="N393" s="12" t="str">
        <f aca="false">VLOOKUP(M393,RECATALOGANDO!B:C,2,0)</f>
        <v>VENTA DE PRODUCTO</v>
      </c>
      <c r="O393" s="2" t="s">
        <v>78</v>
      </c>
    </row>
    <row r="394" customFormat="false" ht="13.8" hidden="false" customHeight="false" outlineLevel="0" collapsed="false">
      <c r="A394" s="8" t="n">
        <v>45048</v>
      </c>
      <c r="B394" s="9" t="n">
        <f aca="false">DAY(A394)</f>
        <v>2</v>
      </c>
      <c r="C394" s="9" t="n">
        <f aca="false">MONTH(A394)</f>
        <v>5</v>
      </c>
      <c r="D394" s="9" t="n">
        <f aca="false">YEAR(A394)</f>
        <v>2023</v>
      </c>
      <c r="E394" s="9" t="n">
        <f aca="false">WEEKDAY(A394,2)</f>
        <v>2</v>
      </c>
      <c r="F394" s="10" t="n">
        <f aca="false">WEEKNUM(A394,2) - WEEKNUM(DATE(YEAR(A394),MONTH(A394),1),2) + 1</f>
        <v>1</v>
      </c>
      <c r="G394" s="10"/>
      <c r="H394" s="11" t="n">
        <v>815</v>
      </c>
      <c r="I394" s="12" t="s">
        <v>15</v>
      </c>
      <c r="J394" s="12" t="s">
        <v>51</v>
      </c>
      <c r="K394" s="12"/>
      <c r="L394" s="9" t="n">
        <f aca="false">L393+H394</f>
        <v>1239</v>
      </c>
      <c r="M394" s="10" t="str">
        <f aca="false">VLOOKUP(J394,RECATALOGANDO!A:C,2,0)</f>
        <v>VENTA DE ALIMENTO</v>
      </c>
      <c r="N394" s="12" t="str">
        <f aca="false">VLOOKUP(M394,RECATALOGANDO!B:C,2,0)</f>
        <v>VENTA DE PRODUCTO</v>
      </c>
      <c r="O394" s="2" t="s">
        <v>78</v>
      </c>
    </row>
    <row r="395" customFormat="false" ht="13.8" hidden="false" customHeight="false" outlineLevel="0" collapsed="false">
      <c r="A395" s="8" t="n">
        <v>45048</v>
      </c>
      <c r="B395" s="9" t="n">
        <f aca="false">DAY(A395)</f>
        <v>2</v>
      </c>
      <c r="C395" s="9" t="n">
        <f aca="false">MONTH(A395)</f>
        <v>5</v>
      </c>
      <c r="D395" s="9" t="n">
        <f aca="false">YEAR(A395)</f>
        <v>2023</v>
      </c>
      <c r="E395" s="9" t="n">
        <f aca="false">WEEKDAY(A395,2)</f>
        <v>2</v>
      </c>
      <c r="F395" s="10" t="n">
        <f aca="false">WEEKNUM(A395,2) - WEEKNUM(DATE(YEAR(A395),MONTH(A395),1),2) + 1</f>
        <v>1</v>
      </c>
      <c r="G395" s="10"/>
      <c r="H395" s="11" t="n">
        <v>1100</v>
      </c>
      <c r="I395" s="12" t="s">
        <v>20</v>
      </c>
      <c r="J395" s="12" t="s">
        <v>45</v>
      </c>
      <c r="K395" s="12"/>
      <c r="L395" s="9" t="n">
        <f aca="false">L394+H395</f>
        <v>2339</v>
      </c>
      <c r="M395" s="10" t="str">
        <f aca="false">VLOOKUP(J395,RECATALOGANDO!A:C,2,0)</f>
        <v>VENTA DE MEDICAMENTO</v>
      </c>
      <c r="N395" s="12" t="str">
        <f aca="false">VLOOKUP(M395,RECATALOGANDO!B:C,2,0)</f>
        <v>VENTA DE PRODUCTO</v>
      </c>
      <c r="O395" s="2" t="s">
        <v>78</v>
      </c>
    </row>
    <row r="396" customFormat="false" ht="13.8" hidden="false" customHeight="false" outlineLevel="0" collapsed="false">
      <c r="A396" s="8" t="n">
        <v>45048</v>
      </c>
      <c r="B396" s="9" t="n">
        <f aca="false">DAY(A396)</f>
        <v>2</v>
      </c>
      <c r="C396" s="9" t="n">
        <f aca="false">MONTH(A396)</f>
        <v>5</v>
      </c>
      <c r="D396" s="9" t="n">
        <f aca="false">YEAR(A396)</f>
        <v>2023</v>
      </c>
      <c r="E396" s="9" t="n">
        <f aca="false">WEEKDAY(A396,2)</f>
        <v>2</v>
      </c>
      <c r="F396" s="10" t="n">
        <f aca="false">WEEKNUM(A396,2) - WEEKNUM(DATE(YEAR(A396),MONTH(A396),1),2) + 1</f>
        <v>1</v>
      </c>
      <c r="G396" s="10"/>
      <c r="H396" s="11" t="n">
        <v>2000</v>
      </c>
      <c r="I396" s="12" t="s">
        <v>20</v>
      </c>
      <c r="J396" s="12" t="s">
        <v>41</v>
      </c>
      <c r="K396" s="12"/>
      <c r="L396" s="9" t="n">
        <f aca="false">L395+H396</f>
        <v>4339</v>
      </c>
      <c r="M396" s="10" t="str">
        <f aca="false">VLOOKUP(J396,RECATALOGANDO!A:C,2,0)</f>
        <v>HONORARIOS QUIRURGICOS</v>
      </c>
      <c r="N396" s="12" t="str">
        <f aca="false">VLOOKUP(M396,RECATALOGANDO!B:C,2,0)</f>
        <v>VENTA DE SERVICIO</v>
      </c>
      <c r="O396" s="2" t="s">
        <v>78</v>
      </c>
    </row>
    <row r="397" customFormat="false" ht="13.8" hidden="false" customHeight="false" outlineLevel="0" collapsed="false">
      <c r="A397" s="8" t="n">
        <v>45048</v>
      </c>
      <c r="B397" s="9" t="n">
        <f aca="false">DAY(A397)</f>
        <v>2</v>
      </c>
      <c r="C397" s="9" t="n">
        <f aca="false">MONTH(A397)</f>
        <v>5</v>
      </c>
      <c r="D397" s="9" t="n">
        <f aca="false">YEAR(A397)</f>
        <v>2023</v>
      </c>
      <c r="E397" s="9" t="n">
        <f aca="false">WEEKDAY(A397,2)</f>
        <v>2</v>
      </c>
      <c r="F397" s="10" t="n">
        <f aca="false">WEEKNUM(A397,2) - WEEKNUM(DATE(YEAR(A397),MONTH(A397),1),2) + 1</f>
        <v>1</v>
      </c>
      <c r="G397" s="10"/>
      <c r="H397" s="11" t="n">
        <v>2530.71</v>
      </c>
      <c r="I397" s="12" t="s">
        <v>15</v>
      </c>
      <c r="J397" s="12" t="s">
        <v>41</v>
      </c>
      <c r="K397" s="12"/>
      <c r="L397" s="9" t="n">
        <f aca="false">L396+H397</f>
        <v>6869.71</v>
      </c>
      <c r="M397" s="10" t="str">
        <f aca="false">VLOOKUP(J397,RECATALOGANDO!A:C,2,0)</f>
        <v>HONORARIOS QUIRURGICOS</v>
      </c>
      <c r="N397" s="12" t="str">
        <f aca="false">VLOOKUP(M397,RECATALOGANDO!B:C,2,0)</f>
        <v>VENTA DE SERVICIO</v>
      </c>
      <c r="O397" s="2" t="s">
        <v>78</v>
      </c>
    </row>
    <row r="398" customFormat="false" ht="13.8" hidden="false" customHeight="false" outlineLevel="0" collapsed="false">
      <c r="A398" s="8" t="n">
        <v>45049</v>
      </c>
      <c r="B398" s="9" t="n">
        <f aca="false">DAY(A398)</f>
        <v>3</v>
      </c>
      <c r="C398" s="9" t="n">
        <f aca="false">MONTH(A398)</f>
        <v>5</v>
      </c>
      <c r="D398" s="9" t="n">
        <f aca="false">YEAR(A398)</f>
        <v>2023</v>
      </c>
      <c r="E398" s="9" t="n">
        <f aca="false">WEEKDAY(A398,2)</f>
        <v>3</v>
      </c>
      <c r="F398" s="10" t="n">
        <f aca="false">WEEKNUM(A398,2) - WEEKNUM(DATE(YEAR(A398),MONTH(A398),1),2) + 1</f>
        <v>1</v>
      </c>
      <c r="G398" s="10"/>
      <c r="H398" s="11" t="n">
        <v>587.4</v>
      </c>
      <c r="I398" s="12" t="s">
        <v>15</v>
      </c>
      <c r="J398" s="12" t="s">
        <v>51</v>
      </c>
      <c r="K398" s="12"/>
      <c r="L398" s="9" t="n">
        <f aca="false">L397+H398</f>
        <v>7457.11</v>
      </c>
      <c r="M398" s="10" t="str">
        <f aca="false">VLOOKUP(J398,RECATALOGANDO!A:C,2,0)</f>
        <v>VENTA DE ALIMENTO</v>
      </c>
      <c r="N398" s="12" t="str">
        <f aca="false">VLOOKUP(M398,RECATALOGANDO!B:C,2,0)</f>
        <v>VENTA DE PRODUCTO</v>
      </c>
      <c r="O398" s="2" t="s">
        <v>78</v>
      </c>
    </row>
    <row r="399" customFormat="false" ht="13.8" hidden="false" customHeight="false" outlineLevel="0" collapsed="false">
      <c r="A399" s="8" t="n">
        <v>45050</v>
      </c>
      <c r="B399" s="9" t="n">
        <f aca="false">DAY(A399)</f>
        <v>4</v>
      </c>
      <c r="C399" s="9" t="n">
        <f aca="false">MONTH(A399)</f>
        <v>5</v>
      </c>
      <c r="D399" s="9" t="n">
        <f aca="false">YEAR(A399)</f>
        <v>2023</v>
      </c>
      <c r="E399" s="9" t="n">
        <f aca="false">WEEKDAY(A399,2)</f>
        <v>4</v>
      </c>
      <c r="F399" s="10" t="n">
        <f aca="false">WEEKNUM(A399,2) - WEEKNUM(DATE(YEAR(A399),MONTH(A399),1),2) + 1</f>
        <v>1</v>
      </c>
      <c r="G399" s="10"/>
      <c r="H399" s="11" t="n">
        <v>820</v>
      </c>
      <c r="I399" s="12" t="s">
        <v>20</v>
      </c>
      <c r="J399" s="12" t="s">
        <v>45</v>
      </c>
      <c r="K399" s="12"/>
      <c r="L399" s="9" t="n">
        <f aca="false">L398+H399</f>
        <v>8277.11</v>
      </c>
      <c r="M399" s="10" t="str">
        <f aca="false">VLOOKUP(J399,RECATALOGANDO!A:C,2,0)</f>
        <v>VENTA DE MEDICAMENTO</v>
      </c>
      <c r="N399" s="12" t="str">
        <f aca="false">VLOOKUP(M399,RECATALOGANDO!B:C,2,0)</f>
        <v>VENTA DE PRODUCTO</v>
      </c>
      <c r="O399" s="2" t="s">
        <v>78</v>
      </c>
    </row>
    <row r="400" customFormat="false" ht="13.8" hidden="false" customHeight="false" outlineLevel="0" collapsed="false">
      <c r="A400" s="8" t="n">
        <v>45050</v>
      </c>
      <c r="B400" s="9" t="n">
        <f aca="false">DAY(A400)</f>
        <v>4</v>
      </c>
      <c r="C400" s="9" t="n">
        <f aca="false">MONTH(A400)</f>
        <v>5</v>
      </c>
      <c r="D400" s="9" t="n">
        <f aca="false">YEAR(A400)</f>
        <v>2023</v>
      </c>
      <c r="E400" s="9" t="n">
        <f aca="false">WEEKDAY(A400,2)</f>
        <v>4</v>
      </c>
      <c r="F400" s="10" t="n">
        <f aca="false">WEEKNUM(A400,2) - WEEKNUM(DATE(YEAR(A400),MONTH(A400),1),2) + 1</f>
        <v>1</v>
      </c>
      <c r="G400" s="10"/>
      <c r="H400" s="11" t="n">
        <v>300</v>
      </c>
      <c r="I400" s="12" t="s">
        <v>20</v>
      </c>
      <c r="J400" s="12" t="s">
        <v>53</v>
      </c>
      <c r="K400" s="12"/>
      <c r="L400" s="9" t="n">
        <f aca="false">L399+H400</f>
        <v>8577.11</v>
      </c>
      <c r="M400" s="10" t="str">
        <f aca="false">VLOOKUP(J400,RECATALOGANDO!A:C,2,0)</f>
        <v>SERVICIO DE GROOMING</v>
      </c>
      <c r="N400" s="12" t="str">
        <f aca="false">VLOOKUP(M400,RECATALOGANDO!B:C,2,0)</f>
        <v>VENTA DE SERVICIO</v>
      </c>
      <c r="O400" s="2" t="s">
        <v>78</v>
      </c>
    </row>
    <row r="401" customFormat="false" ht="13.8" hidden="false" customHeight="false" outlineLevel="0" collapsed="false">
      <c r="A401" s="8" t="n">
        <v>45050</v>
      </c>
      <c r="B401" s="9" t="n">
        <f aca="false">DAY(A401)</f>
        <v>4</v>
      </c>
      <c r="C401" s="9" t="n">
        <f aca="false">MONTH(A401)</f>
        <v>5</v>
      </c>
      <c r="D401" s="9" t="n">
        <f aca="false">YEAR(A401)</f>
        <v>2023</v>
      </c>
      <c r="E401" s="9" t="n">
        <f aca="false">WEEKDAY(A401,2)</f>
        <v>4</v>
      </c>
      <c r="F401" s="10" t="n">
        <f aca="false">WEEKNUM(A401,2) - WEEKNUM(DATE(YEAR(A401),MONTH(A401),1),2) + 1</f>
        <v>1</v>
      </c>
      <c r="G401" s="10"/>
      <c r="H401" s="11" t="n">
        <v>300</v>
      </c>
      <c r="I401" s="12" t="s">
        <v>20</v>
      </c>
      <c r="J401" s="12" t="s">
        <v>53</v>
      </c>
      <c r="K401" s="12"/>
      <c r="L401" s="9" t="n">
        <f aca="false">L400+H401</f>
        <v>8877.11</v>
      </c>
      <c r="M401" s="10" t="str">
        <f aca="false">VLOOKUP(J401,RECATALOGANDO!A:C,2,0)</f>
        <v>SERVICIO DE GROOMING</v>
      </c>
      <c r="N401" s="12" t="str">
        <f aca="false">VLOOKUP(M401,RECATALOGANDO!B:C,2,0)</f>
        <v>VENTA DE SERVICIO</v>
      </c>
      <c r="O401" s="2" t="s">
        <v>78</v>
      </c>
    </row>
    <row r="402" customFormat="false" ht="13.8" hidden="false" customHeight="false" outlineLevel="0" collapsed="false">
      <c r="A402" s="8" t="n">
        <v>45050</v>
      </c>
      <c r="B402" s="9" t="n">
        <f aca="false">DAY(A402)</f>
        <v>4</v>
      </c>
      <c r="C402" s="9" t="n">
        <f aca="false">MONTH(A402)</f>
        <v>5</v>
      </c>
      <c r="D402" s="9" t="n">
        <f aca="false">YEAR(A402)</f>
        <v>2023</v>
      </c>
      <c r="E402" s="9" t="n">
        <f aca="false">WEEKDAY(A402,2)</f>
        <v>4</v>
      </c>
      <c r="F402" s="10" t="n">
        <f aca="false">WEEKNUM(A402,2) - WEEKNUM(DATE(YEAR(A402),MONTH(A402),1),2) + 1</f>
        <v>1</v>
      </c>
      <c r="G402" s="10"/>
      <c r="H402" s="11" t="n">
        <v>1045</v>
      </c>
      <c r="I402" s="12" t="s">
        <v>15</v>
      </c>
      <c r="J402" s="12" t="s">
        <v>58</v>
      </c>
      <c r="K402" s="12"/>
      <c r="L402" s="9" t="n">
        <f aca="false">L401+H402</f>
        <v>9922.11</v>
      </c>
      <c r="M402" s="10" t="str">
        <f aca="false">VLOOKUP(J402,RECATALOGANDO!A:C,2,0)</f>
        <v>SERVICIO DE LABORATORIO</v>
      </c>
      <c r="N402" s="12" t="str">
        <f aca="false">VLOOKUP(M402,RECATALOGANDO!B:C,2,0)</f>
        <v>VENTA DE SERVICIO</v>
      </c>
      <c r="O402" s="2" t="s">
        <v>78</v>
      </c>
    </row>
    <row r="403" customFormat="false" ht="13.8" hidden="false" customHeight="false" outlineLevel="0" collapsed="false">
      <c r="A403" s="8" t="n">
        <v>45051</v>
      </c>
      <c r="B403" s="9" t="n">
        <f aca="false">DAY(A403)</f>
        <v>5</v>
      </c>
      <c r="C403" s="9" t="n">
        <f aca="false">MONTH(A403)</f>
        <v>5</v>
      </c>
      <c r="D403" s="9" t="n">
        <f aca="false">YEAR(A403)</f>
        <v>2023</v>
      </c>
      <c r="E403" s="9" t="n">
        <f aca="false">WEEKDAY(A403,2)</f>
        <v>5</v>
      </c>
      <c r="F403" s="10" t="n">
        <f aca="false">WEEKNUM(A403,2) - WEEKNUM(DATE(YEAR(A403),MONTH(A403),1),2) + 1</f>
        <v>1</v>
      </c>
      <c r="G403" s="10"/>
      <c r="H403" s="11" t="n">
        <v>500</v>
      </c>
      <c r="I403" s="12" t="s">
        <v>20</v>
      </c>
      <c r="J403" s="12" t="s">
        <v>45</v>
      </c>
      <c r="K403" s="12"/>
      <c r="L403" s="9" t="n">
        <f aca="false">L402+H403</f>
        <v>10422.11</v>
      </c>
      <c r="M403" s="10" t="str">
        <f aca="false">VLOOKUP(J403,RECATALOGANDO!A:C,2,0)</f>
        <v>VENTA DE MEDICAMENTO</v>
      </c>
      <c r="N403" s="12" t="str">
        <f aca="false">VLOOKUP(M403,RECATALOGANDO!B:C,2,0)</f>
        <v>VENTA DE PRODUCTO</v>
      </c>
      <c r="O403" s="2" t="s">
        <v>78</v>
      </c>
    </row>
    <row r="404" customFormat="false" ht="13.8" hidden="false" customHeight="false" outlineLevel="0" collapsed="false">
      <c r="A404" s="8" t="n">
        <v>45051</v>
      </c>
      <c r="B404" s="9" t="n">
        <f aca="false">DAY(A404)</f>
        <v>5</v>
      </c>
      <c r="C404" s="9" t="n">
        <f aca="false">MONTH(A404)</f>
        <v>5</v>
      </c>
      <c r="D404" s="9" t="n">
        <f aca="false">YEAR(A404)</f>
        <v>2023</v>
      </c>
      <c r="E404" s="9" t="n">
        <f aca="false">WEEKDAY(A404,2)</f>
        <v>5</v>
      </c>
      <c r="F404" s="10" t="n">
        <f aca="false">WEEKNUM(A404,2) - WEEKNUM(DATE(YEAR(A404),MONTH(A404),1),2) + 1</f>
        <v>1</v>
      </c>
      <c r="G404" s="10"/>
      <c r="H404" s="11" t="n">
        <v>364</v>
      </c>
      <c r="I404" s="12" t="s">
        <v>20</v>
      </c>
      <c r="J404" s="12" t="s">
        <v>44</v>
      </c>
      <c r="K404" s="12"/>
      <c r="L404" s="9" t="n">
        <f aca="false">L403+H404</f>
        <v>10786.11</v>
      </c>
      <c r="M404" s="10" t="str">
        <f aca="false">VLOOKUP(J404,RECATALOGANDO!A:C,2,0)</f>
        <v>HONORARIOS MEDICOS</v>
      </c>
      <c r="N404" s="12" t="str">
        <f aca="false">VLOOKUP(M404,RECATALOGANDO!B:C,2,0)</f>
        <v>VENTA DE SERVICIO</v>
      </c>
      <c r="O404" s="2" t="s">
        <v>78</v>
      </c>
    </row>
    <row r="405" customFormat="false" ht="13.8" hidden="false" customHeight="false" outlineLevel="0" collapsed="false">
      <c r="A405" s="8" t="n">
        <v>45054</v>
      </c>
      <c r="B405" s="9" t="n">
        <f aca="false">DAY(A405)</f>
        <v>8</v>
      </c>
      <c r="C405" s="9" t="n">
        <f aca="false">MONTH(A405)</f>
        <v>5</v>
      </c>
      <c r="D405" s="9" t="n">
        <f aca="false">YEAR(A405)</f>
        <v>2023</v>
      </c>
      <c r="E405" s="9" t="n">
        <f aca="false">WEEKDAY(A405,2)</f>
        <v>1</v>
      </c>
      <c r="F405" s="10" t="n">
        <f aca="false">WEEKNUM(A405,2) - WEEKNUM(DATE(YEAR(A405),MONTH(A405),1),2) + 1</f>
        <v>2</v>
      </c>
      <c r="G405" s="10"/>
      <c r="H405" s="11" t="n">
        <v>230</v>
      </c>
      <c r="I405" s="12" t="s">
        <v>20</v>
      </c>
      <c r="J405" s="12" t="s">
        <v>53</v>
      </c>
      <c r="K405" s="12"/>
      <c r="L405" s="9" t="n">
        <f aca="false">L404+H405</f>
        <v>11016.11</v>
      </c>
      <c r="M405" s="10" t="str">
        <f aca="false">VLOOKUP(J405,RECATALOGANDO!A:C,2,0)</f>
        <v>SERVICIO DE GROOMING</v>
      </c>
      <c r="N405" s="12" t="str">
        <f aca="false">VLOOKUP(M405,RECATALOGANDO!B:C,2,0)</f>
        <v>VENTA DE SERVICIO</v>
      </c>
      <c r="O405" s="2" t="s">
        <v>78</v>
      </c>
    </row>
    <row r="406" customFormat="false" ht="13.8" hidden="false" customHeight="false" outlineLevel="0" collapsed="false">
      <c r="A406" s="8" t="n">
        <v>45054</v>
      </c>
      <c r="B406" s="9" t="n">
        <f aca="false">DAY(A406)</f>
        <v>8</v>
      </c>
      <c r="C406" s="9" t="n">
        <f aca="false">MONTH(A406)</f>
        <v>5</v>
      </c>
      <c r="D406" s="9" t="n">
        <f aca="false">YEAR(A406)</f>
        <v>2023</v>
      </c>
      <c r="E406" s="9" t="n">
        <f aca="false">WEEKDAY(A406,2)</f>
        <v>1</v>
      </c>
      <c r="F406" s="10" t="n">
        <f aca="false">WEEKNUM(A406,2) - WEEKNUM(DATE(YEAR(A406),MONTH(A406),1),2) + 1</f>
        <v>2</v>
      </c>
      <c r="G406" s="10"/>
      <c r="H406" s="11" t="n">
        <v>900</v>
      </c>
      <c r="I406" s="12" t="s">
        <v>20</v>
      </c>
      <c r="J406" s="12" t="s">
        <v>57</v>
      </c>
      <c r="K406" s="12"/>
      <c r="L406" s="9" t="n">
        <f aca="false">L405+H406</f>
        <v>11916.11</v>
      </c>
      <c r="M406" s="10" t="str">
        <f aca="false">VLOOKUP(J406,RECATALOGANDO!A:C,2,0)</f>
        <v>SERVICIO DE CREMACION</v>
      </c>
      <c r="N406" s="12" t="str">
        <f aca="false">VLOOKUP(M406,RECATALOGANDO!B:C,2,0)</f>
        <v>VENTA DE SERVICIO</v>
      </c>
      <c r="O406" s="2" t="s">
        <v>78</v>
      </c>
    </row>
    <row r="407" customFormat="false" ht="13.8" hidden="false" customHeight="false" outlineLevel="0" collapsed="false">
      <c r="A407" s="8" t="n">
        <v>45054</v>
      </c>
      <c r="B407" s="9" t="n">
        <f aca="false">DAY(A407)</f>
        <v>8</v>
      </c>
      <c r="C407" s="9" t="n">
        <f aca="false">MONTH(A407)</f>
        <v>5</v>
      </c>
      <c r="D407" s="9" t="n">
        <f aca="false">YEAR(A407)</f>
        <v>2023</v>
      </c>
      <c r="E407" s="9" t="n">
        <f aca="false">WEEKDAY(A407,2)</f>
        <v>1</v>
      </c>
      <c r="F407" s="10" t="n">
        <f aca="false">WEEKNUM(A407,2) - WEEKNUM(DATE(YEAR(A407),MONTH(A407),1),2) + 1</f>
        <v>2</v>
      </c>
      <c r="G407" s="10"/>
      <c r="H407" s="11" t="n">
        <v>3414</v>
      </c>
      <c r="I407" s="12" t="s">
        <v>20</v>
      </c>
      <c r="J407" s="12" t="s">
        <v>57</v>
      </c>
      <c r="K407" s="12"/>
      <c r="L407" s="9" t="n">
        <f aca="false">L406+H407</f>
        <v>15330.11</v>
      </c>
      <c r="M407" s="10" t="str">
        <f aca="false">VLOOKUP(J407,RECATALOGANDO!A:C,2,0)</f>
        <v>SERVICIO DE CREMACION</v>
      </c>
      <c r="N407" s="12" t="str">
        <f aca="false">VLOOKUP(M407,RECATALOGANDO!B:C,2,0)</f>
        <v>VENTA DE SERVICIO</v>
      </c>
      <c r="O407" s="2" t="s">
        <v>78</v>
      </c>
    </row>
    <row r="408" customFormat="false" ht="13.8" hidden="false" customHeight="false" outlineLevel="0" collapsed="false">
      <c r="A408" s="8" t="n">
        <v>45055</v>
      </c>
      <c r="B408" s="9" t="n">
        <f aca="false">DAY(A408)</f>
        <v>9</v>
      </c>
      <c r="C408" s="9" t="n">
        <f aca="false">MONTH(A408)</f>
        <v>5</v>
      </c>
      <c r="D408" s="9" t="n">
        <f aca="false">YEAR(A408)</f>
        <v>2023</v>
      </c>
      <c r="E408" s="9" t="n">
        <f aca="false">WEEKDAY(A408,2)</f>
        <v>2</v>
      </c>
      <c r="F408" s="10" t="n">
        <f aca="false">WEEKNUM(A408,2) - WEEKNUM(DATE(YEAR(A408),MONTH(A408),1),2) + 1</f>
        <v>2</v>
      </c>
      <c r="G408" s="10"/>
      <c r="H408" s="11" t="n">
        <v>2136.88</v>
      </c>
      <c r="I408" s="12" t="s">
        <v>15</v>
      </c>
      <c r="J408" s="12" t="s">
        <v>51</v>
      </c>
      <c r="K408" s="12"/>
      <c r="L408" s="9" t="n">
        <f aca="false">L407+H408</f>
        <v>17466.99</v>
      </c>
      <c r="M408" s="10" t="str">
        <f aca="false">VLOOKUP(J408,RECATALOGANDO!A:C,2,0)</f>
        <v>VENTA DE ALIMENTO</v>
      </c>
      <c r="N408" s="12" t="str">
        <f aca="false">VLOOKUP(M408,RECATALOGANDO!B:C,2,0)</f>
        <v>VENTA DE PRODUCTO</v>
      </c>
      <c r="O408" s="2" t="s">
        <v>78</v>
      </c>
    </row>
    <row r="409" customFormat="false" ht="13.8" hidden="false" customHeight="false" outlineLevel="0" collapsed="false">
      <c r="A409" s="8" t="n">
        <v>45057</v>
      </c>
      <c r="B409" s="9" t="n">
        <f aca="false">DAY(A409)</f>
        <v>11</v>
      </c>
      <c r="C409" s="9" t="n">
        <f aca="false">MONTH(A409)</f>
        <v>5</v>
      </c>
      <c r="D409" s="9" t="n">
        <f aca="false">YEAR(A409)</f>
        <v>2023</v>
      </c>
      <c r="E409" s="9" t="n">
        <f aca="false">WEEKDAY(A409,2)</f>
        <v>4</v>
      </c>
      <c r="F409" s="10" t="n">
        <f aca="false">WEEKNUM(A409,2) - WEEKNUM(DATE(YEAR(A409),MONTH(A409),1),2) + 1</f>
        <v>2</v>
      </c>
      <c r="G409" s="10"/>
      <c r="H409" s="11" t="n">
        <v>250</v>
      </c>
      <c r="I409" s="12" t="s">
        <v>15</v>
      </c>
      <c r="J409" s="12" t="s">
        <v>44</v>
      </c>
      <c r="K409" s="12"/>
      <c r="L409" s="9" t="n">
        <f aca="false">L408+H409</f>
        <v>17716.99</v>
      </c>
      <c r="M409" s="10" t="str">
        <f aca="false">VLOOKUP(J409,RECATALOGANDO!A:C,2,0)</f>
        <v>HONORARIOS MEDICOS</v>
      </c>
      <c r="N409" s="12" t="str">
        <f aca="false">VLOOKUP(M409,RECATALOGANDO!B:C,2,0)</f>
        <v>VENTA DE SERVICIO</v>
      </c>
      <c r="O409" s="2" t="s">
        <v>78</v>
      </c>
    </row>
    <row r="410" customFormat="false" ht="13.8" hidden="false" customHeight="false" outlineLevel="0" collapsed="false">
      <c r="A410" s="8" t="n">
        <v>45058</v>
      </c>
      <c r="B410" s="9" t="n">
        <f aca="false">DAY(A410)</f>
        <v>12</v>
      </c>
      <c r="C410" s="9" t="n">
        <f aca="false">MONTH(A410)</f>
        <v>5</v>
      </c>
      <c r="D410" s="9" t="n">
        <f aca="false">YEAR(A410)</f>
        <v>2023</v>
      </c>
      <c r="E410" s="9" t="n">
        <f aca="false">WEEKDAY(A410,2)</f>
        <v>5</v>
      </c>
      <c r="F410" s="10" t="n">
        <f aca="false">WEEKNUM(A410,2) - WEEKNUM(DATE(YEAR(A410),MONTH(A410),1),2) + 1</f>
        <v>2</v>
      </c>
      <c r="G410" s="10"/>
      <c r="H410" s="11" t="n">
        <v>188.95</v>
      </c>
      <c r="I410" s="12" t="s">
        <v>15</v>
      </c>
      <c r="J410" s="12" t="s">
        <v>53</v>
      </c>
      <c r="K410" s="12"/>
      <c r="L410" s="9" t="n">
        <f aca="false">L409+H410</f>
        <v>17905.94</v>
      </c>
      <c r="M410" s="10" t="str">
        <f aca="false">VLOOKUP(J410,RECATALOGANDO!A:C,2,0)</f>
        <v>SERVICIO DE GROOMING</v>
      </c>
      <c r="N410" s="12" t="str">
        <f aca="false">VLOOKUP(M410,RECATALOGANDO!B:C,2,0)</f>
        <v>VENTA DE SERVICIO</v>
      </c>
      <c r="O410" s="2" t="s">
        <v>78</v>
      </c>
    </row>
    <row r="411" customFormat="false" ht="13.8" hidden="false" customHeight="false" outlineLevel="0" collapsed="false">
      <c r="A411" s="8" t="n">
        <v>45058</v>
      </c>
      <c r="B411" s="9" t="n">
        <f aca="false">DAY(A411)</f>
        <v>12</v>
      </c>
      <c r="C411" s="9" t="n">
        <f aca="false">MONTH(A411)</f>
        <v>5</v>
      </c>
      <c r="D411" s="9" t="n">
        <f aca="false">YEAR(A411)</f>
        <v>2023</v>
      </c>
      <c r="E411" s="9" t="n">
        <f aca="false">WEEKDAY(A411,2)</f>
        <v>5</v>
      </c>
      <c r="F411" s="10" t="n">
        <f aca="false">WEEKNUM(A411,2) - WEEKNUM(DATE(YEAR(A411),MONTH(A411),1),2) + 1</f>
        <v>2</v>
      </c>
      <c r="G411" s="10"/>
      <c r="H411" s="11" t="n">
        <v>1500</v>
      </c>
      <c r="I411" s="12" t="s">
        <v>15</v>
      </c>
      <c r="J411" s="12" t="s">
        <v>56</v>
      </c>
      <c r="K411" s="12"/>
      <c r="L411" s="9" t="n">
        <f aca="false">L410+H411</f>
        <v>19405.94</v>
      </c>
      <c r="M411" s="10" t="str">
        <f aca="false">VLOOKUP(J411,RECATALOGANDO!A:C,2,0)</f>
        <v>SERVICIO DE IMAGEN</v>
      </c>
      <c r="N411" s="12" t="str">
        <f aca="false">VLOOKUP(M411,RECATALOGANDO!B:C,2,0)</f>
        <v>VENTA DE SERVICIO</v>
      </c>
      <c r="O411" s="2" t="s">
        <v>78</v>
      </c>
    </row>
    <row r="412" customFormat="false" ht="13.8" hidden="false" customHeight="false" outlineLevel="0" collapsed="false">
      <c r="A412" s="8" t="n">
        <v>45060</v>
      </c>
      <c r="B412" s="9" t="n">
        <f aca="false">DAY(A412)</f>
        <v>14</v>
      </c>
      <c r="C412" s="9" t="n">
        <f aca="false">MONTH(A412)</f>
        <v>5</v>
      </c>
      <c r="D412" s="9" t="n">
        <f aca="false">YEAR(A412)</f>
        <v>2023</v>
      </c>
      <c r="E412" s="9" t="n">
        <f aca="false">WEEKDAY(A412,2)</f>
        <v>7</v>
      </c>
      <c r="F412" s="10" t="n">
        <f aca="false">WEEKNUM(A412,2) - WEEKNUM(DATE(YEAR(A412),MONTH(A412),1),2) + 1</f>
        <v>2</v>
      </c>
      <c r="G412" s="10"/>
      <c r="H412" s="11" t="n">
        <v>2000</v>
      </c>
      <c r="I412" s="12" t="s">
        <v>15</v>
      </c>
      <c r="J412" s="12" t="s">
        <v>44</v>
      </c>
      <c r="K412" s="12"/>
      <c r="L412" s="9" t="n">
        <f aca="false">L411+H412</f>
        <v>21405.94</v>
      </c>
      <c r="M412" s="10" t="str">
        <f aca="false">VLOOKUP(J412,RECATALOGANDO!A:C,2,0)</f>
        <v>HONORARIOS MEDICOS</v>
      </c>
      <c r="N412" s="12" t="str">
        <f aca="false">VLOOKUP(M412,RECATALOGANDO!B:C,2,0)</f>
        <v>VENTA DE SERVICIO</v>
      </c>
      <c r="O412" s="2" t="s">
        <v>78</v>
      </c>
    </row>
    <row r="413" customFormat="false" ht="13.8" hidden="false" customHeight="false" outlineLevel="0" collapsed="false">
      <c r="A413" s="8" t="n">
        <v>45062</v>
      </c>
      <c r="B413" s="9" t="n">
        <f aca="false">DAY(A413)</f>
        <v>16</v>
      </c>
      <c r="C413" s="9" t="n">
        <f aca="false">MONTH(A413)</f>
        <v>5</v>
      </c>
      <c r="D413" s="9" t="n">
        <f aca="false">YEAR(A413)</f>
        <v>2023</v>
      </c>
      <c r="E413" s="9" t="n">
        <f aca="false">WEEKDAY(A413,2)</f>
        <v>2</v>
      </c>
      <c r="F413" s="10" t="n">
        <f aca="false">WEEKNUM(A413,2) - WEEKNUM(DATE(YEAR(A413),MONTH(A413),1),2) + 1</f>
        <v>3</v>
      </c>
      <c r="G413" s="10"/>
      <c r="H413" s="11" t="n">
        <v>763.72</v>
      </c>
      <c r="I413" s="12" t="s">
        <v>15</v>
      </c>
      <c r="J413" s="12" t="s">
        <v>54</v>
      </c>
      <c r="K413" s="12"/>
      <c r="L413" s="9" t="n">
        <f aca="false">L412+H413</f>
        <v>22169.66</v>
      </c>
      <c r="M413" s="10" t="str">
        <f aca="false">VLOOKUP(J413,RECATALOGANDO!A:C,2,0)</f>
        <v>SERVICIO DE LABORATORIO</v>
      </c>
      <c r="N413" s="12" t="str">
        <f aca="false">VLOOKUP(M413,RECATALOGANDO!B:C,2,0)</f>
        <v>VENTA DE SERVICIO</v>
      </c>
      <c r="O413" s="2" t="s">
        <v>78</v>
      </c>
    </row>
    <row r="414" customFormat="false" ht="13.8" hidden="false" customHeight="false" outlineLevel="0" collapsed="false">
      <c r="A414" s="8" t="n">
        <v>45062</v>
      </c>
      <c r="B414" s="9" t="n">
        <f aca="false">DAY(A414)</f>
        <v>16</v>
      </c>
      <c r="C414" s="9" t="n">
        <f aca="false">MONTH(A414)</f>
        <v>5</v>
      </c>
      <c r="D414" s="9" t="n">
        <f aca="false">YEAR(A414)</f>
        <v>2023</v>
      </c>
      <c r="E414" s="9" t="n">
        <f aca="false">WEEKDAY(A414,2)</f>
        <v>2</v>
      </c>
      <c r="F414" s="10" t="n">
        <f aca="false">WEEKNUM(A414,2) - WEEKNUM(DATE(YEAR(A414),MONTH(A414),1),2) + 1</f>
        <v>3</v>
      </c>
      <c r="G414" s="10"/>
      <c r="H414" s="11" t="n">
        <v>814</v>
      </c>
      <c r="I414" s="12" t="s">
        <v>20</v>
      </c>
      <c r="J414" s="12" t="s">
        <v>44</v>
      </c>
      <c r="K414" s="12"/>
      <c r="L414" s="9" t="n">
        <f aca="false">L413+H414</f>
        <v>22983.66</v>
      </c>
      <c r="M414" s="10" t="str">
        <f aca="false">VLOOKUP(J414,RECATALOGANDO!A:C,2,0)</f>
        <v>HONORARIOS MEDICOS</v>
      </c>
      <c r="N414" s="12" t="str">
        <f aca="false">VLOOKUP(M414,RECATALOGANDO!B:C,2,0)</f>
        <v>VENTA DE SERVICIO</v>
      </c>
      <c r="O414" s="2" t="s">
        <v>78</v>
      </c>
    </row>
    <row r="415" customFormat="false" ht="13.8" hidden="false" customHeight="false" outlineLevel="0" collapsed="false">
      <c r="A415" s="8" t="n">
        <v>45063</v>
      </c>
      <c r="B415" s="9" t="n">
        <f aca="false">DAY(A415)</f>
        <v>17</v>
      </c>
      <c r="C415" s="9" t="n">
        <f aca="false">MONTH(A415)</f>
        <v>5</v>
      </c>
      <c r="D415" s="9" t="n">
        <f aca="false">YEAR(A415)</f>
        <v>2023</v>
      </c>
      <c r="E415" s="9" t="n">
        <f aca="false">WEEKDAY(A415,2)</f>
        <v>3</v>
      </c>
      <c r="F415" s="10" t="n">
        <f aca="false">WEEKNUM(A415,2) - WEEKNUM(DATE(YEAR(A415),MONTH(A415),1),2) + 1</f>
        <v>3</v>
      </c>
      <c r="G415" s="10"/>
      <c r="H415" s="11" t="n">
        <v>320</v>
      </c>
      <c r="I415" s="12" t="s">
        <v>15</v>
      </c>
      <c r="J415" s="12" t="s">
        <v>49</v>
      </c>
      <c r="K415" s="12"/>
      <c r="L415" s="9" t="n">
        <f aca="false">L414+H415</f>
        <v>23303.66</v>
      </c>
      <c r="M415" s="10" t="str">
        <f aca="false">VLOOKUP(J415,RECATALOGANDO!A:C,2,0)</f>
        <v>SERVICIO DE GROOMING</v>
      </c>
      <c r="N415" s="12" t="str">
        <f aca="false">VLOOKUP(M415,RECATALOGANDO!B:C,2,0)</f>
        <v>VENTA DE SERVICIO</v>
      </c>
      <c r="O415" s="2" t="s">
        <v>78</v>
      </c>
    </row>
    <row r="416" customFormat="false" ht="13.8" hidden="false" customHeight="false" outlineLevel="0" collapsed="false">
      <c r="A416" s="8" t="n">
        <v>45063</v>
      </c>
      <c r="B416" s="9" t="n">
        <f aca="false">DAY(A416)</f>
        <v>17</v>
      </c>
      <c r="C416" s="9" t="n">
        <f aca="false">MONTH(A416)</f>
        <v>5</v>
      </c>
      <c r="D416" s="9" t="n">
        <f aca="false">YEAR(A416)</f>
        <v>2023</v>
      </c>
      <c r="E416" s="9" t="n">
        <f aca="false">WEEKDAY(A416,2)</f>
        <v>3</v>
      </c>
      <c r="F416" s="10" t="n">
        <f aca="false">WEEKNUM(A416,2) - WEEKNUM(DATE(YEAR(A416),MONTH(A416),1),2) + 1</f>
        <v>3</v>
      </c>
      <c r="G416" s="10"/>
      <c r="H416" s="11" t="n">
        <v>2827.76</v>
      </c>
      <c r="I416" s="12" t="s">
        <v>15</v>
      </c>
      <c r="J416" s="12" t="s">
        <v>41</v>
      </c>
      <c r="K416" s="12"/>
      <c r="L416" s="9" t="n">
        <f aca="false">L415+H416</f>
        <v>26131.42</v>
      </c>
      <c r="M416" s="10" t="str">
        <f aca="false">VLOOKUP(J416,RECATALOGANDO!A:C,2,0)</f>
        <v>HONORARIOS QUIRURGICOS</v>
      </c>
      <c r="N416" s="12" t="str">
        <f aca="false">VLOOKUP(M416,RECATALOGANDO!B:C,2,0)</f>
        <v>VENTA DE SERVICIO</v>
      </c>
      <c r="O416" s="2" t="s">
        <v>78</v>
      </c>
    </row>
    <row r="417" customFormat="false" ht="13.8" hidden="false" customHeight="false" outlineLevel="0" collapsed="false">
      <c r="A417" s="8" t="n">
        <v>45064</v>
      </c>
      <c r="B417" s="9" t="n">
        <f aca="false">DAY(A417)</f>
        <v>18</v>
      </c>
      <c r="C417" s="9" t="n">
        <f aca="false">MONTH(A417)</f>
        <v>5</v>
      </c>
      <c r="D417" s="9" t="n">
        <f aca="false">YEAR(A417)</f>
        <v>2023</v>
      </c>
      <c r="E417" s="9" t="n">
        <f aca="false">WEEKDAY(A417,2)</f>
        <v>4</v>
      </c>
      <c r="F417" s="10" t="n">
        <f aca="false">WEEKNUM(A417,2) - WEEKNUM(DATE(YEAR(A417),MONTH(A417),1),2) + 1</f>
        <v>3</v>
      </c>
      <c r="G417" s="10"/>
      <c r="H417" s="11" t="n">
        <v>50</v>
      </c>
      <c r="I417" s="12" t="s">
        <v>20</v>
      </c>
      <c r="J417" s="12" t="s">
        <v>45</v>
      </c>
      <c r="K417" s="12"/>
      <c r="L417" s="9" t="n">
        <f aca="false">L416+H417</f>
        <v>26181.42</v>
      </c>
      <c r="M417" s="10" t="str">
        <f aca="false">VLOOKUP(J417,RECATALOGANDO!A:C,2,0)</f>
        <v>VENTA DE MEDICAMENTO</v>
      </c>
      <c r="N417" s="12" t="str">
        <f aca="false">VLOOKUP(M417,RECATALOGANDO!B:C,2,0)</f>
        <v>VENTA DE PRODUCTO</v>
      </c>
      <c r="O417" s="2" t="s">
        <v>78</v>
      </c>
    </row>
    <row r="418" customFormat="false" ht="13.8" hidden="false" customHeight="false" outlineLevel="0" collapsed="false">
      <c r="A418" s="8" t="n">
        <v>45064</v>
      </c>
      <c r="B418" s="9" t="n">
        <f aca="false">DAY(A418)</f>
        <v>18</v>
      </c>
      <c r="C418" s="9" t="n">
        <f aca="false">MONTH(A418)</f>
        <v>5</v>
      </c>
      <c r="D418" s="9" t="n">
        <f aca="false">YEAR(A418)</f>
        <v>2023</v>
      </c>
      <c r="E418" s="9" t="n">
        <f aca="false">WEEKDAY(A418,2)</f>
        <v>4</v>
      </c>
      <c r="F418" s="10" t="n">
        <f aca="false">WEEKNUM(A418,2) - WEEKNUM(DATE(YEAR(A418),MONTH(A418),1),2) + 1</f>
        <v>3</v>
      </c>
      <c r="G418" s="10"/>
      <c r="H418" s="11" t="n">
        <v>200</v>
      </c>
      <c r="I418" s="12" t="s">
        <v>20</v>
      </c>
      <c r="J418" s="12" t="s">
        <v>53</v>
      </c>
      <c r="K418" s="12"/>
      <c r="L418" s="9" t="n">
        <f aca="false">L417+H418</f>
        <v>26381.42</v>
      </c>
      <c r="M418" s="10" t="str">
        <f aca="false">VLOOKUP(J418,RECATALOGANDO!A:C,2,0)</f>
        <v>SERVICIO DE GROOMING</v>
      </c>
      <c r="N418" s="12" t="str">
        <f aca="false">VLOOKUP(M418,RECATALOGANDO!B:C,2,0)</f>
        <v>VENTA DE SERVICIO</v>
      </c>
      <c r="O418" s="2" t="s">
        <v>78</v>
      </c>
    </row>
    <row r="419" customFormat="false" ht="13.8" hidden="false" customHeight="false" outlineLevel="0" collapsed="false">
      <c r="A419" s="8" t="n">
        <v>45064</v>
      </c>
      <c r="B419" s="9" t="n">
        <f aca="false">DAY(A419)</f>
        <v>18</v>
      </c>
      <c r="C419" s="9" t="n">
        <f aca="false">MONTH(A419)</f>
        <v>5</v>
      </c>
      <c r="D419" s="9" t="n">
        <f aca="false">YEAR(A419)</f>
        <v>2023</v>
      </c>
      <c r="E419" s="9" t="n">
        <f aca="false">WEEKDAY(A419,2)</f>
        <v>4</v>
      </c>
      <c r="F419" s="10" t="n">
        <f aca="false">WEEKNUM(A419,2) - WEEKNUM(DATE(YEAR(A419),MONTH(A419),1),2) + 1</f>
        <v>3</v>
      </c>
      <c r="G419" s="10"/>
      <c r="H419" s="11" t="n">
        <v>498.28</v>
      </c>
      <c r="I419" s="12" t="s">
        <v>15</v>
      </c>
      <c r="J419" s="12" t="s">
        <v>44</v>
      </c>
      <c r="K419" s="12"/>
      <c r="L419" s="9" t="n">
        <f aca="false">L418+H419</f>
        <v>26879.7</v>
      </c>
      <c r="M419" s="10" t="str">
        <f aca="false">VLOOKUP(J419,RECATALOGANDO!A:C,2,0)</f>
        <v>HONORARIOS MEDICOS</v>
      </c>
      <c r="N419" s="12" t="str">
        <f aca="false">VLOOKUP(M419,RECATALOGANDO!B:C,2,0)</f>
        <v>VENTA DE SERVICIO</v>
      </c>
      <c r="O419" s="2" t="s">
        <v>78</v>
      </c>
    </row>
    <row r="420" customFormat="false" ht="13.8" hidden="false" customHeight="false" outlineLevel="0" collapsed="false">
      <c r="A420" s="8" t="n">
        <v>45065</v>
      </c>
      <c r="B420" s="9" t="n">
        <f aca="false">DAY(A420)</f>
        <v>19</v>
      </c>
      <c r="C420" s="9" t="n">
        <f aca="false">MONTH(A420)</f>
        <v>5</v>
      </c>
      <c r="D420" s="9" t="n">
        <f aca="false">YEAR(A420)</f>
        <v>2023</v>
      </c>
      <c r="E420" s="9" t="n">
        <f aca="false">WEEKDAY(A420,2)</f>
        <v>5</v>
      </c>
      <c r="F420" s="10" t="n">
        <f aca="false">WEEKNUM(A420,2) - WEEKNUM(DATE(YEAR(A420),MONTH(A420),1),2) + 1</f>
        <v>3</v>
      </c>
      <c r="G420" s="10"/>
      <c r="H420" s="11" t="n">
        <v>500</v>
      </c>
      <c r="I420" s="12" t="s">
        <v>20</v>
      </c>
      <c r="J420" s="12" t="s">
        <v>59</v>
      </c>
      <c r="K420" s="12"/>
      <c r="L420" s="9" t="n">
        <f aca="false">L419+H420</f>
        <v>27379.7</v>
      </c>
      <c r="M420" s="10" t="str">
        <f aca="false">VLOOKUP(J420,RECATALOGANDO!A:C,2,0)</f>
        <v>SERVICIO DE PENSION</v>
      </c>
      <c r="N420" s="12" t="str">
        <f aca="false">VLOOKUP(M420,RECATALOGANDO!B:C,2,0)</f>
        <v>VENTA DE SERVICIO</v>
      </c>
      <c r="O420" s="2" t="s">
        <v>78</v>
      </c>
    </row>
    <row r="421" customFormat="false" ht="13.8" hidden="false" customHeight="false" outlineLevel="0" collapsed="false">
      <c r="A421" s="8" t="n">
        <v>45065</v>
      </c>
      <c r="B421" s="9" t="n">
        <f aca="false">DAY(A421)</f>
        <v>19</v>
      </c>
      <c r="C421" s="9" t="n">
        <f aca="false">MONTH(A421)</f>
        <v>5</v>
      </c>
      <c r="D421" s="9" t="n">
        <f aca="false">YEAR(A421)</f>
        <v>2023</v>
      </c>
      <c r="E421" s="9" t="n">
        <f aca="false">WEEKDAY(A421,2)</f>
        <v>5</v>
      </c>
      <c r="F421" s="10" t="n">
        <f aca="false">WEEKNUM(A421,2) - WEEKNUM(DATE(YEAR(A421),MONTH(A421),1),2) + 1</f>
        <v>3</v>
      </c>
      <c r="G421" s="10"/>
      <c r="H421" s="11" t="n">
        <v>720</v>
      </c>
      <c r="I421" s="12" t="s">
        <v>20</v>
      </c>
      <c r="J421" s="12" t="s">
        <v>44</v>
      </c>
      <c r="K421" s="12"/>
      <c r="L421" s="9" t="n">
        <f aca="false">L420+H421</f>
        <v>28099.7</v>
      </c>
      <c r="M421" s="10" t="str">
        <f aca="false">VLOOKUP(J421,RECATALOGANDO!A:C,2,0)</f>
        <v>HONORARIOS MEDICOS</v>
      </c>
      <c r="N421" s="12" t="str">
        <f aca="false">VLOOKUP(M421,RECATALOGANDO!B:C,2,0)</f>
        <v>VENTA DE SERVICIO</v>
      </c>
      <c r="O421" s="2" t="s">
        <v>78</v>
      </c>
    </row>
    <row r="422" customFormat="false" ht="13.8" hidden="false" customHeight="false" outlineLevel="0" collapsed="false">
      <c r="A422" s="8" t="n">
        <v>45065</v>
      </c>
      <c r="B422" s="9" t="n">
        <f aca="false">DAY(A422)</f>
        <v>19</v>
      </c>
      <c r="C422" s="9" t="n">
        <f aca="false">MONTH(A422)</f>
        <v>5</v>
      </c>
      <c r="D422" s="9" t="n">
        <f aca="false">YEAR(A422)</f>
        <v>2023</v>
      </c>
      <c r="E422" s="9" t="n">
        <f aca="false">WEEKDAY(A422,2)</f>
        <v>5</v>
      </c>
      <c r="F422" s="10" t="n">
        <f aca="false">WEEKNUM(A422,2) - WEEKNUM(DATE(YEAR(A422),MONTH(A422),1),2) + 1</f>
        <v>3</v>
      </c>
      <c r="G422" s="10"/>
      <c r="H422" s="11" t="n">
        <v>1920</v>
      </c>
      <c r="I422" s="12" t="s">
        <v>20</v>
      </c>
      <c r="J422" s="12" t="s">
        <v>54</v>
      </c>
      <c r="K422" s="12"/>
      <c r="L422" s="9" t="n">
        <f aca="false">L421+H422</f>
        <v>30019.7</v>
      </c>
      <c r="M422" s="10" t="str">
        <f aca="false">VLOOKUP(J422,RECATALOGANDO!A:C,2,0)</f>
        <v>SERVICIO DE LABORATORIO</v>
      </c>
      <c r="N422" s="12" t="str">
        <f aca="false">VLOOKUP(M422,RECATALOGANDO!B:C,2,0)</f>
        <v>VENTA DE SERVICIO</v>
      </c>
      <c r="O422" s="2" t="s">
        <v>78</v>
      </c>
    </row>
    <row r="423" customFormat="false" ht="13.8" hidden="false" customHeight="false" outlineLevel="0" collapsed="false">
      <c r="A423" s="8" t="n">
        <v>45065</v>
      </c>
      <c r="B423" s="9" t="n">
        <f aca="false">DAY(A423)</f>
        <v>19</v>
      </c>
      <c r="C423" s="9" t="n">
        <f aca="false">MONTH(A423)</f>
        <v>5</v>
      </c>
      <c r="D423" s="9" t="n">
        <f aca="false">YEAR(A423)</f>
        <v>2023</v>
      </c>
      <c r="E423" s="9" t="n">
        <f aca="false">WEEKDAY(A423,2)</f>
        <v>5</v>
      </c>
      <c r="F423" s="10" t="n">
        <f aca="false">WEEKNUM(A423,2) - WEEKNUM(DATE(YEAR(A423),MONTH(A423),1),2) + 1</f>
        <v>3</v>
      </c>
      <c r="G423" s="10"/>
      <c r="H423" s="11" t="n">
        <v>3000</v>
      </c>
      <c r="I423" s="12" t="s">
        <v>15</v>
      </c>
      <c r="J423" s="12" t="s">
        <v>57</v>
      </c>
      <c r="K423" s="12"/>
      <c r="L423" s="9" t="n">
        <f aca="false">L422+H423</f>
        <v>33019.7</v>
      </c>
      <c r="M423" s="10" t="str">
        <f aca="false">VLOOKUP(J423,RECATALOGANDO!A:C,2,0)</f>
        <v>SERVICIO DE CREMACION</v>
      </c>
      <c r="N423" s="12" t="str">
        <f aca="false">VLOOKUP(M423,RECATALOGANDO!B:C,2,0)</f>
        <v>VENTA DE SERVICIO</v>
      </c>
      <c r="O423" s="2" t="s">
        <v>78</v>
      </c>
    </row>
    <row r="424" customFormat="false" ht="13.8" hidden="false" customHeight="false" outlineLevel="0" collapsed="false">
      <c r="A424" s="8" t="n">
        <v>45066</v>
      </c>
      <c r="B424" s="9" t="n">
        <f aca="false">DAY(A424)</f>
        <v>20</v>
      </c>
      <c r="C424" s="9" t="n">
        <f aca="false">MONTH(A424)</f>
        <v>5</v>
      </c>
      <c r="D424" s="9" t="n">
        <f aca="false">YEAR(A424)</f>
        <v>2023</v>
      </c>
      <c r="E424" s="9" t="n">
        <f aca="false">WEEKDAY(A424,2)</f>
        <v>6</v>
      </c>
      <c r="F424" s="10" t="n">
        <f aca="false">WEEKNUM(A424,2) - WEEKNUM(DATE(YEAR(A424),MONTH(A424),1),2) + 1</f>
        <v>3</v>
      </c>
      <c r="G424" s="10"/>
      <c r="H424" s="11" t="n">
        <v>2000</v>
      </c>
      <c r="I424" s="12" t="s">
        <v>15</v>
      </c>
      <c r="J424" s="12" t="s">
        <v>51</v>
      </c>
      <c r="K424" s="12"/>
      <c r="L424" s="9" t="n">
        <f aca="false">L423+H424</f>
        <v>35019.7</v>
      </c>
      <c r="M424" s="10" t="str">
        <f aca="false">VLOOKUP(J424,RECATALOGANDO!A:C,2,0)</f>
        <v>VENTA DE ALIMENTO</v>
      </c>
      <c r="N424" s="12" t="str">
        <f aca="false">VLOOKUP(M424,RECATALOGANDO!B:C,2,0)</f>
        <v>VENTA DE PRODUCTO</v>
      </c>
      <c r="O424" s="2" t="s">
        <v>78</v>
      </c>
    </row>
    <row r="425" customFormat="false" ht="13.8" hidden="false" customHeight="false" outlineLevel="0" collapsed="false">
      <c r="A425" s="8" t="n">
        <v>45066</v>
      </c>
      <c r="B425" s="9" t="n">
        <f aca="false">DAY(A425)</f>
        <v>20</v>
      </c>
      <c r="C425" s="9" t="n">
        <f aca="false">MONTH(A425)</f>
        <v>5</v>
      </c>
      <c r="D425" s="9" t="n">
        <f aca="false">YEAR(A425)</f>
        <v>2023</v>
      </c>
      <c r="E425" s="9" t="n">
        <f aca="false">WEEKDAY(A425,2)</f>
        <v>6</v>
      </c>
      <c r="F425" s="10" t="n">
        <f aca="false">WEEKNUM(A425,2) - WEEKNUM(DATE(YEAR(A425),MONTH(A425),1),2) + 1</f>
        <v>3</v>
      </c>
      <c r="G425" s="10"/>
      <c r="H425" s="11" t="n">
        <v>1265</v>
      </c>
      <c r="I425" s="12" t="s">
        <v>15</v>
      </c>
      <c r="J425" s="12" t="s">
        <v>59</v>
      </c>
      <c r="K425" s="12"/>
      <c r="L425" s="9" t="n">
        <f aca="false">L424+H425</f>
        <v>36284.7</v>
      </c>
      <c r="M425" s="10" t="str">
        <f aca="false">VLOOKUP(J425,RECATALOGANDO!A:C,2,0)</f>
        <v>SERVICIO DE PENSION</v>
      </c>
      <c r="N425" s="12" t="str">
        <f aca="false">VLOOKUP(M425,RECATALOGANDO!B:C,2,0)</f>
        <v>VENTA DE SERVICIO</v>
      </c>
      <c r="O425" s="2" t="s">
        <v>78</v>
      </c>
    </row>
    <row r="426" customFormat="false" ht="13.8" hidden="false" customHeight="false" outlineLevel="0" collapsed="false">
      <c r="A426" s="8" t="n">
        <v>45067</v>
      </c>
      <c r="B426" s="9" t="n">
        <f aca="false">DAY(A426)</f>
        <v>21</v>
      </c>
      <c r="C426" s="9" t="n">
        <f aca="false">MONTH(A426)</f>
        <v>5</v>
      </c>
      <c r="D426" s="9" t="n">
        <f aca="false">YEAR(A426)</f>
        <v>2023</v>
      </c>
      <c r="E426" s="9" t="n">
        <f aca="false">WEEKDAY(A426,2)</f>
        <v>7</v>
      </c>
      <c r="F426" s="10" t="n">
        <f aca="false">WEEKNUM(A426,2) - WEEKNUM(DATE(YEAR(A426),MONTH(A426),1),2) + 1</f>
        <v>3</v>
      </c>
      <c r="G426" s="10"/>
      <c r="H426" s="11" t="n">
        <v>436</v>
      </c>
      <c r="I426" s="12" t="s">
        <v>15</v>
      </c>
      <c r="J426" s="12" t="s">
        <v>51</v>
      </c>
      <c r="K426" s="12"/>
      <c r="L426" s="9" t="n">
        <f aca="false">L425+H426</f>
        <v>36720.7</v>
      </c>
      <c r="M426" s="10" t="str">
        <f aca="false">VLOOKUP(J426,RECATALOGANDO!A:C,2,0)</f>
        <v>VENTA DE ALIMENTO</v>
      </c>
      <c r="N426" s="12" t="str">
        <f aca="false">VLOOKUP(M426,RECATALOGANDO!B:C,2,0)</f>
        <v>VENTA DE PRODUCTO</v>
      </c>
      <c r="O426" s="2" t="s">
        <v>78</v>
      </c>
    </row>
    <row r="427" customFormat="false" ht="13.8" hidden="false" customHeight="false" outlineLevel="0" collapsed="false">
      <c r="A427" s="8" t="n">
        <v>45068</v>
      </c>
      <c r="B427" s="9" t="n">
        <f aca="false">DAY(A427)</f>
        <v>22</v>
      </c>
      <c r="C427" s="9" t="n">
        <f aca="false">MONTH(A427)</f>
        <v>5</v>
      </c>
      <c r="D427" s="9" t="n">
        <f aca="false">YEAR(A427)</f>
        <v>2023</v>
      </c>
      <c r="E427" s="9" t="n">
        <f aca="false">WEEKDAY(A427,2)</f>
        <v>1</v>
      </c>
      <c r="F427" s="10" t="n">
        <f aca="false">WEEKNUM(A427,2) - WEEKNUM(DATE(YEAR(A427),MONTH(A427),1),2) + 1</f>
        <v>4</v>
      </c>
      <c r="G427" s="10"/>
      <c r="H427" s="11" t="n">
        <v>916</v>
      </c>
      <c r="I427" s="12" t="s">
        <v>20</v>
      </c>
      <c r="J427" s="12" t="s">
        <v>59</v>
      </c>
      <c r="K427" s="12"/>
      <c r="L427" s="9" t="n">
        <f aca="false">L426+H427</f>
        <v>37636.7</v>
      </c>
      <c r="M427" s="10" t="str">
        <f aca="false">VLOOKUP(J427,RECATALOGANDO!A:C,2,0)</f>
        <v>SERVICIO DE PENSION</v>
      </c>
      <c r="N427" s="12" t="str">
        <f aca="false">VLOOKUP(M427,RECATALOGANDO!B:C,2,0)</f>
        <v>VENTA DE SERVICIO</v>
      </c>
      <c r="O427" s="2" t="s">
        <v>78</v>
      </c>
    </row>
    <row r="428" customFormat="false" ht="13.8" hidden="false" customHeight="false" outlineLevel="0" collapsed="false">
      <c r="A428" s="8" t="n">
        <v>45069</v>
      </c>
      <c r="B428" s="9" t="n">
        <f aca="false">DAY(A428)</f>
        <v>23</v>
      </c>
      <c r="C428" s="9" t="n">
        <f aca="false">MONTH(A428)</f>
        <v>5</v>
      </c>
      <c r="D428" s="9" t="n">
        <f aca="false">YEAR(A428)</f>
        <v>2023</v>
      </c>
      <c r="E428" s="9" t="n">
        <f aca="false">WEEKDAY(A428,2)</f>
        <v>2</v>
      </c>
      <c r="F428" s="10" t="n">
        <f aca="false">WEEKNUM(A428,2) - WEEKNUM(DATE(YEAR(A428),MONTH(A428),1),2) + 1</f>
        <v>4</v>
      </c>
      <c r="G428" s="10"/>
      <c r="H428" s="11" t="n">
        <v>842</v>
      </c>
      <c r="I428" s="12" t="s">
        <v>15</v>
      </c>
      <c r="J428" s="12" t="s">
        <v>45</v>
      </c>
      <c r="K428" s="12"/>
      <c r="L428" s="9" t="n">
        <f aca="false">L427+H428</f>
        <v>38478.7</v>
      </c>
      <c r="M428" s="10" t="str">
        <f aca="false">VLOOKUP(J428,RECATALOGANDO!A:C,2,0)</f>
        <v>VENTA DE MEDICAMENTO</v>
      </c>
      <c r="N428" s="12" t="str">
        <f aca="false">VLOOKUP(M428,RECATALOGANDO!B:C,2,0)</f>
        <v>VENTA DE PRODUCTO</v>
      </c>
      <c r="O428" s="2" t="s">
        <v>78</v>
      </c>
    </row>
    <row r="429" customFormat="false" ht="13.8" hidden="false" customHeight="false" outlineLevel="0" collapsed="false">
      <c r="A429" s="8" t="n">
        <v>45069</v>
      </c>
      <c r="B429" s="9" t="n">
        <f aca="false">DAY(A429)</f>
        <v>23</v>
      </c>
      <c r="C429" s="9" t="n">
        <f aca="false">MONTH(A429)</f>
        <v>5</v>
      </c>
      <c r="D429" s="9" t="n">
        <f aca="false">YEAR(A429)</f>
        <v>2023</v>
      </c>
      <c r="E429" s="9" t="n">
        <f aca="false">WEEKDAY(A429,2)</f>
        <v>2</v>
      </c>
      <c r="F429" s="10" t="n">
        <f aca="false">WEEKNUM(A429,2) - WEEKNUM(DATE(YEAR(A429),MONTH(A429),1),2) + 1</f>
        <v>4</v>
      </c>
      <c r="G429" s="10"/>
      <c r="H429" s="11" t="n">
        <v>823.13</v>
      </c>
      <c r="I429" s="12" t="s">
        <v>15</v>
      </c>
      <c r="J429" s="12" t="s">
        <v>54</v>
      </c>
      <c r="K429" s="12"/>
      <c r="L429" s="9" t="n">
        <f aca="false">L428+H429</f>
        <v>39301.83</v>
      </c>
      <c r="M429" s="10" t="str">
        <f aca="false">VLOOKUP(J429,RECATALOGANDO!A:C,2,0)</f>
        <v>SERVICIO DE LABORATORIO</v>
      </c>
      <c r="N429" s="12" t="str">
        <f aca="false">VLOOKUP(M429,RECATALOGANDO!B:C,2,0)</f>
        <v>VENTA DE SERVICIO</v>
      </c>
      <c r="O429" s="2" t="s">
        <v>78</v>
      </c>
    </row>
    <row r="430" customFormat="false" ht="13.8" hidden="false" customHeight="false" outlineLevel="0" collapsed="false">
      <c r="A430" s="8" t="n">
        <v>45070</v>
      </c>
      <c r="B430" s="9" t="n">
        <f aca="false">DAY(A430)</f>
        <v>24</v>
      </c>
      <c r="C430" s="9" t="n">
        <f aca="false">MONTH(A430)</f>
        <v>5</v>
      </c>
      <c r="D430" s="9" t="n">
        <f aca="false">YEAR(A430)</f>
        <v>2023</v>
      </c>
      <c r="E430" s="9" t="n">
        <f aca="false">WEEKDAY(A430,2)</f>
        <v>3</v>
      </c>
      <c r="F430" s="10" t="n">
        <f aca="false">WEEKNUM(A430,2) - WEEKNUM(DATE(YEAR(A430),MONTH(A430),1),2) + 1</f>
        <v>4</v>
      </c>
      <c r="G430" s="10"/>
      <c r="H430" s="11" t="n">
        <v>710</v>
      </c>
      <c r="I430" s="12" t="s">
        <v>20</v>
      </c>
      <c r="J430" s="12" t="s">
        <v>44</v>
      </c>
      <c r="K430" s="12"/>
      <c r="L430" s="9" t="n">
        <f aca="false">L429+H430</f>
        <v>40011.83</v>
      </c>
      <c r="M430" s="10" t="str">
        <f aca="false">VLOOKUP(J430,RECATALOGANDO!A:C,2,0)</f>
        <v>HONORARIOS MEDICOS</v>
      </c>
      <c r="N430" s="12" t="str">
        <f aca="false">VLOOKUP(M430,RECATALOGANDO!B:C,2,0)</f>
        <v>VENTA DE SERVICIO</v>
      </c>
      <c r="O430" s="2" t="s">
        <v>78</v>
      </c>
    </row>
    <row r="431" customFormat="false" ht="13.8" hidden="false" customHeight="false" outlineLevel="0" collapsed="false">
      <c r="A431" s="8" t="n">
        <v>45071</v>
      </c>
      <c r="B431" s="9" t="n">
        <f aca="false">DAY(A431)</f>
        <v>25</v>
      </c>
      <c r="C431" s="9" t="n">
        <f aca="false">MONTH(A431)</f>
        <v>5</v>
      </c>
      <c r="D431" s="9" t="n">
        <f aca="false">YEAR(A431)</f>
        <v>2023</v>
      </c>
      <c r="E431" s="9" t="n">
        <f aca="false">WEEKDAY(A431,2)</f>
        <v>4</v>
      </c>
      <c r="F431" s="10" t="n">
        <f aca="false">WEEKNUM(A431,2) - WEEKNUM(DATE(YEAR(A431),MONTH(A431),1),2) + 1</f>
        <v>4</v>
      </c>
      <c r="G431" s="10"/>
      <c r="H431" s="11" t="n">
        <v>280</v>
      </c>
      <c r="I431" s="12" t="s">
        <v>20</v>
      </c>
      <c r="J431" s="12" t="s">
        <v>53</v>
      </c>
      <c r="K431" s="12"/>
      <c r="L431" s="9" t="n">
        <f aca="false">L430+H431</f>
        <v>40291.83</v>
      </c>
      <c r="M431" s="10" t="str">
        <f aca="false">VLOOKUP(J431,RECATALOGANDO!A:C,2,0)</f>
        <v>SERVICIO DE GROOMING</v>
      </c>
      <c r="N431" s="12" t="str">
        <f aca="false">VLOOKUP(M431,RECATALOGANDO!B:C,2,0)</f>
        <v>VENTA DE SERVICIO</v>
      </c>
      <c r="O431" s="2" t="s">
        <v>78</v>
      </c>
    </row>
    <row r="432" customFormat="false" ht="13.8" hidden="false" customHeight="false" outlineLevel="0" collapsed="false">
      <c r="A432" s="8" t="n">
        <v>45072</v>
      </c>
      <c r="B432" s="9" t="n">
        <f aca="false">DAY(A432)</f>
        <v>26</v>
      </c>
      <c r="C432" s="9" t="n">
        <f aca="false">MONTH(A432)</f>
        <v>5</v>
      </c>
      <c r="D432" s="9" t="n">
        <f aca="false">YEAR(A432)</f>
        <v>2023</v>
      </c>
      <c r="E432" s="9" t="n">
        <f aca="false">WEEKDAY(A432,2)</f>
        <v>5</v>
      </c>
      <c r="F432" s="10" t="n">
        <f aca="false">WEEKNUM(A432,2) - WEEKNUM(DATE(YEAR(A432),MONTH(A432),1),2) + 1</f>
        <v>4</v>
      </c>
      <c r="G432" s="10"/>
      <c r="H432" s="11" t="n">
        <v>300</v>
      </c>
      <c r="I432" s="12" t="s">
        <v>20</v>
      </c>
      <c r="J432" s="12" t="s">
        <v>44</v>
      </c>
      <c r="K432" s="12"/>
      <c r="L432" s="9" t="n">
        <f aca="false">L431+H432</f>
        <v>40591.83</v>
      </c>
      <c r="M432" s="10" t="str">
        <f aca="false">VLOOKUP(J432,RECATALOGANDO!A:C,2,0)</f>
        <v>HONORARIOS MEDICOS</v>
      </c>
      <c r="N432" s="12" t="str">
        <f aca="false">VLOOKUP(M432,RECATALOGANDO!B:C,2,0)</f>
        <v>VENTA DE SERVICIO</v>
      </c>
      <c r="O432" s="2" t="s">
        <v>78</v>
      </c>
    </row>
    <row r="433" customFormat="false" ht="13.8" hidden="false" customHeight="false" outlineLevel="0" collapsed="false">
      <c r="A433" s="8" t="n">
        <v>45075</v>
      </c>
      <c r="B433" s="9" t="n">
        <f aca="false">DAY(A433)</f>
        <v>29</v>
      </c>
      <c r="C433" s="9" t="n">
        <f aca="false">MONTH(A433)</f>
        <v>5</v>
      </c>
      <c r="D433" s="9" t="n">
        <f aca="false">YEAR(A433)</f>
        <v>2023</v>
      </c>
      <c r="E433" s="9" t="n">
        <f aca="false">WEEKDAY(A433,2)</f>
        <v>1</v>
      </c>
      <c r="F433" s="10" t="n">
        <f aca="false">WEEKNUM(A433,2) - WEEKNUM(DATE(YEAR(A433),MONTH(A433),1),2) + 1</f>
        <v>5</v>
      </c>
      <c r="G433" s="10"/>
      <c r="H433" s="11" t="n">
        <v>370</v>
      </c>
      <c r="I433" s="12" t="s">
        <v>20</v>
      </c>
      <c r="J433" s="12" t="s">
        <v>53</v>
      </c>
      <c r="K433" s="12"/>
      <c r="L433" s="9" t="n">
        <f aca="false">L432+H433</f>
        <v>40961.83</v>
      </c>
      <c r="M433" s="10" t="str">
        <f aca="false">VLOOKUP(J433,RECATALOGANDO!A:C,2,0)</f>
        <v>SERVICIO DE GROOMING</v>
      </c>
      <c r="N433" s="12" t="str">
        <f aca="false">VLOOKUP(M433,RECATALOGANDO!B:C,2,0)</f>
        <v>VENTA DE SERVICIO</v>
      </c>
      <c r="O433" s="2" t="s">
        <v>78</v>
      </c>
    </row>
    <row r="434" customFormat="false" ht="13.8" hidden="false" customHeight="false" outlineLevel="0" collapsed="false">
      <c r="A434" s="8" t="n">
        <v>45075</v>
      </c>
      <c r="B434" s="9" t="n">
        <f aca="false">DAY(A434)</f>
        <v>29</v>
      </c>
      <c r="C434" s="9" t="n">
        <f aca="false">MONTH(A434)</f>
        <v>5</v>
      </c>
      <c r="D434" s="9" t="n">
        <f aca="false">YEAR(A434)</f>
        <v>2023</v>
      </c>
      <c r="E434" s="9" t="n">
        <f aca="false">WEEKDAY(A434,2)</f>
        <v>1</v>
      </c>
      <c r="F434" s="10" t="n">
        <f aca="false">WEEKNUM(A434,2) - WEEKNUM(DATE(YEAR(A434),MONTH(A434),1),2) + 1</f>
        <v>5</v>
      </c>
      <c r="G434" s="10"/>
      <c r="H434" s="11" t="n">
        <v>600</v>
      </c>
      <c r="I434" s="12" t="s">
        <v>15</v>
      </c>
      <c r="J434" s="12" t="s">
        <v>44</v>
      </c>
      <c r="K434" s="12"/>
      <c r="L434" s="9" t="n">
        <f aca="false">L433+H434</f>
        <v>41561.83</v>
      </c>
      <c r="M434" s="10" t="str">
        <f aca="false">VLOOKUP(J434,RECATALOGANDO!A:C,2,0)</f>
        <v>HONORARIOS MEDICOS</v>
      </c>
      <c r="N434" s="12" t="str">
        <f aca="false">VLOOKUP(M434,RECATALOGANDO!B:C,2,0)</f>
        <v>VENTA DE SERVICIO</v>
      </c>
      <c r="O434" s="2" t="s">
        <v>78</v>
      </c>
    </row>
    <row r="435" customFormat="false" ht="13.8" hidden="false" customHeight="false" outlineLevel="0" collapsed="false">
      <c r="A435" s="8" t="n">
        <v>45075</v>
      </c>
      <c r="B435" s="9" t="n">
        <f aca="false">DAY(A435)</f>
        <v>29</v>
      </c>
      <c r="C435" s="9" t="n">
        <f aca="false">MONTH(A435)</f>
        <v>5</v>
      </c>
      <c r="D435" s="9" t="n">
        <f aca="false">YEAR(A435)</f>
        <v>2023</v>
      </c>
      <c r="E435" s="9" t="n">
        <f aca="false">WEEKDAY(A435,2)</f>
        <v>1</v>
      </c>
      <c r="F435" s="10" t="n">
        <f aca="false">WEEKNUM(A435,2) - WEEKNUM(DATE(YEAR(A435),MONTH(A435),1),2) + 1</f>
        <v>5</v>
      </c>
      <c r="G435" s="10"/>
      <c r="H435" s="11" t="n">
        <v>1390</v>
      </c>
      <c r="I435" s="12" t="s">
        <v>20</v>
      </c>
      <c r="J435" s="12" t="s">
        <v>56</v>
      </c>
      <c r="K435" s="12"/>
      <c r="L435" s="9" t="n">
        <f aca="false">L434+H435</f>
        <v>42951.83</v>
      </c>
      <c r="M435" s="10" t="str">
        <f aca="false">VLOOKUP(J435,RECATALOGANDO!A:C,2,0)</f>
        <v>SERVICIO DE IMAGEN</v>
      </c>
      <c r="N435" s="12" t="str">
        <f aca="false">VLOOKUP(M435,RECATALOGANDO!B:C,2,0)</f>
        <v>VENTA DE SERVICIO</v>
      </c>
      <c r="O435" s="2" t="s">
        <v>78</v>
      </c>
    </row>
    <row r="436" customFormat="false" ht="13.8" hidden="false" customHeight="false" outlineLevel="0" collapsed="false">
      <c r="A436" s="8" t="n">
        <v>45076</v>
      </c>
      <c r="B436" s="9" t="n">
        <f aca="false">DAY(A436)</f>
        <v>30</v>
      </c>
      <c r="C436" s="9" t="n">
        <f aca="false">MONTH(A436)</f>
        <v>5</v>
      </c>
      <c r="D436" s="9" t="n">
        <f aca="false">YEAR(A436)</f>
        <v>2023</v>
      </c>
      <c r="E436" s="9" t="n">
        <f aca="false">WEEKDAY(A436,2)</f>
        <v>2</v>
      </c>
      <c r="F436" s="10" t="n">
        <f aca="false">WEEKNUM(A436,2) - WEEKNUM(DATE(YEAR(A436),MONTH(A436),1),2) + 1</f>
        <v>5</v>
      </c>
      <c r="G436" s="10" t="n">
        <v>2</v>
      </c>
      <c r="H436" s="11" t="n">
        <v>400</v>
      </c>
      <c r="I436" s="12" t="s">
        <v>20</v>
      </c>
      <c r="J436" s="12" t="s">
        <v>53</v>
      </c>
      <c r="K436" s="12"/>
      <c r="L436" s="9" t="n">
        <f aca="false">L435+H436</f>
        <v>43351.83</v>
      </c>
      <c r="M436" s="10" t="str">
        <f aca="false">VLOOKUP(J436,RECATALOGANDO!A:C,2,0)</f>
        <v>SERVICIO DE GROOMING</v>
      </c>
      <c r="N436" s="12" t="str">
        <f aca="false">VLOOKUP(M436,RECATALOGANDO!B:C,2,0)</f>
        <v>VENTA DE SERVICIO</v>
      </c>
      <c r="O436" s="2" t="s">
        <v>78</v>
      </c>
    </row>
    <row r="437" customFormat="false" ht="13.8" hidden="false" customHeight="false" outlineLevel="0" collapsed="false">
      <c r="A437" s="8" t="n">
        <v>45076</v>
      </c>
      <c r="B437" s="9" t="n">
        <f aca="false">DAY(A437)</f>
        <v>30</v>
      </c>
      <c r="C437" s="9" t="n">
        <f aca="false">MONTH(A437)</f>
        <v>5</v>
      </c>
      <c r="D437" s="9" t="n">
        <f aca="false">YEAR(A437)</f>
        <v>2023</v>
      </c>
      <c r="E437" s="9" t="n">
        <f aca="false">WEEKDAY(A437,2)</f>
        <v>2</v>
      </c>
      <c r="F437" s="10" t="n">
        <f aca="false">WEEKNUM(A437,2) - WEEKNUM(DATE(YEAR(A437),MONTH(A437),1),2) + 1</f>
        <v>5</v>
      </c>
      <c r="G437" s="10" t="n">
        <v>2</v>
      </c>
      <c r="H437" s="11" t="n">
        <v>4500</v>
      </c>
      <c r="I437" s="12" t="s">
        <v>20</v>
      </c>
      <c r="J437" s="12" t="s">
        <v>44</v>
      </c>
      <c r="K437" s="12"/>
      <c r="L437" s="9" t="n">
        <f aca="false">L436+H437</f>
        <v>47851.83</v>
      </c>
      <c r="M437" s="10" t="str">
        <f aca="false">VLOOKUP(J437,RECATALOGANDO!A:C,2,0)</f>
        <v>HONORARIOS MEDICOS</v>
      </c>
      <c r="N437" s="12" t="str">
        <f aca="false">VLOOKUP(M437,RECATALOGANDO!B:C,2,0)</f>
        <v>VENTA DE SERVICIO</v>
      </c>
      <c r="O437" s="2" t="s">
        <v>78</v>
      </c>
    </row>
    <row r="438" customFormat="false" ht="13.8" hidden="false" customHeight="false" outlineLevel="0" collapsed="false">
      <c r="A438" s="8" t="n">
        <v>45077</v>
      </c>
      <c r="B438" s="9" t="n">
        <f aca="false">DAY(A438)</f>
        <v>31</v>
      </c>
      <c r="C438" s="9" t="n">
        <f aca="false">MONTH(A438)</f>
        <v>5</v>
      </c>
      <c r="D438" s="9" t="n">
        <f aca="false">YEAR(A438)</f>
        <v>2023</v>
      </c>
      <c r="E438" s="9" t="n">
        <f aca="false">WEEKDAY(A438,2)</f>
        <v>3</v>
      </c>
      <c r="F438" s="10" t="n">
        <f aca="false">WEEKNUM(A438,2) - WEEKNUM(DATE(YEAR(A438),MONTH(A438),1),2) + 1</f>
        <v>5</v>
      </c>
      <c r="G438" s="10"/>
      <c r="H438" s="11" t="n">
        <v>650</v>
      </c>
      <c r="I438" s="12" t="s">
        <v>15</v>
      </c>
      <c r="J438" s="12" t="s">
        <v>54</v>
      </c>
      <c r="K438" s="12"/>
      <c r="L438" s="9" t="n">
        <f aca="false">L437+H438</f>
        <v>48501.83</v>
      </c>
      <c r="M438" s="10" t="str">
        <f aca="false">VLOOKUP(J438,RECATALOGANDO!A:C,2,0)</f>
        <v>SERVICIO DE LABORATORIO</v>
      </c>
      <c r="N438" s="12" t="str">
        <f aca="false">VLOOKUP(M438,RECATALOGANDO!B:C,2,0)</f>
        <v>VENTA DE SERVICIO</v>
      </c>
      <c r="O438" s="2" t="s">
        <v>78</v>
      </c>
    </row>
    <row r="439" customFormat="false" ht="13.8" hidden="false" customHeight="false" outlineLevel="0" collapsed="false">
      <c r="A439" s="8" t="n">
        <v>45077</v>
      </c>
      <c r="B439" s="9" t="n">
        <f aca="false">DAY(A439)</f>
        <v>31</v>
      </c>
      <c r="C439" s="9" t="n">
        <f aca="false">MONTH(A439)</f>
        <v>5</v>
      </c>
      <c r="D439" s="9" t="n">
        <f aca="false">YEAR(A439)</f>
        <v>2023</v>
      </c>
      <c r="E439" s="9" t="n">
        <f aca="false">WEEKDAY(A439,2)</f>
        <v>3</v>
      </c>
      <c r="F439" s="10" t="n">
        <f aca="false">WEEKNUM(A439,2) - WEEKNUM(DATE(YEAR(A439),MONTH(A439),1),2) + 1</f>
        <v>5</v>
      </c>
      <c r="G439" s="10"/>
      <c r="H439" s="11" t="n">
        <v>7174</v>
      </c>
      <c r="I439" s="12" t="s">
        <v>15</v>
      </c>
      <c r="J439" s="12" t="s">
        <v>41</v>
      </c>
      <c r="K439" s="12"/>
      <c r="L439" s="9" t="n">
        <f aca="false">L438+H439</f>
        <v>55675.83</v>
      </c>
      <c r="M439" s="10" t="str">
        <f aca="false">VLOOKUP(J439,RECATALOGANDO!A:C,2,0)</f>
        <v>HONORARIOS QUIRURGICOS</v>
      </c>
      <c r="N439" s="12" t="str">
        <f aca="false">VLOOKUP(M439,RECATALOGANDO!B:C,2,0)</f>
        <v>VENTA DE SERVICIO</v>
      </c>
      <c r="O439" s="2" t="s">
        <v>78</v>
      </c>
    </row>
    <row r="440" customFormat="false" ht="13.8" hidden="false" customHeight="false" outlineLevel="0" collapsed="false">
      <c r="A440" s="8" t="n">
        <v>45078</v>
      </c>
      <c r="B440" s="9" t="n">
        <f aca="false">DAY(A440)</f>
        <v>1</v>
      </c>
      <c r="C440" s="9" t="n">
        <f aca="false">MONTH(A440)</f>
        <v>6</v>
      </c>
      <c r="D440" s="9" t="n">
        <f aca="false">YEAR(A440)</f>
        <v>2023</v>
      </c>
      <c r="E440" s="9" t="n">
        <f aca="false">WEEKDAY(A440,2)</f>
        <v>4</v>
      </c>
      <c r="F440" s="10" t="n">
        <f aca="false">WEEKNUM(A440,2) - WEEKNUM(DATE(YEAR(A440),MONTH(A440),1),2) + 1</f>
        <v>1</v>
      </c>
      <c r="G440" s="10"/>
      <c r="H440" s="11" t="n">
        <v>689</v>
      </c>
      <c r="I440" s="12" t="s">
        <v>20</v>
      </c>
      <c r="J440" s="22" t="s">
        <v>51</v>
      </c>
      <c r="K440" s="12"/>
      <c r="L440" s="9" t="n">
        <f aca="false">H440</f>
        <v>689</v>
      </c>
      <c r="M440" s="10" t="str">
        <f aca="false">VLOOKUP(J440,RECATALOGANDO!A:C,2,0)</f>
        <v>VENTA DE ALIMENTO</v>
      </c>
      <c r="N440" s="12" t="str">
        <f aca="false">VLOOKUP(M440,RECATALOGANDO!B:C,2,0)</f>
        <v>VENTA DE PRODUCTO</v>
      </c>
      <c r="O440" s="2" t="s">
        <v>78</v>
      </c>
    </row>
    <row r="441" customFormat="false" ht="13.8" hidden="false" customHeight="false" outlineLevel="0" collapsed="false">
      <c r="A441" s="8" t="n">
        <v>45079</v>
      </c>
      <c r="B441" s="9" t="n">
        <f aca="false">DAY(A441)</f>
        <v>2</v>
      </c>
      <c r="C441" s="9" t="n">
        <f aca="false">MONTH(A441)</f>
        <v>6</v>
      </c>
      <c r="D441" s="9" t="n">
        <f aca="false">YEAR(A441)</f>
        <v>2023</v>
      </c>
      <c r="E441" s="9" t="n">
        <f aca="false">WEEKDAY(A441,2)</f>
        <v>5</v>
      </c>
      <c r="F441" s="10" t="n">
        <f aca="false">WEEKNUM(A441,2) - WEEKNUM(DATE(YEAR(A441),MONTH(A441),1),2) + 1</f>
        <v>1</v>
      </c>
      <c r="G441" s="10"/>
      <c r="H441" s="11" t="n">
        <v>509</v>
      </c>
      <c r="I441" s="12" t="s">
        <v>20</v>
      </c>
      <c r="J441" s="22" t="s">
        <v>45</v>
      </c>
      <c r="K441" s="12"/>
      <c r="L441" s="9" t="n">
        <f aca="false">L440+H441</f>
        <v>1198</v>
      </c>
      <c r="M441" s="10" t="str">
        <f aca="false">VLOOKUP(J441,RECATALOGANDO!A:C,2,0)</f>
        <v>VENTA DE MEDICAMENTO</v>
      </c>
      <c r="N441" s="12" t="str">
        <f aca="false">VLOOKUP(M441,RECATALOGANDO!B:C,2,0)</f>
        <v>VENTA DE PRODUCTO</v>
      </c>
      <c r="O441" s="2" t="s">
        <v>78</v>
      </c>
    </row>
    <row r="442" customFormat="false" ht="13.8" hidden="false" customHeight="false" outlineLevel="0" collapsed="false">
      <c r="A442" s="8" t="n">
        <v>45079</v>
      </c>
      <c r="B442" s="9" t="n">
        <f aca="false">DAY(A442)</f>
        <v>2</v>
      </c>
      <c r="C442" s="9" t="n">
        <f aca="false">MONTH(A442)</f>
        <v>6</v>
      </c>
      <c r="D442" s="9" t="n">
        <f aca="false">YEAR(A442)</f>
        <v>2023</v>
      </c>
      <c r="E442" s="9" t="n">
        <f aca="false">WEEKDAY(A442,2)</f>
        <v>5</v>
      </c>
      <c r="F442" s="10" t="n">
        <f aca="false">WEEKNUM(A442,2) - WEEKNUM(DATE(YEAR(A442),MONTH(A442),1),2) + 1</f>
        <v>1</v>
      </c>
      <c r="G442" s="10"/>
      <c r="H442" s="11" t="n">
        <v>3300</v>
      </c>
      <c r="I442" s="12" t="s">
        <v>15</v>
      </c>
      <c r="J442" s="22" t="s">
        <v>45</v>
      </c>
      <c r="K442" s="12"/>
      <c r="L442" s="9" t="n">
        <f aca="false">L441+H442</f>
        <v>4498</v>
      </c>
      <c r="M442" s="10" t="str">
        <f aca="false">VLOOKUP(J442,RECATALOGANDO!A:C,2,0)</f>
        <v>VENTA DE MEDICAMENTO</v>
      </c>
      <c r="N442" s="12" t="str">
        <f aca="false">VLOOKUP(M442,RECATALOGANDO!B:C,2,0)</f>
        <v>VENTA DE PRODUCTO</v>
      </c>
      <c r="O442" s="2" t="s">
        <v>78</v>
      </c>
    </row>
    <row r="443" customFormat="false" ht="13.8" hidden="false" customHeight="false" outlineLevel="0" collapsed="false">
      <c r="A443" s="8" t="n">
        <v>45079</v>
      </c>
      <c r="B443" s="9" t="n">
        <f aca="false">DAY(A443)</f>
        <v>2</v>
      </c>
      <c r="C443" s="9" t="n">
        <f aca="false">MONTH(A443)</f>
        <v>6</v>
      </c>
      <c r="D443" s="9" t="n">
        <f aca="false">YEAR(A443)</f>
        <v>2023</v>
      </c>
      <c r="E443" s="9" t="n">
        <f aca="false">WEEKDAY(A443,2)</f>
        <v>5</v>
      </c>
      <c r="F443" s="10" t="n">
        <f aca="false">WEEKNUM(A443,2) - WEEKNUM(DATE(YEAR(A443),MONTH(A443),1),2) + 1</f>
        <v>1</v>
      </c>
      <c r="G443" s="10"/>
      <c r="H443" s="11" t="n">
        <v>813</v>
      </c>
      <c r="I443" s="12" t="s">
        <v>15</v>
      </c>
      <c r="J443" s="22" t="s">
        <v>44</v>
      </c>
      <c r="K443" s="12"/>
      <c r="L443" s="9" t="n">
        <f aca="false">L442+H443</f>
        <v>5311</v>
      </c>
      <c r="M443" s="10" t="str">
        <f aca="false">VLOOKUP(J443,RECATALOGANDO!A:C,2,0)</f>
        <v>HONORARIOS MEDICOS</v>
      </c>
      <c r="N443" s="12" t="str">
        <f aca="false">VLOOKUP(M443,RECATALOGANDO!B:C,2,0)</f>
        <v>VENTA DE SERVICIO</v>
      </c>
      <c r="O443" s="2" t="s">
        <v>78</v>
      </c>
    </row>
    <row r="444" customFormat="false" ht="13.8" hidden="false" customHeight="false" outlineLevel="0" collapsed="false">
      <c r="A444" s="8" t="n">
        <v>45080</v>
      </c>
      <c r="B444" s="9" t="n">
        <f aca="false">DAY(A444)</f>
        <v>3</v>
      </c>
      <c r="C444" s="9" t="n">
        <f aca="false">MONTH(A444)</f>
        <v>6</v>
      </c>
      <c r="D444" s="9" t="n">
        <f aca="false">YEAR(A444)</f>
        <v>2023</v>
      </c>
      <c r="E444" s="9" t="n">
        <f aca="false">WEEKDAY(A444,2)</f>
        <v>6</v>
      </c>
      <c r="F444" s="10" t="n">
        <f aca="false">WEEKNUM(A444,2) - WEEKNUM(DATE(YEAR(A444),MONTH(A444),1),2) + 1</f>
        <v>1</v>
      </c>
      <c r="G444" s="10"/>
      <c r="H444" s="11" t="n">
        <v>585</v>
      </c>
      <c r="I444" s="12" t="s">
        <v>15</v>
      </c>
      <c r="J444" s="22" t="s">
        <v>57</v>
      </c>
      <c r="K444" s="12"/>
      <c r="L444" s="9" t="n">
        <f aca="false">L443+H444</f>
        <v>5896</v>
      </c>
      <c r="M444" s="10" t="str">
        <f aca="false">VLOOKUP(J444,RECATALOGANDO!A:C,2,0)</f>
        <v>SERVICIO DE CREMACION</v>
      </c>
      <c r="N444" s="12" t="str">
        <f aca="false">VLOOKUP(M444,RECATALOGANDO!B:C,2,0)</f>
        <v>VENTA DE SERVICIO</v>
      </c>
      <c r="O444" s="2" t="s">
        <v>78</v>
      </c>
    </row>
    <row r="445" customFormat="false" ht="13.8" hidden="false" customHeight="false" outlineLevel="0" collapsed="false">
      <c r="A445" s="8" t="n">
        <v>45081</v>
      </c>
      <c r="B445" s="9" t="n">
        <f aca="false">DAY(A445)</f>
        <v>4</v>
      </c>
      <c r="C445" s="9" t="n">
        <f aca="false">MONTH(A445)</f>
        <v>6</v>
      </c>
      <c r="D445" s="9" t="n">
        <f aca="false">YEAR(A445)</f>
        <v>2023</v>
      </c>
      <c r="E445" s="9" t="n">
        <f aca="false">WEEKDAY(A445,2)</f>
        <v>7</v>
      </c>
      <c r="F445" s="10" t="n">
        <f aca="false">WEEKNUM(A445,2) - WEEKNUM(DATE(YEAR(A445),MONTH(A445),1),2) + 1</f>
        <v>1</v>
      </c>
      <c r="G445" s="10"/>
      <c r="H445" s="11" t="n">
        <v>1105</v>
      </c>
      <c r="I445" s="12" t="s">
        <v>15</v>
      </c>
      <c r="J445" s="22" t="s">
        <v>44</v>
      </c>
      <c r="K445" s="12"/>
      <c r="L445" s="9" t="n">
        <f aca="false">L444+H445</f>
        <v>7001</v>
      </c>
      <c r="M445" s="10" t="str">
        <f aca="false">VLOOKUP(J445,RECATALOGANDO!A:C,2,0)</f>
        <v>HONORARIOS MEDICOS</v>
      </c>
      <c r="N445" s="12" t="str">
        <f aca="false">VLOOKUP(M445,RECATALOGANDO!B:C,2,0)</f>
        <v>VENTA DE SERVICIO</v>
      </c>
      <c r="O445" s="2" t="s">
        <v>78</v>
      </c>
    </row>
    <row r="446" customFormat="false" ht="13.8" hidden="false" customHeight="false" outlineLevel="0" collapsed="false">
      <c r="A446" s="8" t="n">
        <v>45082</v>
      </c>
      <c r="B446" s="9" t="n">
        <f aca="false">DAY(A446)</f>
        <v>5</v>
      </c>
      <c r="C446" s="9" t="n">
        <f aca="false">MONTH(A446)</f>
        <v>6</v>
      </c>
      <c r="D446" s="9" t="n">
        <f aca="false">YEAR(A446)</f>
        <v>2023</v>
      </c>
      <c r="E446" s="9" t="n">
        <f aca="false">WEEKDAY(A446,2)</f>
        <v>1</v>
      </c>
      <c r="F446" s="10" t="n">
        <f aca="false">WEEKNUM(A446,2) - WEEKNUM(DATE(YEAR(A446),MONTH(A446),1),2) + 1</f>
        <v>2</v>
      </c>
      <c r="G446" s="10"/>
      <c r="H446" s="11" t="n">
        <v>160</v>
      </c>
      <c r="I446" s="12" t="s">
        <v>20</v>
      </c>
      <c r="J446" s="22" t="s">
        <v>53</v>
      </c>
      <c r="K446" s="12"/>
      <c r="L446" s="9" t="n">
        <f aca="false">L445+H446</f>
        <v>7161</v>
      </c>
      <c r="M446" s="10" t="str">
        <f aca="false">VLOOKUP(J446,RECATALOGANDO!A:C,2,0)</f>
        <v>SERVICIO DE GROOMING</v>
      </c>
      <c r="N446" s="12" t="str">
        <f aca="false">VLOOKUP(M446,RECATALOGANDO!B:C,2,0)</f>
        <v>VENTA DE SERVICIO</v>
      </c>
      <c r="O446" s="2" t="s">
        <v>78</v>
      </c>
    </row>
    <row r="447" customFormat="false" ht="13.8" hidden="false" customHeight="false" outlineLevel="0" collapsed="false">
      <c r="A447" s="8" t="n">
        <v>45082</v>
      </c>
      <c r="B447" s="9" t="n">
        <f aca="false">DAY(A447)</f>
        <v>5</v>
      </c>
      <c r="C447" s="9" t="n">
        <f aca="false">MONTH(A447)</f>
        <v>6</v>
      </c>
      <c r="D447" s="9" t="n">
        <f aca="false">YEAR(A447)</f>
        <v>2023</v>
      </c>
      <c r="E447" s="9" t="n">
        <f aca="false">WEEKDAY(A447,2)</f>
        <v>1</v>
      </c>
      <c r="F447" s="10" t="n">
        <f aca="false">WEEKNUM(A447,2) - WEEKNUM(DATE(YEAR(A447),MONTH(A447),1),2) + 1</f>
        <v>2</v>
      </c>
      <c r="G447" s="10"/>
      <c r="H447" s="11" t="n">
        <v>2880</v>
      </c>
      <c r="I447" s="12" t="s">
        <v>20</v>
      </c>
      <c r="J447" s="22" t="s">
        <v>41</v>
      </c>
      <c r="K447" s="12"/>
      <c r="L447" s="9" t="n">
        <f aca="false">L446+H447</f>
        <v>10041</v>
      </c>
      <c r="M447" s="10" t="str">
        <f aca="false">VLOOKUP(J447,RECATALOGANDO!A:C,2,0)</f>
        <v>HONORARIOS QUIRURGICOS</v>
      </c>
      <c r="N447" s="12" t="str">
        <f aca="false">VLOOKUP(M447,RECATALOGANDO!B:C,2,0)</f>
        <v>VENTA DE SERVICIO</v>
      </c>
      <c r="O447" s="2" t="s">
        <v>78</v>
      </c>
    </row>
    <row r="448" customFormat="false" ht="13.8" hidden="false" customHeight="false" outlineLevel="0" collapsed="false">
      <c r="A448" s="8" t="n">
        <v>45082</v>
      </c>
      <c r="B448" s="9" t="n">
        <f aca="false">DAY(A448)</f>
        <v>5</v>
      </c>
      <c r="C448" s="9" t="n">
        <f aca="false">MONTH(A448)</f>
        <v>6</v>
      </c>
      <c r="D448" s="9" t="n">
        <f aca="false">YEAR(A448)</f>
        <v>2023</v>
      </c>
      <c r="E448" s="9" t="n">
        <f aca="false">WEEKDAY(A448,2)</f>
        <v>1</v>
      </c>
      <c r="F448" s="10" t="n">
        <f aca="false">WEEKNUM(A448,2) - WEEKNUM(DATE(YEAR(A448),MONTH(A448),1),2) + 1</f>
        <v>2</v>
      </c>
      <c r="G448" s="10"/>
      <c r="H448" s="11" t="n">
        <v>2940</v>
      </c>
      <c r="I448" s="12" t="s">
        <v>20</v>
      </c>
      <c r="J448" s="22" t="s">
        <v>41</v>
      </c>
      <c r="K448" s="12"/>
      <c r="L448" s="9" t="n">
        <f aca="false">L447+H448</f>
        <v>12981</v>
      </c>
      <c r="M448" s="10" t="str">
        <f aca="false">VLOOKUP(J448,RECATALOGANDO!A:C,2,0)</f>
        <v>HONORARIOS QUIRURGICOS</v>
      </c>
      <c r="N448" s="12" t="str">
        <f aca="false">VLOOKUP(M448,RECATALOGANDO!B:C,2,0)</f>
        <v>VENTA DE SERVICIO</v>
      </c>
      <c r="O448" s="2" t="s">
        <v>78</v>
      </c>
    </row>
    <row r="449" customFormat="false" ht="13.8" hidden="false" customHeight="false" outlineLevel="0" collapsed="false">
      <c r="A449" s="8" t="n">
        <v>45083</v>
      </c>
      <c r="B449" s="9" t="n">
        <f aca="false">DAY(A449)</f>
        <v>6</v>
      </c>
      <c r="C449" s="9" t="n">
        <f aca="false">MONTH(A449)</f>
        <v>6</v>
      </c>
      <c r="D449" s="9" t="n">
        <f aca="false">YEAR(A449)</f>
        <v>2023</v>
      </c>
      <c r="E449" s="9" t="n">
        <f aca="false">WEEKDAY(A449,2)</f>
        <v>2</v>
      </c>
      <c r="F449" s="10" t="n">
        <f aca="false">WEEKNUM(A449,2) - WEEKNUM(DATE(YEAR(A449),MONTH(A449),1),2) + 1</f>
        <v>2</v>
      </c>
      <c r="G449" s="10"/>
      <c r="H449" s="11" t="n">
        <v>838</v>
      </c>
      <c r="I449" s="12" t="s">
        <v>20</v>
      </c>
      <c r="J449" s="22" t="s">
        <v>51</v>
      </c>
      <c r="K449" s="12"/>
      <c r="L449" s="9" t="n">
        <f aca="false">L448+H449</f>
        <v>13819</v>
      </c>
      <c r="M449" s="10" t="str">
        <f aca="false">VLOOKUP(J449,RECATALOGANDO!A:C,2,0)</f>
        <v>VENTA DE ALIMENTO</v>
      </c>
      <c r="N449" s="12" t="str">
        <f aca="false">VLOOKUP(M449,RECATALOGANDO!B:C,2,0)</f>
        <v>VENTA DE PRODUCTO</v>
      </c>
      <c r="O449" s="2" t="s">
        <v>78</v>
      </c>
    </row>
    <row r="450" customFormat="false" ht="13.8" hidden="false" customHeight="false" outlineLevel="0" collapsed="false">
      <c r="A450" s="8" t="n">
        <v>45084</v>
      </c>
      <c r="B450" s="9" t="n">
        <f aca="false">DAY(A450)</f>
        <v>7</v>
      </c>
      <c r="C450" s="9" t="n">
        <f aca="false">MONTH(A450)</f>
        <v>6</v>
      </c>
      <c r="D450" s="9" t="n">
        <f aca="false">YEAR(A450)</f>
        <v>2023</v>
      </c>
      <c r="E450" s="9" t="n">
        <f aca="false">WEEKDAY(A450,2)</f>
        <v>3</v>
      </c>
      <c r="F450" s="10" t="n">
        <f aca="false">WEEKNUM(A450,2) - WEEKNUM(DATE(YEAR(A450),MONTH(A450),1),2) + 1</f>
        <v>2</v>
      </c>
      <c r="G450" s="10"/>
      <c r="H450" s="11" t="n">
        <v>1272</v>
      </c>
      <c r="I450" s="12" t="s">
        <v>15</v>
      </c>
      <c r="J450" s="22" t="s">
        <v>45</v>
      </c>
      <c r="K450" s="12"/>
      <c r="L450" s="9" t="n">
        <f aca="false">L449+H450</f>
        <v>15091</v>
      </c>
      <c r="M450" s="10" t="str">
        <f aca="false">VLOOKUP(J450,RECATALOGANDO!A:C,2,0)</f>
        <v>VENTA DE MEDICAMENTO</v>
      </c>
      <c r="N450" s="12" t="str">
        <f aca="false">VLOOKUP(M450,RECATALOGANDO!B:C,2,0)</f>
        <v>VENTA DE PRODUCTO</v>
      </c>
      <c r="O450" s="2" t="s">
        <v>78</v>
      </c>
    </row>
    <row r="451" customFormat="false" ht="13.8" hidden="false" customHeight="false" outlineLevel="0" collapsed="false">
      <c r="A451" s="8" t="n">
        <v>45088</v>
      </c>
      <c r="B451" s="9" t="n">
        <f aca="false">DAY(A451)</f>
        <v>11</v>
      </c>
      <c r="C451" s="9" t="n">
        <f aca="false">MONTH(A451)</f>
        <v>6</v>
      </c>
      <c r="D451" s="9" t="n">
        <f aca="false">YEAR(A451)</f>
        <v>2023</v>
      </c>
      <c r="E451" s="9" t="n">
        <f aca="false">WEEKDAY(A451,2)</f>
        <v>7</v>
      </c>
      <c r="F451" s="10" t="n">
        <f aca="false">WEEKNUM(A451,2) - WEEKNUM(DATE(YEAR(A451),MONTH(A451),1),2) + 1</f>
        <v>2</v>
      </c>
      <c r="G451" s="10"/>
      <c r="H451" s="11" t="n">
        <v>1637.64</v>
      </c>
      <c r="I451" s="12" t="s">
        <v>15</v>
      </c>
      <c r="J451" s="22" t="s">
        <v>51</v>
      </c>
      <c r="K451" s="12"/>
      <c r="L451" s="9" t="n">
        <f aca="false">L450+H451</f>
        <v>16728.64</v>
      </c>
      <c r="M451" s="10" t="str">
        <f aca="false">VLOOKUP(J451,RECATALOGANDO!A:C,2,0)</f>
        <v>VENTA DE ALIMENTO</v>
      </c>
      <c r="N451" s="12" t="str">
        <f aca="false">VLOOKUP(M451,RECATALOGANDO!B:C,2,0)</f>
        <v>VENTA DE PRODUCTO</v>
      </c>
      <c r="O451" s="2" t="s">
        <v>78</v>
      </c>
    </row>
    <row r="452" customFormat="false" ht="13.8" hidden="false" customHeight="false" outlineLevel="0" collapsed="false">
      <c r="A452" s="8" t="n">
        <v>45089</v>
      </c>
      <c r="B452" s="9" t="n">
        <f aca="false">DAY(A452)</f>
        <v>12</v>
      </c>
      <c r="C452" s="9" t="n">
        <f aca="false">MONTH(A452)</f>
        <v>6</v>
      </c>
      <c r="D452" s="9" t="n">
        <f aca="false">YEAR(A452)</f>
        <v>2023</v>
      </c>
      <c r="E452" s="9" t="n">
        <f aca="false">WEEKDAY(A452,2)</f>
        <v>1</v>
      </c>
      <c r="F452" s="10" t="n">
        <f aca="false">WEEKNUM(A452,2) - WEEKNUM(DATE(YEAR(A452),MONTH(A452),1),2) + 1</f>
        <v>3</v>
      </c>
      <c r="G452" s="10"/>
      <c r="H452" s="11" t="n">
        <v>900</v>
      </c>
      <c r="I452" s="12" t="s">
        <v>20</v>
      </c>
      <c r="J452" s="22" t="s">
        <v>45</v>
      </c>
      <c r="K452" s="12"/>
      <c r="L452" s="9" t="n">
        <f aca="false">L451+H452</f>
        <v>17628.64</v>
      </c>
      <c r="M452" s="10" t="str">
        <f aca="false">VLOOKUP(J452,RECATALOGANDO!A:C,2,0)</f>
        <v>VENTA DE MEDICAMENTO</v>
      </c>
      <c r="N452" s="12" t="str">
        <f aca="false">VLOOKUP(M452,RECATALOGANDO!B:C,2,0)</f>
        <v>VENTA DE PRODUCTO</v>
      </c>
      <c r="O452" s="2" t="s">
        <v>78</v>
      </c>
    </row>
    <row r="453" customFormat="false" ht="13.8" hidden="false" customHeight="false" outlineLevel="0" collapsed="false">
      <c r="A453" s="8" t="n">
        <v>45089</v>
      </c>
      <c r="B453" s="9" t="n">
        <f aca="false">DAY(A453)</f>
        <v>12</v>
      </c>
      <c r="C453" s="9" t="n">
        <f aca="false">MONTH(A453)</f>
        <v>6</v>
      </c>
      <c r="D453" s="9" t="n">
        <f aca="false">YEAR(A453)</f>
        <v>2023</v>
      </c>
      <c r="E453" s="9" t="n">
        <f aca="false">WEEKDAY(A453,2)</f>
        <v>1</v>
      </c>
      <c r="F453" s="10" t="n">
        <f aca="false">WEEKNUM(A453,2) - WEEKNUM(DATE(YEAR(A453),MONTH(A453),1),2) + 1</f>
        <v>3</v>
      </c>
      <c r="G453" s="10"/>
      <c r="H453" s="11" t="n">
        <v>1000</v>
      </c>
      <c r="I453" s="12" t="s">
        <v>20</v>
      </c>
      <c r="J453" s="22" t="s">
        <v>45</v>
      </c>
      <c r="K453" s="12"/>
      <c r="L453" s="9" t="n">
        <f aca="false">L452+H453</f>
        <v>18628.64</v>
      </c>
      <c r="M453" s="10" t="str">
        <f aca="false">VLOOKUP(J453,RECATALOGANDO!A:C,2,0)</f>
        <v>VENTA DE MEDICAMENTO</v>
      </c>
      <c r="N453" s="12" t="str">
        <f aca="false">VLOOKUP(M453,RECATALOGANDO!B:C,2,0)</f>
        <v>VENTA DE PRODUCTO</v>
      </c>
      <c r="O453" s="2" t="s">
        <v>78</v>
      </c>
    </row>
    <row r="454" customFormat="false" ht="13.8" hidden="false" customHeight="false" outlineLevel="0" collapsed="false">
      <c r="A454" s="8" t="n">
        <v>45089</v>
      </c>
      <c r="B454" s="9" t="n">
        <f aca="false">DAY(A454)</f>
        <v>12</v>
      </c>
      <c r="C454" s="9" t="n">
        <f aca="false">MONTH(A454)</f>
        <v>6</v>
      </c>
      <c r="D454" s="9" t="n">
        <f aca="false">YEAR(A454)</f>
        <v>2023</v>
      </c>
      <c r="E454" s="9" t="n">
        <f aca="false">WEEKDAY(A454,2)</f>
        <v>1</v>
      </c>
      <c r="F454" s="10" t="n">
        <f aca="false">WEEKNUM(A454,2) - WEEKNUM(DATE(YEAR(A454),MONTH(A454),1),2) + 1</f>
        <v>3</v>
      </c>
      <c r="G454" s="10"/>
      <c r="H454" s="11" t="n">
        <v>1050</v>
      </c>
      <c r="I454" s="12" t="s">
        <v>20</v>
      </c>
      <c r="J454" s="22" t="s">
        <v>58</v>
      </c>
      <c r="K454" s="12"/>
      <c r="L454" s="9" t="n">
        <f aca="false">L453+H454</f>
        <v>19678.64</v>
      </c>
      <c r="M454" s="10" t="str">
        <f aca="false">VLOOKUP(J454,RECATALOGANDO!A:C,2,0)</f>
        <v>SERVICIO DE LABORATORIO</v>
      </c>
      <c r="N454" s="12" t="str">
        <f aca="false">VLOOKUP(M454,RECATALOGANDO!B:C,2,0)</f>
        <v>VENTA DE SERVICIO</v>
      </c>
      <c r="O454" s="2" t="s">
        <v>78</v>
      </c>
    </row>
    <row r="455" customFormat="false" ht="13.8" hidden="false" customHeight="false" outlineLevel="0" collapsed="false">
      <c r="A455" s="8" t="n">
        <v>45090</v>
      </c>
      <c r="B455" s="9" t="n">
        <f aca="false">DAY(A455)</f>
        <v>13</v>
      </c>
      <c r="C455" s="9" t="n">
        <f aca="false">MONTH(A455)</f>
        <v>6</v>
      </c>
      <c r="D455" s="9" t="n">
        <f aca="false">YEAR(A455)</f>
        <v>2023</v>
      </c>
      <c r="E455" s="9" t="n">
        <f aca="false">WEEKDAY(A455,2)</f>
        <v>2</v>
      </c>
      <c r="F455" s="10" t="n">
        <f aca="false">WEEKNUM(A455,2) - WEEKNUM(DATE(YEAR(A455),MONTH(A455),1),2) + 1</f>
        <v>3</v>
      </c>
      <c r="G455" s="10"/>
      <c r="H455" s="11" t="n">
        <v>3288</v>
      </c>
      <c r="I455" s="12" t="s">
        <v>15</v>
      </c>
      <c r="J455" s="22" t="s">
        <v>45</v>
      </c>
      <c r="K455" s="12"/>
      <c r="L455" s="9" t="n">
        <f aca="false">L454+H455</f>
        <v>22966.64</v>
      </c>
      <c r="M455" s="10" t="str">
        <f aca="false">VLOOKUP(J455,RECATALOGANDO!A:C,2,0)</f>
        <v>VENTA DE MEDICAMENTO</v>
      </c>
      <c r="N455" s="12" t="str">
        <f aca="false">VLOOKUP(M455,RECATALOGANDO!B:C,2,0)</f>
        <v>VENTA DE PRODUCTO</v>
      </c>
      <c r="O455" s="2" t="s">
        <v>78</v>
      </c>
    </row>
    <row r="456" customFormat="false" ht="13.8" hidden="false" customHeight="false" outlineLevel="0" collapsed="false">
      <c r="A456" s="8" t="n">
        <v>45090</v>
      </c>
      <c r="B456" s="9" t="n">
        <f aca="false">DAY(A456)</f>
        <v>13</v>
      </c>
      <c r="C456" s="9" t="n">
        <f aca="false">MONTH(A456)</f>
        <v>6</v>
      </c>
      <c r="D456" s="9" t="n">
        <f aca="false">YEAR(A456)</f>
        <v>2023</v>
      </c>
      <c r="E456" s="9" t="n">
        <f aca="false">WEEKDAY(A456,2)</f>
        <v>2</v>
      </c>
      <c r="F456" s="10" t="n">
        <f aca="false">WEEKNUM(A456,2) - WEEKNUM(DATE(YEAR(A456),MONTH(A456),1),2) + 1</f>
        <v>3</v>
      </c>
      <c r="G456" s="10"/>
      <c r="H456" s="11" t="n">
        <v>488.7</v>
      </c>
      <c r="I456" s="12" t="s">
        <v>15</v>
      </c>
      <c r="J456" s="22" t="s">
        <v>44</v>
      </c>
      <c r="K456" s="12"/>
      <c r="L456" s="9" t="n">
        <f aca="false">L455+H456</f>
        <v>23455.34</v>
      </c>
      <c r="M456" s="10" t="str">
        <f aca="false">VLOOKUP(J456,RECATALOGANDO!A:C,2,0)</f>
        <v>HONORARIOS MEDICOS</v>
      </c>
      <c r="N456" s="12" t="str">
        <f aca="false">VLOOKUP(M456,RECATALOGANDO!B:C,2,0)</f>
        <v>VENTA DE SERVICIO</v>
      </c>
      <c r="O456" s="2" t="s">
        <v>78</v>
      </c>
    </row>
    <row r="457" customFormat="false" ht="13.8" hidden="false" customHeight="false" outlineLevel="0" collapsed="false">
      <c r="A457" s="8" t="n">
        <v>45090</v>
      </c>
      <c r="B457" s="9" t="n">
        <f aca="false">DAY(A457)</f>
        <v>13</v>
      </c>
      <c r="C457" s="9" t="n">
        <f aca="false">MONTH(A457)</f>
        <v>6</v>
      </c>
      <c r="D457" s="9" t="n">
        <f aca="false">YEAR(A457)</f>
        <v>2023</v>
      </c>
      <c r="E457" s="9" t="n">
        <f aca="false">WEEKDAY(A457,2)</f>
        <v>2</v>
      </c>
      <c r="F457" s="10" t="n">
        <f aca="false">WEEKNUM(A457,2) - WEEKNUM(DATE(YEAR(A457),MONTH(A457),1),2) + 1</f>
        <v>3</v>
      </c>
      <c r="G457" s="10"/>
      <c r="H457" s="11" t="n">
        <v>650</v>
      </c>
      <c r="I457" s="12" t="s">
        <v>15</v>
      </c>
      <c r="J457" s="22" t="s">
        <v>44</v>
      </c>
      <c r="K457" s="12"/>
      <c r="L457" s="9" t="n">
        <f aca="false">L456+H457</f>
        <v>24105.34</v>
      </c>
      <c r="M457" s="10" t="str">
        <f aca="false">VLOOKUP(J457,RECATALOGANDO!A:C,2,0)</f>
        <v>HONORARIOS MEDICOS</v>
      </c>
      <c r="N457" s="12" t="str">
        <f aca="false">VLOOKUP(M457,RECATALOGANDO!B:C,2,0)</f>
        <v>VENTA DE SERVICIO</v>
      </c>
      <c r="O457" s="2" t="s">
        <v>78</v>
      </c>
    </row>
    <row r="458" customFormat="false" ht="13.8" hidden="false" customHeight="false" outlineLevel="0" collapsed="false">
      <c r="A458" s="8" t="n">
        <v>45091</v>
      </c>
      <c r="B458" s="9" t="n">
        <f aca="false">DAY(A458)</f>
        <v>14</v>
      </c>
      <c r="C458" s="9" t="n">
        <f aca="false">MONTH(A458)</f>
        <v>6</v>
      </c>
      <c r="D458" s="9" t="n">
        <f aca="false">YEAR(A458)</f>
        <v>2023</v>
      </c>
      <c r="E458" s="9" t="n">
        <f aca="false">WEEKDAY(A458,2)</f>
        <v>3</v>
      </c>
      <c r="F458" s="10" t="n">
        <f aca="false">WEEKNUM(A458,2) - WEEKNUM(DATE(YEAR(A458),MONTH(A458),1),2) + 1</f>
        <v>3</v>
      </c>
      <c r="G458" s="10"/>
      <c r="H458" s="11" t="n">
        <v>1185</v>
      </c>
      <c r="I458" s="12" t="s">
        <v>20</v>
      </c>
      <c r="J458" s="22" t="s">
        <v>51</v>
      </c>
      <c r="K458" s="12"/>
      <c r="L458" s="9" t="n">
        <f aca="false">L457+H458</f>
        <v>25290.34</v>
      </c>
      <c r="M458" s="10" t="str">
        <f aca="false">VLOOKUP(J458,RECATALOGANDO!A:C,2,0)</f>
        <v>VENTA DE ALIMENTO</v>
      </c>
      <c r="N458" s="12" t="str">
        <f aca="false">VLOOKUP(M458,RECATALOGANDO!B:C,2,0)</f>
        <v>VENTA DE PRODUCTO</v>
      </c>
      <c r="O458" s="2" t="s">
        <v>78</v>
      </c>
    </row>
    <row r="459" customFormat="false" ht="13.8" hidden="false" customHeight="false" outlineLevel="0" collapsed="false">
      <c r="A459" s="8" t="n">
        <v>45091</v>
      </c>
      <c r="B459" s="9" t="n">
        <f aca="false">DAY(A459)</f>
        <v>14</v>
      </c>
      <c r="C459" s="9" t="n">
        <f aca="false">MONTH(A459)</f>
        <v>6</v>
      </c>
      <c r="D459" s="9" t="n">
        <f aca="false">YEAR(A459)</f>
        <v>2023</v>
      </c>
      <c r="E459" s="9" t="n">
        <f aca="false">WEEKDAY(A459,2)</f>
        <v>3</v>
      </c>
      <c r="F459" s="10" t="n">
        <f aca="false">WEEKNUM(A459,2) - WEEKNUM(DATE(YEAR(A459),MONTH(A459),1),2) + 1</f>
        <v>3</v>
      </c>
      <c r="G459" s="10"/>
      <c r="H459" s="11" t="n">
        <v>1588</v>
      </c>
      <c r="I459" s="12" t="s">
        <v>15</v>
      </c>
      <c r="J459" s="22" t="s">
        <v>45</v>
      </c>
      <c r="K459" s="12"/>
      <c r="L459" s="9" t="n">
        <f aca="false">L458+H459</f>
        <v>26878.34</v>
      </c>
      <c r="M459" s="10" t="str">
        <f aca="false">VLOOKUP(J459,RECATALOGANDO!A:C,2,0)</f>
        <v>VENTA DE MEDICAMENTO</v>
      </c>
      <c r="N459" s="12" t="str">
        <f aca="false">VLOOKUP(M459,RECATALOGANDO!B:C,2,0)</f>
        <v>VENTA DE PRODUCTO</v>
      </c>
      <c r="O459" s="2" t="s">
        <v>78</v>
      </c>
    </row>
    <row r="460" customFormat="false" ht="13.8" hidden="false" customHeight="false" outlineLevel="0" collapsed="false">
      <c r="A460" s="8" t="n">
        <v>45091</v>
      </c>
      <c r="B460" s="9" t="n">
        <f aca="false">DAY(A460)</f>
        <v>14</v>
      </c>
      <c r="C460" s="9" t="n">
        <f aca="false">MONTH(A460)</f>
        <v>6</v>
      </c>
      <c r="D460" s="9" t="n">
        <f aca="false">YEAR(A460)</f>
        <v>2023</v>
      </c>
      <c r="E460" s="9" t="n">
        <f aca="false">WEEKDAY(A460,2)</f>
        <v>3</v>
      </c>
      <c r="F460" s="10" t="n">
        <f aca="false">WEEKNUM(A460,2) - WEEKNUM(DATE(YEAR(A460),MONTH(A460),1),2) + 1</f>
        <v>3</v>
      </c>
      <c r="G460" s="10"/>
      <c r="H460" s="11" t="n">
        <v>260</v>
      </c>
      <c r="I460" s="12" t="s">
        <v>20</v>
      </c>
      <c r="J460" s="22" t="s">
        <v>44</v>
      </c>
      <c r="K460" s="12"/>
      <c r="L460" s="9" t="n">
        <f aca="false">L459+H460</f>
        <v>27138.34</v>
      </c>
      <c r="M460" s="10" t="str">
        <f aca="false">VLOOKUP(J460,RECATALOGANDO!A:C,2,0)</f>
        <v>HONORARIOS MEDICOS</v>
      </c>
      <c r="N460" s="12" t="str">
        <f aca="false">VLOOKUP(M460,RECATALOGANDO!B:C,2,0)</f>
        <v>VENTA DE SERVICIO</v>
      </c>
      <c r="O460" s="2" t="s">
        <v>78</v>
      </c>
    </row>
    <row r="461" customFormat="false" ht="13.8" hidden="false" customHeight="false" outlineLevel="0" collapsed="false">
      <c r="A461" s="8" t="n">
        <v>45091</v>
      </c>
      <c r="B461" s="9" t="n">
        <f aca="false">DAY(A461)</f>
        <v>14</v>
      </c>
      <c r="C461" s="9" t="n">
        <f aca="false">MONTH(A461)</f>
        <v>6</v>
      </c>
      <c r="D461" s="9" t="n">
        <f aca="false">YEAR(A461)</f>
        <v>2023</v>
      </c>
      <c r="E461" s="9" t="n">
        <f aca="false">WEEKDAY(A461,2)</f>
        <v>3</v>
      </c>
      <c r="F461" s="10" t="n">
        <f aca="false">WEEKNUM(A461,2) - WEEKNUM(DATE(YEAR(A461),MONTH(A461),1),2) + 1</f>
        <v>3</v>
      </c>
      <c r="G461" s="10"/>
      <c r="H461" s="11" t="n">
        <v>297.05</v>
      </c>
      <c r="I461" s="12" t="s">
        <v>15</v>
      </c>
      <c r="J461" s="22" t="s">
        <v>44</v>
      </c>
      <c r="K461" s="12"/>
      <c r="L461" s="9" t="n">
        <f aca="false">L460+H461</f>
        <v>27435.39</v>
      </c>
      <c r="M461" s="10" t="str">
        <f aca="false">VLOOKUP(J461,RECATALOGANDO!A:C,2,0)</f>
        <v>HONORARIOS MEDICOS</v>
      </c>
      <c r="N461" s="12" t="str">
        <f aca="false">VLOOKUP(M461,RECATALOGANDO!B:C,2,0)</f>
        <v>VENTA DE SERVICIO</v>
      </c>
      <c r="O461" s="2" t="s">
        <v>78</v>
      </c>
    </row>
    <row r="462" customFormat="false" ht="13.8" hidden="false" customHeight="false" outlineLevel="0" collapsed="false">
      <c r="A462" s="8" t="n">
        <v>45091</v>
      </c>
      <c r="B462" s="9" t="n">
        <f aca="false">DAY(A462)</f>
        <v>14</v>
      </c>
      <c r="C462" s="9" t="n">
        <f aca="false">MONTH(A462)</f>
        <v>6</v>
      </c>
      <c r="D462" s="9" t="n">
        <f aca="false">YEAR(A462)</f>
        <v>2023</v>
      </c>
      <c r="E462" s="9" t="n">
        <f aca="false">WEEKDAY(A462,2)</f>
        <v>3</v>
      </c>
      <c r="F462" s="10" t="n">
        <f aca="false">WEEKNUM(A462,2) - WEEKNUM(DATE(YEAR(A462),MONTH(A462),1),2) + 1</f>
        <v>3</v>
      </c>
      <c r="G462" s="10"/>
      <c r="H462" s="11" t="n">
        <v>400</v>
      </c>
      <c r="I462" s="12" t="s">
        <v>20</v>
      </c>
      <c r="J462" s="22" t="s">
        <v>44</v>
      </c>
      <c r="K462" s="12"/>
      <c r="L462" s="9" t="n">
        <f aca="false">L461+H462</f>
        <v>27835.39</v>
      </c>
      <c r="M462" s="10" t="str">
        <f aca="false">VLOOKUP(J462,RECATALOGANDO!A:C,2,0)</f>
        <v>HONORARIOS MEDICOS</v>
      </c>
      <c r="N462" s="12" t="str">
        <f aca="false">VLOOKUP(M462,RECATALOGANDO!B:C,2,0)</f>
        <v>VENTA DE SERVICIO</v>
      </c>
      <c r="O462" s="2" t="s">
        <v>78</v>
      </c>
    </row>
    <row r="463" customFormat="false" ht="13.8" hidden="false" customHeight="false" outlineLevel="0" collapsed="false">
      <c r="A463" s="8" t="n">
        <v>45091</v>
      </c>
      <c r="B463" s="9" t="n">
        <f aca="false">DAY(A463)</f>
        <v>14</v>
      </c>
      <c r="C463" s="9" t="n">
        <f aca="false">MONTH(A463)</f>
        <v>6</v>
      </c>
      <c r="D463" s="9" t="n">
        <f aca="false">YEAR(A463)</f>
        <v>2023</v>
      </c>
      <c r="E463" s="9" t="n">
        <f aca="false">WEEKDAY(A463,2)</f>
        <v>3</v>
      </c>
      <c r="F463" s="10" t="n">
        <f aca="false">WEEKNUM(A463,2) - WEEKNUM(DATE(YEAR(A463),MONTH(A463),1),2) + 1</f>
        <v>3</v>
      </c>
      <c r="G463" s="10"/>
      <c r="H463" s="11" t="n">
        <v>749</v>
      </c>
      <c r="I463" s="12" t="s">
        <v>15</v>
      </c>
      <c r="J463" s="22" t="s">
        <v>54</v>
      </c>
      <c r="K463" s="12"/>
      <c r="L463" s="9" t="n">
        <f aca="false">L462+H463</f>
        <v>28584.39</v>
      </c>
      <c r="M463" s="10" t="str">
        <f aca="false">VLOOKUP(J463,RECATALOGANDO!A:C,2,0)</f>
        <v>SERVICIO DE LABORATORIO</v>
      </c>
      <c r="N463" s="12" t="str">
        <f aca="false">VLOOKUP(M463,RECATALOGANDO!B:C,2,0)</f>
        <v>VENTA DE SERVICIO</v>
      </c>
      <c r="O463" s="2" t="s">
        <v>78</v>
      </c>
    </row>
    <row r="464" customFormat="false" ht="13.8" hidden="false" customHeight="false" outlineLevel="0" collapsed="false">
      <c r="A464" s="8" t="n">
        <v>45091</v>
      </c>
      <c r="B464" s="9" t="n">
        <f aca="false">DAY(A464)</f>
        <v>14</v>
      </c>
      <c r="C464" s="9" t="n">
        <f aca="false">MONTH(A464)</f>
        <v>6</v>
      </c>
      <c r="D464" s="9" t="n">
        <f aca="false">YEAR(A464)</f>
        <v>2023</v>
      </c>
      <c r="E464" s="9" t="n">
        <f aca="false">WEEKDAY(A464,2)</f>
        <v>3</v>
      </c>
      <c r="F464" s="10" t="n">
        <f aca="false">WEEKNUM(A464,2) - WEEKNUM(DATE(YEAR(A464),MONTH(A464),1),2) + 1</f>
        <v>3</v>
      </c>
      <c r="G464" s="10"/>
      <c r="H464" s="11" t="n">
        <v>1400</v>
      </c>
      <c r="I464" s="12" t="s">
        <v>20</v>
      </c>
      <c r="J464" s="22" t="s">
        <v>41</v>
      </c>
      <c r="K464" s="12"/>
      <c r="L464" s="9" t="n">
        <f aca="false">L463+H464</f>
        <v>29984.39</v>
      </c>
      <c r="M464" s="10" t="str">
        <f aca="false">VLOOKUP(J464,RECATALOGANDO!A:C,2,0)</f>
        <v>HONORARIOS QUIRURGICOS</v>
      </c>
      <c r="N464" s="12" t="str">
        <f aca="false">VLOOKUP(M464,RECATALOGANDO!B:C,2,0)</f>
        <v>VENTA DE SERVICIO</v>
      </c>
      <c r="O464" s="2" t="s">
        <v>78</v>
      </c>
    </row>
    <row r="465" customFormat="false" ht="13.8" hidden="false" customHeight="false" outlineLevel="0" collapsed="false">
      <c r="A465" s="8" t="n">
        <v>45092</v>
      </c>
      <c r="B465" s="9" t="n">
        <f aca="false">DAY(A465)</f>
        <v>15</v>
      </c>
      <c r="C465" s="9" t="n">
        <f aca="false">MONTH(A465)</f>
        <v>6</v>
      </c>
      <c r="D465" s="9" t="n">
        <f aca="false">YEAR(A465)</f>
        <v>2023</v>
      </c>
      <c r="E465" s="9" t="n">
        <f aca="false">WEEKDAY(A465,2)</f>
        <v>4</v>
      </c>
      <c r="F465" s="10" t="n">
        <f aca="false">WEEKNUM(A465,2) - WEEKNUM(DATE(YEAR(A465),MONTH(A465),1),2) + 1</f>
        <v>3</v>
      </c>
      <c r="G465" s="10" t="n">
        <v>1</v>
      </c>
      <c r="H465" s="11" t="n">
        <v>1068</v>
      </c>
      <c r="I465" s="12" t="s">
        <v>15</v>
      </c>
      <c r="J465" s="22" t="s">
        <v>45</v>
      </c>
      <c r="K465" s="12"/>
      <c r="L465" s="9" t="n">
        <f aca="false">L464+H465</f>
        <v>31052.39</v>
      </c>
      <c r="M465" s="10" t="str">
        <f aca="false">VLOOKUP(J465,RECATALOGANDO!A:C,2,0)</f>
        <v>VENTA DE MEDICAMENTO</v>
      </c>
      <c r="N465" s="12" t="str">
        <f aca="false">VLOOKUP(M465,RECATALOGANDO!B:C,2,0)</f>
        <v>VENTA DE PRODUCTO</v>
      </c>
      <c r="O465" s="2" t="s">
        <v>78</v>
      </c>
    </row>
    <row r="466" customFormat="false" ht="13.8" hidden="false" customHeight="false" outlineLevel="0" collapsed="false">
      <c r="A466" s="8" t="n">
        <v>45092</v>
      </c>
      <c r="B466" s="9" t="n">
        <f aca="false">DAY(A466)</f>
        <v>15</v>
      </c>
      <c r="C466" s="9" t="n">
        <f aca="false">MONTH(A466)</f>
        <v>6</v>
      </c>
      <c r="D466" s="9" t="n">
        <f aca="false">YEAR(A466)</f>
        <v>2023</v>
      </c>
      <c r="E466" s="9" t="n">
        <f aca="false">WEEKDAY(A466,2)</f>
        <v>4</v>
      </c>
      <c r="F466" s="10" t="n">
        <f aca="false">WEEKNUM(A466,2) - WEEKNUM(DATE(YEAR(A466),MONTH(A466),1),2) + 1</f>
        <v>3</v>
      </c>
      <c r="G466" s="10" t="n">
        <v>1</v>
      </c>
      <c r="H466" s="11" t="n">
        <v>300</v>
      </c>
      <c r="I466" s="12" t="s">
        <v>20</v>
      </c>
      <c r="J466" s="22" t="s">
        <v>57</v>
      </c>
      <c r="K466" s="12"/>
      <c r="L466" s="9" t="n">
        <f aca="false">L465+H466</f>
        <v>31352.39</v>
      </c>
      <c r="M466" s="10" t="str">
        <f aca="false">VLOOKUP(J466,RECATALOGANDO!A:C,2,0)</f>
        <v>SERVICIO DE CREMACION</v>
      </c>
      <c r="N466" s="12" t="str">
        <f aca="false">VLOOKUP(M466,RECATALOGANDO!B:C,2,0)</f>
        <v>VENTA DE SERVICIO</v>
      </c>
      <c r="O466" s="2" t="s">
        <v>78</v>
      </c>
    </row>
    <row r="467" customFormat="false" ht="13.8" hidden="false" customHeight="false" outlineLevel="0" collapsed="false">
      <c r="A467" s="8" t="n">
        <v>45092</v>
      </c>
      <c r="B467" s="9" t="n">
        <f aca="false">DAY(A467)</f>
        <v>15</v>
      </c>
      <c r="C467" s="9" t="n">
        <f aca="false">MONTH(A467)</f>
        <v>6</v>
      </c>
      <c r="D467" s="9" t="n">
        <f aca="false">YEAR(A467)</f>
        <v>2023</v>
      </c>
      <c r="E467" s="9" t="n">
        <f aca="false">WEEKDAY(A467,2)</f>
        <v>4</v>
      </c>
      <c r="F467" s="10" t="n">
        <f aca="false">WEEKNUM(A467,2) - WEEKNUM(DATE(YEAR(A467),MONTH(A467),1),2) + 1</f>
        <v>3</v>
      </c>
      <c r="G467" s="10" t="n">
        <v>1</v>
      </c>
      <c r="H467" s="11" t="n">
        <v>390</v>
      </c>
      <c r="I467" s="12" t="s">
        <v>20</v>
      </c>
      <c r="J467" s="22" t="s">
        <v>44</v>
      </c>
      <c r="K467" s="12"/>
      <c r="L467" s="9" t="n">
        <f aca="false">L466+H467</f>
        <v>31742.39</v>
      </c>
      <c r="M467" s="10" t="str">
        <f aca="false">VLOOKUP(J467,RECATALOGANDO!A:C,2,0)</f>
        <v>HONORARIOS MEDICOS</v>
      </c>
      <c r="N467" s="12" t="str">
        <f aca="false">VLOOKUP(M467,RECATALOGANDO!B:C,2,0)</f>
        <v>VENTA DE SERVICIO</v>
      </c>
      <c r="O467" s="2" t="s">
        <v>78</v>
      </c>
    </row>
    <row r="468" customFormat="false" ht="13.8" hidden="false" customHeight="false" outlineLevel="0" collapsed="false">
      <c r="A468" s="8" t="n">
        <v>45092</v>
      </c>
      <c r="B468" s="9" t="n">
        <f aca="false">DAY(A468)</f>
        <v>15</v>
      </c>
      <c r="C468" s="9" t="n">
        <f aca="false">MONTH(A468)</f>
        <v>6</v>
      </c>
      <c r="D468" s="9" t="n">
        <f aca="false">YEAR(A468)</f>
        <v>2023</v>
      </c>
      <c r="E468" s="9" t="n">
        <f aca="false">WEEKDAY(A468,2)</f>
        <v>4</v>
      </c>
      <c r="F468" s="10" t="n">
        <f aca="false">WEEKNUM(A468,2) - WEEKNUM(DATE(YEAR(A468),MONTH(A468),1),2) + 1</f>
        <v>3</v>
      </c>
      <c r="G468" s="10" t="n">
        <v>1</v>
      </c>
      <c r="H468" s="11" t="n">
        <v>650</v>
      </c>
      <c r="I468" s="12" t="s">
        <v>15</v>
      </c>
      <c r="J468" s="22" t="s">
        <v>44</v>
      </c>
      <c r="K468" s="12"/>
      <c r="L468" s="9" t="n">
        <f aca="false">L467+H468</f>
        <v>32392.39</v>
      </c>
      <c r="M468" s="10" t="str">
        <f aca="false">VLOOKUP(J468,RECATALOGANDO!A:C,2,0)</f>
        <v>HONORARIOS MEDICOS</v>
      </c>
      <c r="N468" s="12" t="str">
        <f aca="false">VLOOKUP(M468,RECATALOGANDO!B:C,2,0)</f>
        <v>VENTA DE SERVICIO</v>
      </c>
      <c r="O468" s="2" t="s">
        <v>78</v>
      </c>
    </row>
    <row r="469" customFormat="false" ht="13.8" hidden="false" customHeight="false" outlineLevel="0" collapsed="false">
      <c r="A469" s="8" t="n">
        <v>45092</v>
      </c>
      <c r="B469" s="9" t="n">
        <f aca="false">DAY(A469)</f>
        <v>15</v>
      </c>
      <c r="C469" s="9" t="n">
        <f aca="false">MONTH(A469)</f>
        <v>6</v>
      </c>
      <c r="D469" s="9" t="n">
        <f aca="false">YEAR(A469)</f>
        <v>2023</v>
      </c>
      <c r="E469" s="9" t="n">
        <f aca="false">WEEKDAY(A469,2)</f>
        <v>4</v>
      </c>
      <c r="F469" s="10" t="n">
        <f aca="false">WEEKNUM(A469,2) - WEEKNUM(DATE(YEAR(A469),MONTH(A469),1),2) + 1</f>
        <v>3</v>
      </c>
      <c r="G469" s="10" t="n">
        <v>1</v>
      </c>
      <c r="H469" s="11" t="n">
        <v>706</v>
      </c>
      <c r="I469" s="12" t="s">
        <v>15</v>
      </c>
      <c r="J469" s="22" t="s">
        <v>44</v>
      </c>
      <c r="K469" s="12"/>
      <c r="L469" s="9" t="n">
        <f aca="false">L468+H469</f>
        <v>33098.39</v>
      </c>
      <c r="M469" s="10" t="str">
        <f aca="false">VLOOKUP(J469,RECATALOGANDO!A:C,2,0)</f>
        <v>HONORARIOS MEDICOS</v>
      </c>
      <c r="N469" s="12" t="str">
        <f aca="false">VLOOKUP(M469,RECATALOGANDO!B:C,2,0)</f>
        <v>VENTA DE SERVICIO</v>
      </c>
      <c r="O469" s="2" t="s">
        <v>78</v>
      </c>
    </row>
    <row r="470" customFormat="false" ht="13.8" hidden="false" customHeight="false" outlineLevel="0" collapsed="false">
      <c r="A470" s="8" t="n">
        <v>45093</v>
      </c>
      <c r="B470" s="9" t="n">
        <f aca="false">DAY(A470)</f>
        <v>16</v>
      </c>
      <c r="C470" s="9" t="n">
        <f aca="false">MONTH(A470)</f>
        <v>6</v>
      </c>
      <c r="D470" s="9" t="n">
        <f aca="false">YEAR(A470)</f>
        <v>2023</v>
      </c>
      <c r="E470" s="9" t="n">
        <f aca="false">WEEKDAY(A470,2)</f>
        <v>5</v>
      </c>
      <c r="F470" s="10" t="n">
        <f aca="false">WEEKNUM(A470,2) - WEEKNUM(DATE(YEAR(A470),MONTH(A470),1),2) + 1</f>
        <v>3</v>
      </c>
      <c r="G470" s="10"/>
      <c r="H470" s="11" t="n">
        <v>887</v>
      </c>
      <c r="I470" s="12" t="s">
        <v>15</v>
      </c>
      <c r="J470" s="22" t="s">
        <v>45</v>
      </c>
      <c r="K470" s="12"/>
      <c r="L470" s="9" t="n">
        <f aca="false">L469+H470</f>
        <v>33985.39</v>
      </c>
      <c r="M470" s="10" t="str">
        <f aca="false">VLOOKUP(J470,RECATALOGANDO!A:C,2,0)</f>
        <v>VENTA DE MEDICAMENTO</v>
      </c>
      <c r="N470" s="12" t="str">
        <f aca="false">VLOOKUP(M470,RECATALOGANDO!B:C,2,0)</f>
        <v>VENTA DE PRODUCTO</v>
      </c>
      <c r="O470" s="2" t="s">
        <v>78</v>
      </c>
    </row>
    <row r="471" customFormat="false" ht="13.8" hidden="false" customHeight="false" outlineLevel="0" collapsed="false">
      <c r="A471" s="8" t="n">
        <v>45093</v>
      </c>
      <c r="B471" s="9" t="n">
        <f aca="false">DAY(A471)</f>
        <v>16</v>
      </c>
      <c r="C471" s="9" t="n">
        <f aca="false">MONTH(A471)</f>
        <v>6</v>
      </c>
      <c r="D471" s="9" t="n">
        <f aca="false">YEAR(A471)</f>
        <v>2023</v>
      </c>
      <c r="E471" s="9" t="n">
        <f aca="false">WEEKDAY(A471,2)</f>
        <v>5</v>
      </c>
      <c r="F471" s="10" t="n">
        <f aca="false">WEEKNUM(A471,2) - WEEKNUM(DATE(YEAR(A471),MONTH(A471),1),2) + 1</f>
        <v>3</v>
      </c>
      <c r="G471" s="10"/>
      <c r="H471" s="11" t="n">
        <v>2350</v>
      </c>
      <c r="I471" s="12" t="s">
        <v>15</v>
      </c>
      <c r="J471" s="22" t="s">
        <v>41</v>
      </c>
      <c r="K471" s="12"/>
      <c r="L471" s="9" t="n">
        <f aca="false">L470+H471</f>
        <v>36335.39</v>
      </c>
      <c r="M471" s="10" t="str">
        <f aca="false">VLOOKUP(J471,RECATALOGANDO!A:C,2,0)</f>
        <v>HONORARIOS QUIRURGICOS</v>
      </c>
      <c r="N471" s="12" t="str">
        <f aca="false">VLOOKUP(M471,RECATALOGANDO!B:C,2,0)</f>
        <v>VENTA DE SERVICIO</v>
      </c>
      <c r="O471" s="2" t="s">
        <v>78</v>
      </c>
    </row>
    <row r="472" customFormat="false" ht="13.8" hidden="false" customHeight="false" outlineLevel="0" collapsed="false">
      <c r="A472" s="8" t="n">
        <v>45094</v>
      </c>
      <c r="B472" s="9" t="n">
        <f aca="false">DAY(A472)</f>
        <v>17</v>
      </c>
      <c r="C472" s="9" t="n">
        <f aca="false">MONTH(A472)</f>
        <v>6</v>
      </c>
      <c r="D472" s="9" t="n">
        <f aca="false">YEAR(A472)</f>
        <v>2023</v>
      </c>
      <c r="E472" s="9" t="n">
        <f aca="false">WEEKDAY(A472,2)</f>
        <v>6</v>
      </c>
      <c r="F472" s="10" t="n">
        <f aca="false">WEEKNUM(A472,2) - WEEKNUM(DATE(YEAR(A472),MONTH(A472),1),2) + 1</f>
        <v>3</v>
      </c>
      <c r="G472" s="10"/>
      <c r="H472" s="11" t="n">
        <v>148.53</v>
      </c>
      <c r="I472" s="12" t="s">
        <v>15</v>
      </c>
      <c r="J472" s="22" t="s">
        <v>53</v>
      </c>
      <c r="K472" s="12"/>
      <c r="L472" s="9" t="n">
        <f aca="false">L471+H472</f>
        <v>36483.92</v>
      </c>
      <c r="M472" s="10" t="str">
        <f aca="false">VLOOKUP(J472,RECATALOGANDO!A:C,2,0)</f>
        <v>SERVICIO DE GROOMING</v>
      </c>
      <c r="N472" s="12" t="str">
        <f aca="false">VLOOKUP(M472,RECATALOGANDO!B:C,2,0)</f>
        <v>VENTA DE SERVICIO</v>
      </c>
      <c r="O472" s="2" t="s">
        <v>78</v>
      </c>
    </row>
    <row r="473" customFormat="false" ht="13.8" hidden="false" customHeight="false" outlineLevel="0" collapsed="false">
      <c r="A473" s="8" t="n">
        <v>45095</v>
      </c>
      <c r="B473" s="9" t="n">
        <f aca="false">DAY(A473)</f>
        <v>18</v>
      </c>
      <c r="C473" s="9" t="n">
        <f aca="false">MONTH(A473)</f>
        <v>6</v>
      </c>
      <c r="D473" s="9" t="n">
        <f aca="false">YEAR(A473)</f>
        <v>2023</v>
      </c>
      <c r="E473" s="9" t="n">
        <f aca="false">WEEKDAY(A473,2)</f>
        <v>7</v>
      </c>
      <c r="F473" s="10" t="n">
        <f aca="false">WEEKNUM(A473,2) - WEEKNUM(DATE(YEAR(A473),MONTH(A473),1),2) + 1</f>
        <v>3</v>
      </c>
      <c r="G473" s="10"/>
      <c r="H473" s="11" t="n">
        <v>248.19</v>
      </c>
      <c r="I473" s="12" t="s">
        <v>15</v>
      </c>
      <c r="J473" s="22" t="s">
        <v>53</v>
      </c>
      <c r="K473" s="12"/>
      <c r="L473" s="9" t="n">
        <f aca="false">L472+H473</f>
        <v>36732.11</v>
      </c>
      <c r="M473" s="10" t="str">
        <f aca="false">VLOOKUP(J473,RECATALOGANDO!A:C,2,0)</f>
        <v>SERVICIO DE GROOMING</v>
      </c>
      <c r="N473" s="12" t="str">
        <f aca="false">VLOOKUP(M473,RECATALOGANDO!B:C,2,0)</f>
        <v>VENTA DE SERVICIO</v>
      </c>
      <c r="O473" s="2" t="s">
        <v>78</v>
      </c>
    </row>
    <row r="474" customFormat="false" ht="13.8" hidden="false" customHeight="false" outlineLevel="0" collapsed="false">
      <c r="A474" s="8" t="n">
        <v>45096</v>
      </c>
      <c r="B474" s="9" t="n">
        <f aca="false">DAY(A474)</f>
        <v>19</v>
      </c>
      <c r="C474" s="9" t="n">
        <f aca="false">MONTH(A474)</f>
        <v>6</v>
      </c>
      <c r="D474" s="9" t="n">
        <f aca="false">YEAR(A474)</f>
        <v>2023</v>
      </c>
      <c r="E474" s="9" t="n">
        <f aca="false">WEEKDAY(A474,2)</f>
        <v>1</v>
      </c>
      <c r="F474" s="10" t="n">
        <f aca="false">WEEKNUM(A474,2) - WEEKNUM(DATE(YEAR(A474),MONTH(A474),1),2) + 1</f>
        <v>4</v>
      </c>
      <c r="G474" s="10"/>
      <c r="H474" s="11" t="n">
        <v>248</v>
      </c>
      <c r="I474" s="12" t="s">
        <v>15</v>
      </c>
      <c r="J474" s="22" t="s">
        <v>45</v>
      </c>
      <c r="K474" s="12"/>
      <c r="L474" s="9" t="n">
        <f aca="false">L473+H474</f>
        <v>36980.11</v>
      </c>
      <c r="M474" s="10" t="str">
        <f aca="false">VLOOKUP(J474,RECATALOGANDO!A:C,2,0)</f>
        <v>VENTA DE MEDICAMENTO</v>
      </c>
      <c r="N474" s="12" t="str">
        <f aca="false">VLOOKUP(M474,RECATALOGANDO!B:C,2,0)</f>
        <v>VENTA DE PRODUCTO</v>
      </c>
      <c r="O474" s="2" t="s">
        <v>78</v>
      </c>
    </row>
    <row r="475" customFormat="false" ht="13.8" hidden="false" customHeight="false" outlineLevel="0" collapsed="false">
      <c r="A475" s="8" t="n">
        <v>45096</v>
      </c>
      <c r="B475" s="9" t="n">
        <f aca="false">DAY(A475)</f>
        <v>19</v>
      </c>
      <c r="C475" s="9" t="n">
        <f aca="false">MONTH(A475)</f>
        <v>6</v>
      </c>
      <c r="D475" s="9" t="n">
        <f aca="false">YEAR(A475)</f>
        <v>2023</v>
      </c>
      <c r="E475" s="9" t="n">
        <f aca="false">WEEKDAY(A475,2)</f>
        <v>1</v>
      </c>
      <c r="F475" s="10" t="n">
        <f aca="false">WEEKNUM(A475,2) - WEEKNUM(DATE(YEAR(A475),MONTH(A475),1),2) + 1</f>
        <v>4</v>
      </c>
      <c r="G475" s="10"/>
      <c r="H475" s="11" t="n">
        <v>1314</v>
      </c>
      <c r="I475" s="12" t="s">
        <v>20</v>
      </c>
      <c r="J475" s="22" t="s">
        <v>51</v>
      </c>
      <c r="K475" s="12"/>
      <c r="L475" s="9" t="n">
        <f aca="false">L474+H475</f>
        <v>38294.11</v>
      </c>
      <c r="M475" s="10" t="str">
        <f aca="false">VLOOKUP(J475,RECATALOGANDO!A:C,2,0)</f>
        <v>VENTA DE ALIMENTO</v>
      </c>
      <c r="N475" s="12" t="str">
        <f aca="false">VLOOKUP(M475,RECATALOGANDO!B:C,2,0)</f>
        <v>VENTA DE PRODUCTO</v>
      </c>
      <c r="O475" s="2" t="s">
        <v>78</v>
      </c>
    </row>
    <row r="476" customFormat="false" ht="13.8" hidden="false" customHeight="false" outlineLevel="0" collapsed="false">
      <c r="A476" s="8" t="n">
        <v>45096</v>
      </c>
      <c r="B476" s="9" t="n">
        <f aca="false">DAY(A476)</f>
        <v>19</v>
      </c>
      <c r="C476" s="9" t="n">
        <f aca="false">MONTH(A476)</f>
        <v>6</v>
      </c>
      <c r="D476" s="9" t="n">
        <f aca="false">YEAR(A476)</f>
        <v>2023</v>
      </c>
      <c r="E476" s="9" t="n">
        <f aca="false">WEEKDAY(A476,2)</f>
        <v>1</v>
      </c>
      <c r="F476" s="10" t="n">
        <f aca="false">WEEKNUM(A476,2) - WEEKNUM(DATE(YEAR(A476),MONTH(A476),1),2) + 1</f>
        <v>4</v>
      </c>
      <c r="G476" s="10"/>
      <c r="H476" s="11" t="n">
        <v>705</v>
      </c>
      <c r="I476" s="12" t="s">
        <v>15</v>
      </c>
      <c r="J476" s="22" t="s">
        <v>57</v>
      </c>
      <c r="K476" s="12"/>
      <c r="L476" s="9" t="n">
        <f aca="false">L475+H476</f>
        <v>38999.11</v>
      </c>
      <c r="M476" s="10" t="str">
        <f aca="false">VLOOKUP(J476,RECATALOGANDO!A:C,2,0)</f>
        <v>SERVICIO DE CREMACION</v>
      </c>
      <c r="N476" s="12" t="str">
        <f aca="false">VLOOKUP(M476,RECATALOGANDO!B:C,2,0)</f>
        <v>VENTA DE SERVICIO</v>
      </c>
      <c r="O476" s="2" t="s">
        <v>78</v>
      </c>
    </row>
    <row r="477" customFormat="false" ht="13.8" hidden="false" customHeight="false" outlineLevel="0" collapsed="false">
      <c r="A477" s="8" t="n">
        <v>45096</v>
      </c>
      <c r="B477" s="9" t="n">
        <f aca="false">DAY(A477)</f>
        <v>19</v>
      </c>
      <c r="C477" s="9" t="n">
        <f aca="false">MONTH(A477)</f>
        <v>6</v>
      </c>
      <c r="D477" s="9" t="n">
        <f aca="false">YEAR(A477)</f>
        <v>2023</v>
      </c>
      <c r="E477" s="9" t="n">
        <f aca="false">WEEKDAY(A477,2)</f>
        <v>1</v>
      </c>
      <c r="F477" s="10" t="n">
        <f aca="false">WEEKNUM(A477,2) - WEEKNUM(DATE(YEAR(A477),MONTH(A477),1),2) + 1</f>
        <v>4</v>
      </c>
      <c r="G477" s="10"/>
      <c r="H477" s="11" t="n">
        <v>1441</v>
      </c>
      <c r="I477" s="12" t="s">
        <v>20</v>
      </c>
      <c r="J477" s="22" t="s">
        <v>44</v>
      </c>
      <c r="K477" s="12"/>
      <c r="L477" s="9" t="n">
        <f aca="false">L476+H477</f>
        <v>40440.11</v>
      </c>
      <c r="M477" s="10" t="str">
        <f aca="false">VLOOKUP(J477,RECATALOGANDO!A:C,2,0)</f>
        <v>HONORARIOS MEDICOS</v>
      </c>
      <c r="N477" s="12" t="str">
        <f aca="false">VLOOKUP(M477,RECATALOGANDO!B:C,2,0)</f>
        <v>VENTA DE SERVICIO</v>
      </c>
      <c r="O477" s="2" t="s">
        <v>78</v>
      </c>
    </row>
    <row r="478" customFormat="false" ht="13.8" hidden="false" customHeight="false" outlineLevel="0" collapsed="false">
      <c r="A478" s="8" t="n">
        <v>45096</v>
      </c>
      <c r="B478" s="9" t="n">
        <f aca="false">DAY(A478)</f>
        <v>19</v>
      </c>
      <c r="C478" s="9" t="n">
        <f aca="false">MONTH(A478)</f>
        <v>6</v>
      </c>
      <c r="D478" s="9" t="n">
        <f aca="false">YEAR(A478)</f>
        <v>2023</v>
      </c>
      <c r="E478" s="9" t="n">
        <f aca="false">WEEKDAY(A478,2)</f>
        <v>1</v>
      </c>
      <c r="F478" s="10" t="n">
        <f aca="false">WEEKNUM(A478,2) - WEEKNUM(DATE(YEAR(A478),MONTH(A478),1),2) + 1</f>
        <v>4</v>
      </c>
      <c r="G478" s="10"/>
      <c r="H478" s="11" t="n">
        <v>1920</v>
      </c>
      <c r="I478" s="12" t="s">
        <v>20</v>
      </c>
      <c r="J478" s="22" t="s">
        <v>58</v>
      </c>
      <c r="K478" s="12"/>
      <c r="L478" s="9" t="n">
        <f aca="false">L477+H478</f>
        <v>42360.11</v>
      </c>
      <c r="M478" s="10" t="str">
        <f aca="false">VLOOKUP(J478,RECATALOGANDO!A:C,2,0)</f>
        <v>SERVICIO DE LABORATORIO</v>
      </c>
      <c r="N478" s="12" t="str">
        <f aca="false">VLOOKUP(M478,RECATALOGANDO!B:C,2,0)</f>
        <v>VENTA DE SERVICIO</v>
      </c>
      <c r="O478" s="2" t="s">
        <v>78</v>
      </c>
    </row>
    <row r="479" customFormat="false" ht="13.8" hidden="false" customHeight="false" outlineLevel="0" collapsed="false">
      <c r="A479" s="8" t="n">
        <v>45097</v>
      </c>
      <c r="B479" s="9" t="n">
        <f aca="false">DAY(A479)</f>
        <v>20</v>
      </c>
      <c r="C479" s="9" t="n">
        <f aca="false">MONTH(A479)</f>
        <v>6</v>
      </c>
      <c r="D479" s="9" t="n">
        <f aca="false">YEAR(A479)</f>
        <v>2023</v>
      </c>
      <c r="E479" s="9" t="n">
        <f aca="false">WEEKDAY(A479,2)</f>
        <v>2</v>
      </c>
      <c r="F479" s="10" t="n">
        <f aca="false">WEEKNUM(A479,2) - WEEKNUM(DATE(YEAR(A479),MONTH(A479),1),2) + 1</f>
        <v>4</v>
      </c>
      <c r="G479" s="10"/>
      <c r="H479" s="11" t="n">
        <v>1183</v>
      </c>
      <c r="I479" s="12" t="s">
        <v>15</v>
      </c>
      <c r="J479" s="22" t="s">
        <v>45</v>
      </c>
      <c r="K479" s="12"/>
      <c r="L479" s="9" t="n">
        <f aca="false">L478+H479</f>
        <v>43543.11</v>
      </c>
      <c r="M479" s="10" t="str">
        <f aca="false">VLOOKUP(J479,RECATALOGANDO!A:C,2,0)</f>
        <v>VENTA DE MEDICAMENTO</v>
      </c>
      <c r="N479" s="12" t="str">
        <f aca="false">VLOOKUP(M479,RECATALOGANDO!B:C,2,0)</f>
        <v>VENTA DE PRODUCTO</v>
      </c>
      <c r="O479" s="2" t="s">
        <v>78</v>
      </c>
    </row>
    <row r="480" customFormat="false" ht="13.8" hidden="false" customHeight="false" outlineLevel="0" collapsed="false">
      <c r="A480" s="8" t="n">
        <v>45097</v>
      </c>
      <c r="B480" s="9" t="n">
        <f aca="false">DAY(A480)</f>
        <v>20</v>
      </c>
      <c r="C480" s="9" t="n">
        <f aca="false">MONTH(A480)</f>
        <v>6</v>
      </c>
      <c r="D480" s="9" t="n">
        <f aca="false">YEAR(A480)</f>
        <v>2023</v>
      </c>
      <c r="E480" s="9" t="n">
        <f aca="false">WEEKDAY(A480,2)</f>
        <v>2</v>
      </c>
      <c r="F480" s="10" t="n">
        <f aca="false">WEEKNUM(A480,2) - WEEKNUM(DATE(YEAR(A480),MONTH(A480),1),2) + 1</f>
        <v>4</v>
      </c>
      <c r="G480" s="10"/>
      <c r="H480" s="11" t="n">
        <v>180</v>
      </c>
      <c r="I480" s="12" t="s">
        <v>20</v>
      </c>
      <c r="J480" s="22" t="s">
        <v>53</v>
      </c>
      <c r="K480" s="12"/>
      <c r="L480" s="9" t="n">
        <f aca="false">L479+H480</f>
        <v>43723.11</v>
      </c>
      <c r="M480" s="10" t="str">
        <f aca="false">VLOOKUP(J480,RECATALOGANDO!A:C,2,0)</f>
        <v>SERVICIO DE GROOMING</v>
      </c>
      <c r="N480" s="12" t="str">
        <f aca="false">VLOOKUP(M480,RECATALOGANDO!B:C,2,0)</f>
        <v>VENTA DE SERVICIO</v>
      </c>
      <c r="O480" s="2" t="s">
        <v>78</v>
      </c>
    </row>
    <row r="481" customFormat="false" ht="13.8" hidden="false" customHeight="false" outlineLevel="0" collapsed="false">
      <c r="A481" s="8" t="n">
        <v>45097</v>
      </c>
      <c r="B481" s="9" t="n">
        <f aca="false">DAY(A481)</f>
        <v>20</v>
      </c>
      <c r="C481" s="9" t="n">
        <f aca="false">MONTH(A481)</f>
        <v>6</v>
      </c>
      <c r="D481" s="9" t="n">
        <f aca="false">YEAR(A481)</f>
        <v>2023</v>
      </c>
      <c r="E481" s="9" t="n">
        <f aca="false">WEEKDAY(A481,2)</f>
        <v>2</v>
      </c>
      <c r="F481" s="10" t="n">
        <f aca="false">WEEKNUM(A481,2) - WEEKNUM(DATE(YEAR(A481),MONTH(A481),1),2) + 1</f>
        <v>4</v>
      </c>
      <c r="G481" s="10"/>
      <c r="H481" s="11" t="n">
        <v>240</v>
      </c>
      <c r="I481" s="12" t="s">
        <v>15</v>
      </c>
      <c r="J481" s="22" t="s">
        <v>53</v>
      </c>
      <c r="K481" s="12"/>
      <c r="L481" s="9" t="n">
        <f aca="false">L480+H481</f>
        <v>43963.11</v>
      </c>
      <c r="M481" s="10" t="str">
        <f aca="false">VLOOKUP(J481,RECATALOGANDO!A:C,2,0)</f>
        <v>SERVICIO DE GROOMING</v>
      </c>
      <c r="N481" s="12" t="str">
        <f aca="false">VLOOKUP(M481,RECATALOGANDO!B:C,2,0)</f>
        <v>VENTA DE SERVICIO</v>
      </c>
      <c r="O481" s="2" t="s">
        <v>78</v>
      </c>
    </row>
    <row r="482" customFormat="false" ht="13.8" hidden="false" customHeight="false" outlineLevel="0" collapsed="false">
      <c r="A482" s="8" t="n">
        <v>45097</v>
      </c>
      <c r="B482" s="9" t="n">
        <f aca="false">DAY(A482)</f>
        <v>20</v>
      </c>
      <c r="C482" s="9" t="n">
        <f aca="false">MONTH(A482)</f>
        <v>6</v>
      </c>
      <c r="D482" s="9" t="n">
        <f aca="false">YEAR(A482)</f>
        <v>2023</v>
      </c>
      <c r="E482" s="9" t="n">
        <f aca="false">WEEKDAY(A482,2)</f>
        <v>2</v>
      </c>
      <c r="F482" s="10" t="n">
        <f aca="false">WEEKNUM(A482,2) - WEEKNUM(DATE(YEAR(A482),MONTH(A482),1),2) + 1</f>
        <v>4</v>
      </c>
      <c r="G482" s="10"/>
      <c r="H482" s="11" t="n">
        <v>1160</v>
      </c>
      <c r="I482" s="12" t="s">
        <v>15</v>
      </c>
      <c r="J482" s="22" t="s">
        <v>54</v>
      </c>
      <c r="K482" s="12"/>
      <c r="L482" s="9" t="n">
        <f aca="false">L481+H482</f>
        <v>45123.11</v>
      </c>
      <c r="M482" s="10" t="str">
        <f aca="false">VLOOKUP(J482,RECATALOGANDO!A:C,2,0)</f>
        <v>SERVICIO DE LABORATORIO</v>
      </c>
      <c r="N482" s="12" t="str">
        <f aca="false">VLOOKUP(M482,RECATALOGANDO!B:C,2,0)</f>
        <v>VENTA DE SERVICIO</v>
      </c>
      <c r="O482" s="2" t="s">
        <v>78</v>
      </c>
    </row>
    <row r="483" customFormat="false" ht="13.8" hidden="false" customHeight="false" outlineLevel="0" collapsed="false">
      <c r="A483" s="8" t="n">
        <v>45098</v>
      </c>
      <c r="B483" s="9" t="n">
        <f aca="false">DAY(A483)</f>
        <v>21</v>
      </c>
      <c r="C483" s="9" t="n">
        <f aca="false">MONTH(A483)</f>
        <v>6</v>
      </c>
      <c r="D483" s="9" t="n">
        <f aca="false">YEAR(A483)</f>
        <v>2023</v>
      </c>
      <c r="E483" s="9" t="n">
        <f aca="false">WEEKDAY(A483,2)</f>
        <v>3</v>
      </c>
      <c r="F483" s="10" t="n">
        <f aca="false">WEEKNUM(A483,2) - WEEKNUM(DATE(YEAR(A483),MONTH(A483),1),2) + 1</f>
        <v>4</v>
      </c>
      <c r="G483" s="10"/>
      <c r="H483" s="11" t="n">
        <v>1559</v>
      </c>
      <c r="I483" s="12" t="s">
        <v>15</v>
      </c>
      <c r="J483" s="22" t="s">
        <v>51</v>
      </c>
      <c r="K483" s="12"/>
      <c r="L483" s="9" t="n">
        <f aca="false">L482+H483</f>
        <v>46682.11</v>
      </c>
      <c r="M483" s="10" t="str">
        <f aca="false">VLOOKUP(J483,RECATALOGANDO!A:C,2,0)</f>
        <v>VENTA DE ALIMENTO</v>
      </c>
      <c r="N483" s="12" t="str">
        <f aca="false">VLOOKUP(M483,RECATALOGANDO!B:C,2,0)</f>
        <v>VENTA DE PRODUCTO</v>
      </c>
      <c r="O483" s="2" t="s">
        <v>78</v>
      </c>
    </row>
    <row r="484" customFormat="false" ht="13.8" hidden="false" customHeight="false" outlineLevel="0" collapsed="false">
      <c r="A484" s="8" t="n">
        <v>45098</v>
      </c>
      <c r="B484" s="9" t="n">
        <f aca="false">DAY(A484)</f>
        <v>21</v>
      </c>
      <c r="C484" s="9" t="n">
        <f aca="false">MONTH(A484)</f>
        <v>6</v>
      </c>
      <c r="D484" s="9" t="n">
        <f aca="false">YEAR(A484)</f>
        <v>2023</v>
      </c>
      <c r="E484" s="9" t="n">
        <f aca="false">WEEKDAY(A484,2)</f>
        <v>3</v>
      </c>
      <c r="F484" s="10" t="n">
        <f aca="false">WEEKNUM(A484,2) - WEEKNUM(DATE(YEAR(A484),MONTH(A484),1),2) + 1</f>
        <v>4</v>
      </c>
      <c r="G484" s="10"/>
      <c r="H484" s="11" t="n">
        <v>100</v>
      </c>
      <c r="I484" s="12" t="s">
        <v>20</v>
      </c>
      <c r="J484" s="22" t="s">
        <v>44</v>
      </c>
      <c r="K484" s="12"/>
      <c r="L484" s="9" t="n">
        <f aca="false">L483+H484</f>
        <v>46782.11</v>
      </c>
      <c r="M484" s="10" t="str">
        <f aca="false">VLOOKUP(J484,RECATALOGANDO!A:C,2,0)</f>
        <v>HONORARIOS MEDICOS</v>
      </c>
      <c r="N484" s="12" t="str">
        <f aca="false">VLOOKUP(M484,RECATALOGANDO!B:C,2,0)</f>
        <v>VENTA DE SERVICIO</v>
      </c>
      <c r="O484" s="2" t="s">
        <v>78</v>
      </c>
    </row>
    <row r="485" customFormat="false" ht="13.8" hidden="false" customHeight="false" outlineLevel="0" collapsed="false">
      <c r="A485" s="8" t="n">
        <v>45098</v>
      </c>
      <c r="B485" s="9" t="n">
        <f aca="false">DAY(A485)</f>
        <v>21</v>
      </c>
      <c r="C485" s="9" t="n">
        <f aca="false">MONTH(A485)</f>
        <v>6</v>
      </c>
      <c r="D485" s="9" t="n">
        <f aca="false">YEAR(A485)</f>
        <v>2023</v>
      </c>
      <c r="E485" s="9" t="n">
        <f aca="false">WEEKDAY(A485,2)</f>
        <v>3</v>
      </c>
      <c r="F485" s="10" t="n">
        <f aca="false">WEEKNUM(A485,2) - WEEKNUM(DATE(YEAR(A485),MONTH(A485),1),2) + 1</f>
        <v>4</v>
      </c>
      <c r="G485" s="10"/>
      <c r="H485" s="11" t="n">
        <v>240</v>
      </c>
      <c r="I485" s="12" t="s">
        <v>15</v>
      </c>
      <c r="J485" s="22" t="s">
        <v>53</v>
      </c>
      <c r="K485" s="12"/>
      <c r="L485" s="9" t="n">
        <f aca="false">L484+H485</f>
        <v>47022.11</v>
      </c>
      <c r="M485" s="10" t="str">
        <f aca="false">VLOOKUP(J485,RECATALOGANDO!A:C,2,0)</f>
        <v>SERVICIO DE GROOMING</v>
      </c>
      <c r="N485" s="12" t="str">
        <f aca="false">VLOOKUP(M485,RECATALOGANDO!B:C,2,0)</f>
        <v>VENTA DE SERVICIO</v>
      </c>
      <c r="O485" s="2" t="s">
        <v>78</v>
      </c>
    </row>
    <row r="486" customFormat="false" ht="13.8" hidden="false" customHeight="false" outlineLevel="0" collapsed="false">
      <c r="A486" s="8" t="n">
        <v>45098</v>
      </c>
      <c r="B486" s="9" t="n">
        <f aca="false">DAY(A486)</f>
        <v>21</v>
      </c>
      <c r="C486" s="9" t="n">
        <f aca="false">MONTH(A486)</f>
        <v>6</v>
      </c>
      <c r="D486" s="9" t="n">
        <f aca="false">YEAR(A486)</f>
        <v>2023</v>
      </c>
      <c r="E486" s="9" t="n">
        <f aca="false">WEEKDAY(A486,2)</f>
        <v>3</v>
      </c>
      <c r="F486" s="10" t="n">
        <f aca="false">WEEKNUM(A486,2) - WEEKNUM(DATE(YEAR(A486),MONTH(A486),1),2) + 1</f>
        <v>4</v>
      </c>
      <c r="G486" s="10"/>
      <c r="H486" s="11" t="n">
        <v>297</v>
      </c>
      <c r="I486" s="12" t="s">
        <v>15</v>
      </c>
      <c r="J486" s="22" t="s">
        <v>53</v>
      </c>
      <c r="K486" s="12"/>
      <c r="L486" s="9" t="n">
        <f aca="false">L485+H486</f>
        <v>47319.11</v>
      </c>
      <c r="M486" s="10" t="str">
        <f aca="false">VLOOKUP(J486,RECATALOGANDO!A:C,2,0)</f>
        <v>SERVICIO DE GROOMING</v>
      </c>
      <c r="N486" s="12" t="str">
        <f aca="false">VLOOKUP(M486,RECATALOGANDO!B:C,2,0)</f>
        <v>VENTA DE SERVICIO</v>
      </c>
      <c r="O486" s="2" t="s">
        <v>78</v>
      </c>
    </row>
    <row r="487" customFormat="false" ht="13.8" hidden="false" customHeight="false" outlineLevel="0" collapsed="false">
      <c r="A487" s="8" t="n">
        <v>45098</v>
      </c>
      <c r="B487" s="9" t="n">
        <f aca="false">DAY(A487)</f>
        <v>21</v>
      </c>
      <c r="C487" s="9" t="n">
        <f aca="false">MONTH(A487)</f>
        <v>6</v>
      </c>
      <c r="D487" s="9" t="n">
        <f aca="false">YEAR(A487)</f>
        <v>2023</v>
      </c>
      <c r="E487" s="9" t="n">
        <f aca="false">WEEKDAY(A487,2)</f>
        <v>3</v>
      </c>
      <c r="F487" s="10" t="n">
        <f aca="false">WEEKNUM(A487,2) - WEEKNUM(DATE(YEAR(A487),MONTH(A487),1),2) + 1</f>
        <v>4</v>
      </c>
      <c r="G487" s="10"/>
      <c r="H487" s="11" t="n">
        <v>650</v>
      </c>
      <c r="I487" s="12" t="s">
        <v>20</v>
      </c>
      <c r="J487" s="22" t="s">
        <v>44</v>
      </c>
      <c r="K487" s="12"/>
      <c r="L487" s="9" t="n">
        <f aca="false">L486+H487</f>
        <v>47969.11</v>
      </c>
      <c r="M487" s="10" t="str">
        <f aca="false">VLOOKUP(J487,RECATALOGANDO!A:C,2,0)</f>
        <v>HONORARIOS MEDICOS</v>
      </c>
      <c r="N487" s="12" t="str">
        <f aca="false">VLOOKUP(M487,RECATALOGANDO!B:C,2,0)</f>
        <v>VENTA DE SERVICIO</v>
      </c>
      <c r="O487" s="2" t="s">
        <v>78</v>
      </c>
    </row>
    <row r="488" customFormat="false" ht="13.8" hidden="false" customHeight="false" outlineLevel="0" collapsed="false">
      <c r="A488" s="8" t="n">
        <v>45098</v>
      </c>
      <c r="B488" s="9" t="n">
        <f aca="false">DAY(A488)</f>
        <v>21</v>
      </c>
      <c r="C488" s="9" t="n">
        <f aca="false">MONTH(A488)</f>
        <v>6</v>
      </c>
      <c r="D488" s="9" t="n">
        <f aca="false">YEAR(A488)</f>
        <v>2023</v>
      </c>
      <c r="E488" s="9" t="n">
        <f aca="false">WEEKDAY(A488,2)</f>
        <v>3</v>
      </c>
      <c r="F488" s="10" t="n">
        <f aca="false">WEEKNUM(A488,2) - WEEKNUM(DATE(YEAR(A488),MONTH(A488),1),2) + 1</f>
        <v>4</v>
      </c>
      <c r="G488" s="10"/>
      <c r="H488" s="11" t="n">
        <v>900</v>
      </c>
      <c r="I488" s="12" t="s">
        <v>15</v>
      </c>
      <c r="J488" s="22" t="s">
        <v>57</v>
      </c>
      <c r="K488" s="12"/>
      <c r="L488" s="9" t="n">
        <f aca="false">L487+H488</f>
        <v>48869.11</v>
      </c>
      <c r="M488" s="10" t="str">
        <f aca="false">VLOOKUP(J488,RECATALOGANDO!A:C,2,0)</f>
        <v>SERVICIO DE CREMACION</v>
      </c>
      <c r="N488" s="12" t="str">
        <f aca="false">VLOOKUP(M488,RECATALOGANDO!B:C,2,0)</f>
        <v>VENTA DE SERVICIO</v>
      </c>
      <c r="O488" s="2" t="s">
        <v>78</v>
      </c>
    </row>
    <row r="489" customFormat="false" ht="13.8" hidden="false" customHeight="false" outlineLevel="0" collapsed="false">
      <c r="A489" s="8" t="n">
        <v>45099</v>
      </c>
      <c r="B489" s="9" t="n">
        <f aca="false">DAY(A489)</f>
        <v>22</v>
      </c>
      <c r="C489" s="9" t="n">
        <f aca="false">MONTH(A489)</f>
        <v>6</v>
      </c>
      <c r="D489" s="9" t="n">
        <f aca="false">YEAR(A489)</f>
        <v>2023</v>
      </c>
      <c r="E489" s="9" t="n">
        <f aca="false">WEEKDAY(A489,2)</f>
        <v>4</v>
      </c>
      <c r="F489" s="10" t="n">
        <f aca="false">WEEKNUM(A489,2) - WEEKNUM(DATE(YEAR(A489),MONTH(A489),1),2) + 1</f>
        <v>4</v>
      </c>
      <c r="G489" s="10"/>
      <c r="H489" s="11" t="n">
        <v>1200</v>
      </c>
      <c r="I489" s="12" t="s">
        <v>20</v>
      </c>
      <c r="J489" s="22" t="s">
        <v>45</v>
      </c>
      <c r="K489" s="12"/>
      <c r="L489" s="9" t="n">
        <f aca="false">L488+H489</f>
        <v>50069.11</v>
      </c>
      <c r="M489" s="10" t="str">
        <f aca="false">VLOOKUP(J489,RECATALOGANDO!A:C,2,0)</f>
        <v>VENTA DE MEDICAMENTO</v>
      </c>
      <c r="N489" s="12" t="str">
        <f aca="false">VLOOKUP(M489,RECATALOGANDO!B:C,2,0)</f>
        <v>VENTA DE PRODUCTO</v>
      </c>
      <c r="O489" s="2" t="s">
        <v>78</v>
      </c>
    </row>
    <row r="490" customFormat="false" ht="13.8" hidden="false" customHeight="false" outlineLevel="0" collapsed="false">
      <c r="A490" s="8" t="n">
        <v>45099</v>
      </c>
      <c r="B490" s="9" t="n">
        <f aca="false">DAY(A490)</f>
        <v>22</v>
      </c>
      <c r="C490" s="9" t="n">
        <f aca="false">MONTH(A490)</f>
        <v>6</v>
      </c>
      <c r="D490" s="9" t="n">
        <f aca="false">YEAR(A490)</f>
        <v>2023</v>
      </c>
      <c r="E490" s="9" t="n">
        <f aca="false">WEEKDAY(A490,2)</f>
        <v>4</v>
      </c>
      <c r="F490" s="10" t="n">
        <f aca="false">WEEKNUM(A490,2) - WEEKNUM(DATE(YEAR(A490),MONTH(A490),1),2) + 1</f>
        <v>4</v>
      </c>
      <c r="G490" s="10"/>
      <c r="H490" s="11" t="n">
        <v>290</v>
      </c>
      <c r="I490" s="12" t="s">
        <v>20</v>
      </c>
      <c r="J490" s="22" t="s">
        <v>53</v>
      </c>
      <c r="K490" s="12"/>
      <c r="L490" s="9" t="n">
        <f aca="false">L489+H490</f>
        <v>50359.11</v>
      </c>
      <c r="M490" s="10" t="str">
        <f aca="false">VLOOKUP(J490,RECATALOGANDO!A:C,2,0)</f>
        <v>SERVICIO DE GROOMING</v>
      </c>
      <c r="N490" s="12" t="str">
        <f aca="false">VLOOKUP(M490,RECATALOGANDO!B:C,2,0)</f>
        <v>VENTA DE SERVICIO</v>
      </c>
      <c r="O490" s="2" t="s">
        <v>78</v>
      </c>
    </row>
    <row r="491" customFormat="false" ht="13.8" hidden="false" customHeight="false" outlineLevel="0" collapsed="false">
      <c r="A491" s="8" t="n">
        <v>45099</v>
      </c>
      <c r="B491" s="9" t="n">
        <f aca="false">DAY(A491)</f>
        <v>22</v>
      </c>
      <c r="C491" s="9" t="n">
        <f aca="false">MONTH(A491)</f>
        <v>6</v>
      </c>
      <c r="D491" s="9" t="n">
        <f aca="false">YEAR(A491)</f>
        <v>2023</v>
      </c>
      <c r="E491" s="9" t="n">
        <f aca="false">WEEKDAY(A491,2)</f>
        <v>4</v>
      </c>
      <c r="F491" s="10" t="n">
        <f aca="false">WEEKNUM(A491,2) - WEEKNUM(DATE(YEAR(A491),MONTH(A491),1),2) + 1</f>
        <v>4</v>
      </c>
      <c r="G491" s="10"/>
      <c r="H491" s="11" t="n">
        <v>1000</v>
      </c>
      <c r="I491" s="12" t="s">
        <v>15</v>
      </c>
      <c r="J491" s="22" t="s">
        <v>41</v>
      </c>
      <c r="K491" s="12"/>
      <c r="L491" s="9" t="n">
        <f aca="false">L490+H491</f>
        <v>51359.11</v>
      </c>
      <c r="M491" s="10" t="str">
        <f aca="false">VLOOKUP(J491,RECATALOGANDO!A:C,2,0)</f>
        <v>HONORARIOS QUIRURGICOS</v>
      </c>
      <c r="N491" s="12" t="str">
        <f aca="false">VLOOKUP(M491,RECATALOGANDO!B:C,2,0)</f>
        <v>VENTA DE SERVICIO</v>
      </c>
      <c r="O491" s="2" t="s">
        <v>78</v>
      </c>
    </row>
    <row r="492" customFormat="false" ht="13.8" hidden="false" customHeight="false" outlineLevel="0" collapsed="false">
      <c r="A492" s="8" t="n">
        <v>45099</v>
      </c>
      <c r="B492" s="9" t="n">
        <f aca="false">DAY(A492)</f>
        <v>22</v>
      </c>
      <c r="C492" s="9" t="n">
        <f aca="false">MONTH(A492)</f>
        <v>6</v>
      </c>
      <c r="D492" s="9" t="n">
        <f aca="false">YEAR(A492)</f>
        <v>2023</v>
      </c>
      <c r="E492" s="9" t="n">
        <f aca="false">WEEKDAY(A492,2)</f>
        <v>4</v>
      </c>
      <c r="F492" s="10" t="n">
        <f aca="false">WEEKNUM(A492,2) - WEEKNUM(DATE(YEAR(A492),MONTH(A492),1),2) + 1</f>
        <v>4</v>
      </c>
      <c r="G492" s="10"/>
      <c r="H492" s="11" t="n">
        <v>1650</v>
      </c>
      <c r="I492" s="12" t="s">
        <v>15</v>
      </c>
      <c r="J492" s="22" t="s">
        <v>54</v>
      </c>
      <c r="K492" s="12"/>
      <c r="L492" s="9" t="n">
        <f aca="false">L491+H492</f>
        <v>53009.11</v>
      </c>
      <c r="M492" s="10" t="str">
        <f aca="false">VLOOKUP(J492,RECATALOGANDO!A:C,2,0)</f>
        <v>SERVICIO DE LABORATORIO</v>
      </c>
      <c r="N492" s="12" t="str">
        <f aca="false">VLOOKUP(M492,RECATALOGANDO!B:C,2,0)</f>
        <v>VENTA DE SERVICIO</v>
      </c>
      <c r="O492" s="2" t="s">
        <v>78</v>
      </c>
    </row>
    <row r="493" customFormat="false" ht="13.8" hidden="false" customHeight="false" outlineLevel="0" collapsed="false">
      <c r="A493" s="8" t="n">
        <v>45099</v>
      </c>
      <c r="B493" s="9" t="n">
        <f aca="false">DAY(A493)</f>
        <v>22</v>
      </c>
      <c r="C493" s="9" t="n">
        <f aca="false">MONTH(A493)</f>
        <v>6</v>
      </c>
      <c r="D493" s="9" t="n">
        <f aca="false">YEAR(A493)</f>
        <v>2023</v>
      </c>
      <c r="E493" s="9" t="n">
        <f aca="false">WEEKDAY(A493,2)</f>
        <v>4</v>
      </c>
      <c r="F493" s="10" t="n">
        <f aca="false">WEEKNUM(A493,2) - WEEKNUM(DATE(YEAR(A493),MONTH(A493),1),2) + 1</f>
        <v>4</v>
      </c>
      <c r="G493" s="10"/>
      <c r="H493" s="11" t="n">
        <v>2500</v>
      </c>
      <c r="I493" s="12" t="s">
        <v>15</v>
      </c>
      <c r="J493" s="22" t="s">
        <v>41</v>
      </c>
      <c r="K493" s="12"/>
      <c r="L493" s="9" t="n">
        <f aca="false">L492+H493</f>
        <v>55509.11</v>
      </c>
      <c r="M493" s="10" t="str">
        <f aca="false">VLOOKUP(J493,RECATALOGANDO!A:C,2,0)</f>
        <v>HONORARIOS QUIRURGICOS</v>
      </c>
      <c r="N493" s="12" t="str">
        <f aca="false">VLOOKUP(M493,RECATALOGANDO!B:C,2,0)</f>
        <v>VENTA DE SERVICIO</v>
      </c>
      <c r="O493" s="2" t="s">
        <v>78</v>
      </c>
    </row>
    <row r="494" customFormat="false" ht="13.8" hidden="false" customHeight="false" outlineLevel="0" collapsed="false">
      <c r="A494" s="8" t="n">
        <v>45100</v>
      </c>
      <c r="B494" s="9" t="n">
        <f aca="false">DAY(A494)</f>
        <v>23</v>
      </c>
      <c r="C494" s="9" t="n">
        <f aca="false">MONTH(A494)</f>
        <v>6</v>
      </c>
      <c r="D494" s="9" t="n">
        <f aca="false">YEAR(A494)</f>
        <v>2023</v>
      </c>
      <c r="E494" s="9" t="n">
        <f aca="false">WEEKDAY(A494,2)</f>
        <v>5</v>
      </c>
      <c r="F494" s="10" t="n">
        <f aca="false">WEEKNUM(A494,2) - WEEKNUM(DATE(YEAR(A494),MONTH(A494),1),2) + 1</f>
        <v>4</v>
      </c>
      <c r="G494" s="10"/>
      <c r="H494" s="11" t="n">
        <v>500</v>
      </c>
      <c r="I494" s="12" t="s">
        <v>20</v>
      </c>
      <c r="J494" s="22" t="s">
        <v>45</v>
      </c>
      <c r="K494" s="12"/>
      <c r="L494" s="9" t="n">
        <f aca="false">L493+H494</f>
        <v>56009.11</v>
      </c>
      <c r="M494" s="10" t="str">
        <f aca="false">VLOOKUP(J494,RECATALOGANDO!A:C,2,0)</f>
        <v>VENTA DE MEDICAMENTO</v>
      </c>
      <c r="N494" s="12" t="str">
        <f aca="false">VLOOKUP(M494,RECATALOGANDO!B:C,2,0)</f>
        <v>VENTA DE PRODUCTO</v>
      </c>
      <c r="O494" s="2" t="s">
        <v>78</v>
      </c>
    </row>
    <row r="495" customFormat="false" ht="13.8" hidden="false" customHeight="false" outlineLevel="0" collapsed="false">
      <c r="A495" s="8" t="n">
        <v>45100</v>
      </c>
      <c r="B495" s="9" t="n">
        <f aca="false">DAY(A495)</f>
        <v>23</v>
      </c>
      <c r="C495" s="9" t="n">
        <f aca="false">MONTH(A495)</f>
        <v>6</v>
      </c>
      <c r="D495" s="9" t="n">
        <f aca="false">YEAR(A495)</f>
        <v>2023</v>
      </c>
      <c r="E495" s="9" t="n">
        <f aca="false">WEEKDAY(A495,2)</f>
        <v>5</v>
      </c>
      <c r="F495" s="10" t="n">
        <f aca="false">WEEKNUM(A495,2) - WEEKNUM(DATE(YEAR(A495),MONTH(A495),1),2) + 1</f>
        <v>4</v>
      </c>
      <c r="G495" s="10"/>
      <c r="H495" s="11" t="n">
        <v>350</v>
      </c>
      <c r="I495" s="12" t="s">
        <v>20</v>
      </c>
      <c r="J495" s="22" t="s">
        <v>53</v>
      </c>
      <c r="K495" s="12"/>
      <c r="L495" s="9" t="n">
        <f aca="false">L494+H495</f>
        <v>56359.11</v>
      </c>
      <c r="M495" s="10" t="str">
        <f aca="false">VLOOKUP(J495,RECATALOGANDO!A:C,2,0)</f>
        <v>SERVICIO DE GROOMING</v>
      </c>
      <c r="N495" s="12" t="str">
        <f aca="false">VLOOKUP(M495,RECATALOGANDO!B:C,2,0)</f>
        <v>VENTA DE SERVICIO</v>
      </c>
      <c r="O495" s="2" t="s">
        <v>78</v>
      </c>
    </row>
    <row r="496" customFormat="false" ht="13.8" hidden="false" customHeight="false" outlineLevel="0" collapsed="false">
      <c r="A496" s="8" t="n">
        <v>45100</v>
      </c>
      <c r="B496" s="9" t="n">
        <f aca="false">DAY(A496)</f>
        <v>23</v>
      </c>
      <c r="C496" s="9" t="n">
        <f aca="false">MONTH(A496)</f>
        <v>6</v>
      </c>
      <c r="D496" s="9" t="n">
        <f aca="false">YEAR(A496)</f>
        <v>2023</v>
      </c>
      <c r="E496" s="9" t="n">
        <f aca="false">WEEKDAY(A496,2)</f>
        <v>5</v>
      </c>
      <c r="F496" s="10" t="n">
        <f aca="false">WEEKNUM(A496,2) - WEEKNUM(DATE(YEAR(A496),MONTH(A496),1),2) + 1</f>
        <v>4</v>
      </c>
      <c r="G496" s="10"/>
      <c r="H496" s="11" t="n">
        <v>850</v>
      </c>
      <c r="I496" s="12" t="s">
        <v>15</v>
      </c>
      <c r="J496" s="22" t="s">
        <v>54</v>
      </c>
      <c r="K496" s="12"/>
      <c r="L496" s="9" t="n">
        <f aca="false">L495+H496</f>
        <v>57209.11</v>
      </c>
      <c r="M496" s="10" t="str">
        <f aca="false">VLOOKUP(J496,RECATALOGANDO!A:C,2,0)</f>
        <v>SERVICIO DE LABORATORIO</v>
      </c>
      <c r="N496" s="12" t="str">
        <f aca="false">VLOOKUP(M496,RECATALOGANDO!B:C,2,0)</f>
        <v>VENTA DE SERVICIO</v>
      </c>
      <c r="O496" s="2" t="s">
        <v>78</v>
      </c>
    </row>
    <row r="497" customFormat="false" ht="13.8" hidden="false" customHeight="false" outlineLevel="0" collapsed="false">
      <c r="A497" s="8" t="n">
        <v>45101</v>
      </c>
      <c r="B497" s="9" t="n">
        <f aca="false">DAY(A497)</f>
        <v>24</v>
      </c>
      <c r="C497" s="9" t="n">
        <f aca="false">MONTH(A497)</f>
        <v>6</v>
      </c>
      <c r="D497" s="9" t="n">
        <f aca="false">YEAR(A497)</f>
        <v>2023</v>
      </c>
      <c r="E497" s="9" t="n">
        <f aca="false">WEEKDAY(A497,2)</f>
        <v>6</v>
      </c>
      <c r="F497" s="10" t="n">
        <f aca="false">WEEKNUM(A497,2) - WEEKNUM(DATE(YEAR(A497),MONTH(A497),1),2) + 1</f>
        <v>4</v>
      </c>
      <c r="G497" s="10"/>
      <c r="H497" s="11" t="n">
        <v>150</v>
      </c>
      <c r="I497" s="12" t="s">
        <v>15</v>
      </c>
      <c r="J497" s="22" t="s">
        <v>45</v>
      </c>
      <c r="K497" s="12"/>
      <c r="L497" s="9" t="n">
        <f aca="false">L496+H497</f>
        <v>57359.11</v>
      </c>
      <c r="M497" s="10" t="str">
        <f aca="false">VLOOKUP(J497,RECATALOGANDO!A:C,2,0)</f>
        <v>VENTA DE MEDICAMENTO</v>
      </c>
      <c r="N497" s="12" t="str">
        <f aca="false">VLOOKUP(M497,RECATALOGANDO!B:C,2,0)</f>
        <v>VENTA DE PRODUCTO</v>
      </c>
      <c r="O497" s="2" t="s">
        <v>78</v>
      </c>
    </row>
    <row r="498" customFormat="false" ht="13.8" hidden="false" customHeight="false" outlineLevel="0" collapsed="false">
      <c r="A498" s="8" t="n">
        <v>45101</v>
      </c>
      <c r="B498" s="9" t="n">
        <f aca="false">DAY(A498)</f>
        <v>24</v>
      </c>
      <c r="C498" s="9" t="n">
        <f aca="false">MONTH(A498)</f>
        <v>6</v>
      </c>
      <c r="D498" s="9" t="n">
        <f aca="false">YEAR(A498)</f>
        <v>2023</v>
      </c>
      <c r="E498" s="9" t="n">
        <f aca="false">WEEKDAY(A498,2)</f>
        <v>6</v>
      </c>
      <c r="F498" s="10" t="n">
        <f aca="false">WEEKNUM(A498,2) - WEEKNUM(DATE(YEAR(A498),MONTH(A498),1),2) + 1</f>
        <v>4</v>
      </c>
      <c r="G498" s="10"/>
      <c r="H498" s="11" t="n">
        <v>290</v>
      </c>
      <c r="I498" s="12" t="s">
        <v>15</v>
      </c>
      <c r="J498" s="22" t="s">
        <v>45</v>
      </c>
      <c r="K498" s="12"/>
      <c r="L498" s="9" t="n">
        <f aca="false">L497+H498</f>
        <v>57649.11</v>
      </c>
      <c r="M498" s="10" t="str">
        <f aca="false">VLOOKUP(J498,RECATALOGANDO!A:C,2,0)</f>
        <v>VENTA DE MEDICAMENTO</v>
      </c>
      <c r="N498" s="12" t="str">
        <f aca="false">VLOOKUP(M498,RECATALOGANDO!B:C,2,0)</f>
        <v>VENTA DE PRODUCTO</v>
      </c>
      <c r="O498" s="2" t="s">
        <v>78</v>
      </c>
    </row>
    <row r="499" customFormat="false" ht="13.8" hidden="false" customHeight="false" outlineLevel="0" collapsed="false">
      <c r="A499" s="8" t="n">
        <v>45101</v>
      </c>
      <c r="B499" s="9" t="n">
        <f aca="false">DAY(A499)</f>
        <v>24</v>
      </c>
      <c r="C499" s="9" t="n">
        <f aca="false">MONTH(A499)</f>
        <v>6</v>
      </c>
      <c r="D499" s="9" t="n">
        <f aca="false">YEAR(A499)</f>
        <v>2023</v>
      </c>
      <c r="E499" s="9" t="n">
        <f aca="false">WEEKDAY(A499,2)</f>
        <v>6</v>
      </c>
      <c r="F499" s="10" t="n">
        <f aca="false">WEEKNUM(A499,2) - WEEKNUM(DATE(YEAR(A499),MONTH(A499),1),2) + 1</f>
        <v>4</v>
      </c>
      <c r="G499" s="10"/>
      <c r="H499" s="11" t="n">
        <v>652</v>
      </c>
      <c r="I499" s="12" t="s">
        <v>15</v>
      </c>
      <c r="J499" s="22" t="s">
        <v>44</v>
      </c>
      <c r="K499" s="12"/>
      <c r="L499" s="9" t="n">
        <f aca="false">L498+H499</f>
        <v>58301.11</v>
      </c>
      <c r="M499" s="10" t="str">
        <f aca="false">VLOOKUP(J499,RECATALOGANDO!A:C,2,0)</f>
        <v>HONORARIOS MEDICOS</v>
      </c>
      <c r="N499" s="12" t="str">
        <f aca="false">VLOOKUP(M499,RECATALOGANDO!B:C,2,0)</f>
        <v>VENTA DE SERVICIO</v>
      </c>
      <c r="O499" s="2" t="s">
        <v>78</v>
      </c>
    </row>
    <row r="500" customFormat="false" ht="13.8" hidden="false" customHeight="false" outlineLevel="0" collapsed="false">
      <c r="A500" s="8" t="n">
        <v>45102</v>
      </c>
      <c r="B500" s="9" t="n">
        <f aca="false">DAY(A500)</f>
        <v>25</v>
      </c>
      <c r="C500" s="9" t="n">
        <f aca="false">MONTH(A500)</f>
        <v>6</v>
      </c>
      <c r="D500" s="9" t="n">
        <f aca="false">YEAR(A500)</f>
        <v>2023</v>
      </c>
      <c r="E500" s="9" t="n">
        <f aca="false">WEEKDAY(A500,2)</f>
        <v>7</v>
      </c>
      <c r="F500" s="10" t="n">
        <f aca="false">WEEKNUM(A500,2) - WEEKNUM(DATE(YEAR(A500),MONTH(A500),1),2) + 1</f>
        <v>4</v>
      </c>
      <c r="G500" s="10"/>
      <c r="H500" s="11" t="n">
        <v>1555</v>
      </c>
      <c r="I500" s="12" t="s">
        <v>15</v>
      </c>
      <c r="J500" s="22" t="s">
        <v>45</v>
      </c>
      <c r="K500" s="12"/>
      <c r="L500" s="9" t="n">
        <f aca="false">L499+H500</f>
        <v>59856.11</v>
      </c>
      <c r="M500" s="10" t="str">
        <f aca="false">VLOOKUP(J500,RECATALOGANDO!A:C,2,0)</f>
        <v>VENTA DE MEDICAMENTO</v>
      </c>
      <c r="N500" s="12" t="str">
        <f aca="false">VLOOKUP(M500,RECATALOGANDO!B:C,2,0)</f>
        <v>VENTA DE PRODUCTO</v>
      </c>
      <c r="O500" s="2" t="s">
        <v>78</v>
      </c>
    </row>
    <row r="501" customFormat="false" ht="13.8" hidden="false" customHeight="false" outlineLevel="0" collapsed="false">
      <c r="A501" s="8" t="n">
        <v>45102</v>
      </c>
      <c r="B501" s="9" t="n">
        <f aca="false">DAY(A501)</f>
        <v>25</v>
      </c>
      <c r="C501" s="9" t="n">
        <f aca="false">MONTH(A501)</f>
        <v>6</v>
      </c>
      <c r="D501" s="9" t="n">
        <f aca="false">YEAR(A501)</f>
        <v>2023</v>
      </c>
      <c r="E501" s="9" t="n">
        <f aca="false">WEEKDAY(A501,2)</f>
        <v>7</v>
      </c>
      <c r="F501" s="10" t="n">
        <f aca="false">WEEKNUM(A501,2) - WEEKNUM(DATE(YEAR(A501),MONTH(A501),1),2) + 1</f>
        <v>4</v>
      </c>
      <c r="G501" s="10"/>
      <c r="H501" s="11" t="n">
        <v>450</v>
      </c>
      <c r="I501" s="12" t="s">
        <v>15</v>
      </c>
      <c r="J501" s="22" t="s">
        <v>44</v>
      </c>
      <c r="K501" s="12"/>
      <c r="L501" s="9" t="n">
        <f aca="false">L500+H501</f>
        <v>60306.11</v>
      </c>
      <c r="M501" s="10" t="str">
        <f aca="false">VLOOKUP(J501,RECATALOGANDO!A:C,2,0)</f>
        <v>HONORARIOS MEDICOS</v>
      </c>
      <c r="N501" s="12" t="str">
        <f aca="false">VLOOKUP(M501,RECATALOGANDO!B:C,2,0)</f>
        <v>VENTA DE SERVICIO</v>
      </c>
      <c r="O501" s="2" t="s">
        <v>78</v>
      </c>
    </row>
    <row r="502" customFormat="false" ht="13.8" hidden="false" customHeight="false" outlineLevel="0" collapsed="false">
      <c r="A502" s="8" t="n">
        <v>45103</v>
      </c>
      <c r="B502" s="9" t="n">
        <f aca="false">DAY(A502)</f>
        <v>26</v>
      </c>
      <c r="C502" s="9" t="n">
        <f aca="false">MONTH(A502)</f>
        <v>6</v>
      </c>
      <c r="D502" s="9" t="n">
        <f aca="false">YEAR(A502)</f>
        <v>2023</v>
      </c>
      <c r="E502" s="9" t="n">
        <f aca="false">WEEKDAY(A502,2)</f>
        <v>1</v>
      </c>
      <c r="F502" s="10" t="n">
        <f aca="false">WEEKNUM(A502,2) - WEEKNUM(DATE(YEAR(A502),MONTH(A502),1),2) + 1</f>
        <v>5</v>
      </c>
      <c r="G502" s="10"/>
      <c r="H502" s="11" t="n">
        <v>290</v>
      </c>
      <c r="I502" s="12" t="s">
        <v>20</v>
      </c>
      <c r="J502" s="22" t="s">
        <v>53</v>
      </c>
      <c r="K502" s="12"/>
      <c r="L502" s="9" t="n">
        <f aca="false">L501+H502</f>
        <v>60596.11</v>
      </c>
      <c r="M502" s="10" t="str">
        <f aca="false">VLOOKUP(J502,RECATALOGANDO!A:C,2,0)</f>
        <v>SERVICIO DE GROOMING</v>
      </c>
      <c r="N502" s="12" t="str">
        <f aca="false">VLOOKUP(M502,RECATALOGANDO!B:C,2,0)</f>
        <v>VENTA DE SERVICIO</v>
      </c>
      <c r="O502" s="2" t="s">
        <v>78</v>
      </c>
    </row>
    <row r="503" customFormat="false" ht="13.8" hidden="false" customHeight="false" outlineLevel="0" collapsed="false">
      <c r="A503" s="8" t="n">
        <v>45103</v>
      </c>
      <c r="B503" s="9" t="n">
        <f aca="false">DAY(A503)</f>
        <v>26</v>
      </c>
      <c r="C503" s="9" t="n">
        <f aca="false">MONTH(A503)</f>
        <v>6</v>
      </c>
      <c r="D503" s="9" t="n">
        <f aca="false">YEAR(A503)</f>
        <v>2023</v>
      </c>
      <c r="E503" s="9" t="n">
        <f aca="false">WEEKDAY(A503,2)</f>
        <v>1</v>
      </c>
      <c r="F503" s="10" t="n">
        <f aca="false">WEEKNUM(A503,2) - WEEKNUM(DATE(YEAR(A503),MONTH(A503),1),2) + 1</f>
        <v>5</v>
      </c>
      <c r="G503" s="10"/>
      <c r="H503" s="11" t="n">
        <v>2000</v>
      </c>
      <c r="I503" s="12" t="s">
        <v>20</v>
      </c>
      <c r="J503" s="22" t="s">
        <v>61</v>
      </c>
      <c r="K503" s="12"/>
      <c r="L503" s="9" t="n">
        <f aca="false">L502+H503</f>
        <v>62596.11</v>
      </c>
      <c r="M503" s="10" t="str">
        <f aca="false">VLOOKUP(J503,RECATALOGANDO!A:C,2,0)</f>
        <v>SERVICIO DE HOSPITALIZACION</v>
      </c>
      <c r="N503" s="12" t="str">
        <f aca="false">VLOOKUP(M503,RECATALOGANDO!B:C,2,0)</f>
        <v>VENTA DE SERVICIO</v>
      </c>
      <c r="O503" s="2" t="s">
        <v>78</v>
      </c>
    </row>
    <row r="504" customFormat="false" ht="13.8" hidden="false" customHeight="false" outlineLevel="0" collapsed="false">
      <c r="A504" s="8" t="n">
        <v>45103</v>
      </c>
      <c r="B504" s="9" t="n">
        <f aca="false">DAY(A504)</f>
        <v>26</v>
      </c>
      <c r="C504" s="9" t="n">
        <f aca="false">MONTH(A504)</f>
        <v>6</v>
      </c>
      <c r="D504" s="9" t="n">
        <f aca="false">YEAR(A504)</f>
        <v>2023</v>
      </c>
      <c r="E504" s="9" t="n">
        <f aca="false">WEEKDAY(A504,2)</f>
        <v>1</v>
      </c>
      <c r="F504" s="10" t="n">
        <f aca="false">WEEKNUM(A504,2) - WEEKNUM(DATE(YEAR(A504),MONTH(A504),1),2) + 1</f>
        <v>5</v>
      </c>
      <c r="G504" s="10"/>
      <c r="H504" s="11" t="n">
        <v>2226</v>
      </c>
      <c r="I504" s="12" t="s">
        <v>20</v>
      </c>
      <c r="J504" s="22" t="s">
        <v>44</v>
      </c>
      <c r="K504" s="12"/>
      <c r="L504" s="9" t="n">
        <f aca="false">L503+H504</f>
        <v>64822.11</v>
      </c>
      <c r="M504" s="10" t="str">
        <f aca="false">VLOOKUP(J504,RECATALOGANDO!A:C,2,0)</f>
        <v>HONORARIOS MEDICOS</v>
      </c>
      <c r="N504" s="12" t="str">
        <f aca="false">VLOOKUP(M504,RECATALOGANDO!B:C,2,0)</f>
        <v>VENTA DE SERVICIO</v>
      </c>
      <c r="O504" s="2" t="s">
        <v>78</v>
      </c>
    </row>
    <row r="505" customFormat="false" ht="13.8" hidden="false" customHeight="false" outlineLevel="0" collapsed="false">
      <c r="A505" s="8" t="n">
        <v>45105</v>
      </c>
      <c r="B505" s="9" t="n">
        <f aca="false">DAY(A505)</f>
        <v>28</v>
      </c>
      <c r="C505" s="9" t="n">
        <f aca="false">MONTH(A505)</f>
        <v>6</v>
      </c>
      <c r="D505" s="9" t="n">
        <f aca="false">YEAR(A505)</f>
        <v>2023</v>
      </c>
      <c r="E505" s="9" t="n">
        <f aca="false">WEEKDAY(A505,2)</f>
        <v>3</v>
      </c>
      <c r="F505" s="10" t="n">
        <f aca="false">WEEKNUM(A505,2) - WEEKNUM(DATE(YEAR(A505),MONTH(A505),1),2) + 1</f>
        <v>5</v>
      </c>
      <c r="G505" s="10"/>
      <c r="H505" s="11" t="n">
        <v>680</v>
      </c>
      <c r="I505" s="12" t="s">
        <v>20</v>
      </c>
      <c r="J505" s="22" t="s">
        <v>45</v>
      </c>
      <c r="K505" s="12"/>
      <c r="L505" s="9" t="n">
        <f aca="false">L504+H505</f>
        <v>65502.11</v>
      </c>
      <c r="M505" s="10" t="str">
        <f aca="false">VLOOKUP(J505,RECATALOGANDO!A:C,2,0)</f>
        <v>VENTA DE MEDICAMENTO</v>
      </c>
      <c r="N505" s="12" t="str">
        <f aca="false">VLOOKUP(M505,RECATALOGANDO!B:C,2,0)</f>
        <v>VENTA DE PRODUCTO</v>
      </c>
      <c r="O505" s="2" t="s">
        <v>78</v>
      </c>
    </row>
    <row r="506" customFormat="false" ht="13.8" hidden="false" customHeight="false" outlineLevel="0" collapsed="false">
      <c r="A506" s="8" t="n">
        <v>45105</v>
      </c>
      <c r="B506" s="9" t="n">
        <f aca="false">DAY(A506)</f>
        <v>28</v>
      </c>
      <c r="C506" s="9" t="n">
        <f aca="false">MONTH(A506)</f>
        <v>6</v>
      </c>
      <c r="D506" s="9" t="n">
        <f aca="false">YEAR(A506)</f>
        <v>2023</v>
      </c>
      <c r="E506" s="9" t="n">
        <f aca="false">WEEKDAY(A506,2)</f>
        <v>3</v>
      </c>
      <c r="F506" s="10" t="n">
        <f aca="false">WEEKNUM(A506,2) - WEEKNUM(DATE(YEAR(A506),MONTH(A506),1),2) + 1</f>
        <v>5</v>
      </c>
      <c r="G506" s="10"/>
      <c r="H506" s="11" t="n">
        <v>2440</v>
      </c>
      <c r="I506" s="12" t="s">
        <v>20</v>
      </c>
      <c r="J506" s="22" t="s">
        <v>51</v>
      </c>
      <c r="K506" s="12"/>
      <c r="L506" s="9" t="n">
        <f aca="false">L505+H506</f>
        <v>67942.11</v>
      </c>
      <c r="M506" s="10" t="str">
        <f aca="false">VLOOKUP(J506,RECATALOGANDO!A:C,2,0)</f>
        <v>VENTA DE ALIMENTO</v>
      </c>
      <c r="N506" s="12" t="str">
        <f aca="false">VLOOKUP(M506,RECATALOGANDO!B:C,2,0)</f>
        <v>VENTA DE PRODUCTO</v>
      </c>
      <c r="O506" s="2" t="s">
        <v>78</v>
      </c>
    </row>
    <row r="507" customFormat="false" ht="13.8" hidden="false" customHeight="false" outlineLevel="0" collapsed="false">
      <c r="A507" s="8" t="n">
        <v>45105</v>
      </c>
      <c r="B507" s="9" t="n">
        <f aca="false">DAY(A507)</f>
        <v>28</v>
      </c>
      <c r="C507" s="9" t="n">
        <f aca="false">MONTH(A507)</f>
        <v>6</v>
      </c>
      <c r="D507" s="9" t="n">
        <f aca="false">YEAR(A507)</f>
        <v>2023</v>
      </c>
      <c r="E507" s="9" t="n">
        <f aca="false">WEEKDAY(A507,2)</f>
        <v>3</v>
      </c>
      <c r="F507" s="10" t="n">
        <f aca="false">WEEKNUM(A507,2) - WEEKNUM(DATE(YEAR(A507),MONTH(A507),1),2) + 1</f>
        <v>5</v>
      </c>
      <c r="G507" s="10"/>
      <c r="H507" s="11" t="n">
        <v>240</v>
      </c>
      <c r="I507" s="12" t="s">
        <v>20</v>
      </c>
      <c r="J507" s="22" t="s">
        <v>44</v>
      </c>
      <c r="K507" s="12"/>
      <c r="L507" s="9" t="n">
        <f aca="false">L506+H507</f>
        <v>68182.11</v>
      </c>
      <c r="M507" s="10" t="str">
        <f aca="false">VLOOKUP(J507,RECATALOGANDO!A:C,2,0)</f>
        <v>HONORARIOS MEDICOS</v>
      </c>
      <c r="N507" s="12" t="str">
        <f aca="false">VLOOKUP(M507,RECATALOGANDO!B:C,2,0)</f>
        <v>VENTA DE SERVICIO</v>
      </c>
      <c r="O507" s="2" t="s">
        <v>78</v>
      </c>
    </row>
    <row r="508" customFormat="false" ht="13.8" hidden="false" customHeight="false" outlineLevel="0" collapsed="false">
      <c r="A508" s="8" t="n">
        <v>45105</v>
      </c>
      <c r="B508" s="9" t="n">
        <f aca="false">DAY(A508)</f>
        <v>28</v>
      </c>
      <c r="C508" s="9" t="n">
        <f aca="false">MONTH(A508)</f>
        <v>6</v>
      </c>
      <c r="D508" s="9" t="n">
        <f aca="false">YEAR(A508)</f>
        <v>2023</v>
      </c>
      <c r="E508" s="9" t="n">
        <f aca="false">WEEKDAY(A508,2)</f>
        <v>3</v>
      </c>
      <c r="F508" s="10" t="n">
        <f aca="false">WEEKNUM(A508,2) - WEEKNUM(DATE(YEAR(A508),MONTH(A508),1),2) + 1</f>
        <v>5</v>
      </c>
      <c r="G508" s="10"/>
      <c r="H508" s="11" t="n">
        <v>840</v>
      </c>
      <c r="I508" s="12" t="s">
        <v>15</v>
      </c>
      <c r="J508" s="22" t="s">
        <v>44</v>
      </c>
      <c r="K508" s="12"/>
      <c r="L508" s="9" t="n">
        <f aca="false">L507+H508</f>
        <v>69022.11</v>
      </c>
      <c r="M508" s="10" t="str">
        <f aca="false">VLOOKUP(J508,RECATALOGANDO!A:C,2,0)</f>
        <v>HONORARIOS MEDICOS</v>
      </c>
      <c r="N508" s="12" t="str">
        <f aca="false">VLOOKUP(M508,RECATALOGANDO!B:C,2,0)</f>
        <v>VENTA DE SERVICIO</v>
      </c>
      <c r="O508" s="2" t="s">
        <v>78</v>
      </c>
    </row>
    <row r="509" customFormat="false" ht="13.8" hidden="false" customHeight="false" outlineLevel="0" collapsed="false">
      <c r="A509" s="8" t="n">
        <v>45106</v>
      </c>
      <c r="B509" s="9" t="n">
        <f aca="false">DAY(A509)</f>
        <v>29</v>
      </c>
      <c r="C509" s="9" t="n">
        <f aca="false">MONTH(A509)</f>
        <v>6</v>
      </c>
      <c r="D509" s="9" t="n">
        <f aca="false">YEAR(A509)</f>
        <v>2023</v>
      </c>
      <c r="E509" s="9" t="n">
        <f aca="false">WEEKDAY(A509,2)</f>
        <v>4</v>
      </c>
      <c r="F509" s="10" t="n">
        <f aca="false">WEEKNUM(A509,2) - WEEKNUM(DATE(YEAR(A509),MONTH(A509),1),2) + 1</f>
        <v>5</v>
      </c>
      <c r="G509" s="10"/>
      <c r="H509" s="11" t="n">
        <v>587</v>
      </c>
      <c r="I509" s="12" t="s">
        <v>20</v>
      </c>
      <c r="J509" s="22" t="s">
        <v>45</v>
      </c>
      <c r="K509" s="12"/>
      <c r="L509" s="9" t="n">
        <f aca="false">L508+H509</f>
        <v>69609.11</v>
      </c>
      <c r="M509" s="10" t="str">
        <f aca="false">VLOOKUP(J509,RECATALOGANDO!A:C,2,0)</f>
        <v>VENTA DE MEDICAMENTO</v>
      </c>
      <c r="N509" s="12" t="str">
        <f aca="false">VLOOKUP(M509,RECATALOGANDO!B:C,2,0)</f>
        <v>VENTA DE PRODUCTO</v>
      </c>
      <c r="O509" s="2" t="s">
        <v>78</v>
      </c>
    </row>
    <row r="510" customFormat="false" ht="13.8" hidden="false" customHeight="false" outlineLevel="0" collapsed="false">
      <c r="A510" s="8" t="n">
        <v>45108</v>
      </c>
      <c r="B510" s="9" t="n">
        <f aca="false">DAY(A510)</f>
        <v>1</v>
      </c>
      <c r="C510" s="9" t="n">
        <f aca="false">MONTH(A510)</f>
        <v>7</v>
      </c>
      <c r="D510" s="9" t="n">
        <f aca="false">YEAR(A510)</f>
        <v>2023</v>
      </c>
      <c r="E510" s="9" t="n">
        <f aca="false">WEEKDAY(A510,2)</f>
        <v>6</v>
      </c>
      <c r="F510" s="10" t="n">
        <f aca="false">WEEKNUM(A510,2) - WEEKNUM(DATE(YEAR(A510),MONTH(A510),1),2) + 1</f>
        <v>1</v>
      </c>
      <c r="G510" s="10"/>
      <c r="H510" s="11" t="n">
        <v>4600</v>
      </c>
      <c r="I510" s="12" t="s">
        <v>15</v>
      </c>
      <c r="J510" s="22" t="s">
        <v>45</v>
      </c>
      <c r="K510" s="12"/>
      <c r="L510" s="9" t="n">
        <f aca="false">H510</f>
        <v>4600</v>
      </c>
      <c r="M510" s="10" t="str">
        <f aca="false">VLOOKUP(J510,RECATALOGANDO!A:C,2,0)</f>
        <v>VENTA DE MEDICAMENTO</v>
      </c>
      <c r="N510" s="12" t="str">
        <f aca="false">VLOOKUP(M510,RECATALOGANDO!B:C,2,0)</f>
        <v>VENTA DE PRODUCTO</v>
      </c>
      <c r="O510" s="2" t="s">
        <v>78</v>
      </c>
    </row>
    <row r="511" customFormat="false" ht="13.8" hidden="false" customHeight="false" outlineLevel="0" collapsed="false">
      <c r="A511" s="8" t="n">
        <v>45108</v>
      </c>
      <c r="B511" s="9" t="n">
        <f aca="false">DAY(A511)</f>
        <v>1</v>
      </c>
      <c r="C511" s="9" t="n">
        <f aca="false">MONTH(A511)</f>
        <v>7</v>
      </c>
      <c r="D511" s="9" t="n">
        <f aca="false">YEAR(A511)</f>
        <v>2023</v>
      </c>
      <c r="E511" s="9" t="n">
        <f aca="false">WEEKDAY(A511,2)</f>
        <v>6</v>
      </c>
      <c r="F511" s="10" t="n">
        <f aca="false">WEEKNUM(A511,2) - WEEKNUM(DATE(YEAR(A511),MONTH(A511),1),2) + 1</f>
        <v>1</v>
      </c>
      <c r="G511" s="10"/>
      <c r="H511" s="11" t="n">
        <v>194.52</v>
      </c>
      <c r="I511" s="12" t="s">
        <v>15</v>
      </c>
      <c r="J511" s="22" t="s">
        <v>53</v>
      </c>
      <c r="K511" s="12"/>
      <c r="L511" s="9" t="n">
        <f aca="false">L510+H511</f>
        <v>4794.52</v>
      </c>
      <c r="M511" s="10" t="str">
        <f aca="false">VLOOKUP(J511,RECATALOGANDO!A:C,2,0)</f>
        <v>SERVICIO DE GROOMING</v>
      </c>
      <c r="N511" s="12" t="str">
        <f aca="false">VLOOKUP(M511,RECATALOGANDO!B:C,2,0)</f>
        <v>VENTA DE SERVICIO</v>
      </c>
      <c r="O511" s="2" t="s">
        <v>78</v>
      </c>
    </row>
    <row r="512" customFormat="false" ht="13.8" hidden="false" customHeight="false" outlineLevel="0" collapsed="false">
      <c r="A512" s="8" t="n">
        <v>45110</v>
      </c>
      <c r="B512" s="9" t="n">
        <f aca="false">DAY(A512)</f>
        <v>3</v>
      </c>
      <c r="C512" s="9" t="n">
        <f aca="false">MONTH(A512)</f>
        <v>7</v>
      </c>
      <c r="D512" s="9" t="n">
        <f aca="false">YEAR(A512)</f>
        <v>2023</v>
      </c>
      <c r="E512" s="9" t="n">
        <f aca="false">WEEKDAY(A512,2)</f>
        <v>1</v>
      </c>
      <c r="F512" s="10" t="n">
        <f aca="false">WEEKNUM(A512,2) - WEEKNUM(DATE(YEAR(A512),MONTH(A512),1),2) + 1</f>
        <v>2</v>
      </c>
      <c r="G512" s="10"/>
      <c r="H512" s="11" t="n">
        <v>660</v>
      </c>
      <c r="I512" s="12" t="s">
        <v>20</v>
      </c>
      <c r="J512" s="22" t="s">
        <v>45</v>
      </c>
      <c r="K512" s="12"/>
      <c r="L512" s="9" t="n">
        <f aca="false">L511+H512</f>
        <v>5454.52</v>
      </c>
      <c r="M512" s="10" t="str">
        <f aca="false">VLOOKUP(J512,RECATALOGANDO!A:C,2,0)</f>
        <v>VENTA DE MEDICAMENTO</v>
      </c>
      <c r="N512" s="12" t="str">
        <f aca="false">VLOOKUP(M512,RECATALOGANDO!B:C,2,0)</f>
        <v>VENTA DE PRODUCTO</v>
      </c>
      <c r="O512" s="2" t="s">
        <v>78</v>
      </c>
    </row>
    <row r="513" customFormat="false" ht="13.8" hidden="false" customHeight="false" outlineLevel="0" collapsed="false">
      <c r="A513" s="8" t="n">
        <v>45110</v>
      </c>
      <c r="B513" s="9" t="n">
        <f aca="false">DAY(A513)</f>
        <v>3</v>
      </c>
      <c r="C513" s="9" t="n">
        <f aca="false">MONTH(A513)</f>
        <v>7</v>
      </c>
      <c r="D513" s="9" t="n">
        <f aca="false">YEAR(A513)</f>
        <v>2023</v>
      </c>
      <c r="E513" s="9" t="n">
        <f aca="false">WEEKDAY(A513,2)</f>
        <v>1</v>
      </c>
      <c r="F513" s="10" t="n">
        <f aca="false">WEEKNUM(A513,2) - WEEKNUM(DATE(YEAR(A513),MONTH(A513),1),2) + 1</f>
        <v>2</v>
      </c>
      <c r="G513" s="10"/>
      <c r="H513" s="11" t="n">
        <v>400</v>
      </c>
      <c r="I513" s="12" t="s">
        <v>15</v>
      </c>
      <c r="J513" s="22" t="s">
        <v>44</v>
      </c>
      <c r="K513" s="12"/>
      <c r="L513" s="9" t="n">
        <f aca="false">L512+H513</f>
        <v>5854.52</v>
      </c>
      <c r="M513" s="10" t="str">
        <f aca="false">VLOOKUP(J513,RECATALOGANDO!A:C,2,0)</f>
        <v>HONORARIOS MEDICOS</v>
      </c>
      <c r="N513" s="12" t="str">
        <f aca="false">VLOOKUP(M513,RECATALOGANDO!B:C,2,0)</f>
        <v>VENTA DE SERVICIO</v>
      </c>
      <c r="O513" s="2" t="s">
        <v>78</v>
      </c>
    </row>
    <row r="514" customFormat="false" ht="13.8" hidden="false" customHeight="false" outlineLevel="0" collapsed="false">
      <c r="A514" s="8" t="n">
        <v>45110</v>
      </c>
      <c r="B514" s="9" t="n">
        <f aca="false">DAY(A514)</f>
        <v>3</v>
      </c>
      <c r="C514" s="9" t="n">
        <f aca="false">MONTH(A514)</f>
        <v>7</v>
      </c>
      <c r="D514" s="9" t="n">
        <f aca="false">YEAR(A514)</f>
        <v>2023</v>
      </c>
      <c r="E514" s="9" t="n">
        <f aca="false">WEEKDAY(A514,2)</f>
        <v>1</v>
      </c>
      <c r="F514" s="10" t="n">
        <f aca="false">WEEKNUM(A514,2) - WEEKNUM(DATE(YEAR(A514),MONTH(A514),1),2) + 1</f>
        <v>2</v>
      </c>
      <c r="G514" s="10"/>
      <c r="H514" s="11" t="n">
        <v>760</v>
      </c>
      <c r="I514" s="12" t="s">
        <v>20</v>
      </c>
      <c r="J514" s="22" t="s">
        <v>44</v>
      </c>
      <c r="K514" s="12"/>
      <c r="L514" s="9" t="n">
        <f aca="false">L513+H514</f>
        <v>6614.52</v>
      </c>
      <c r="M514" s="10" t="str">
        <f aca="false">VLOOKUP(J514,RECATALOGANDO!A:C,2,0)</f>
        <v>HONORARIOS MEDICOS</v>
      </c>
      <c r="N514" s="12" t="str">
        <f aca="false">VLOOKUP(M514,RECATALOGANDO!B:C,2,0)</f>
        <v>VENTA DE SERVICIO</v>
      </c>
      <c r="O514" s="2" t="s">
        <v>78</v>
      </c>
    </row>
    <row r="515" customFormat="false" ht="13.8" hidden="false" customHeight="false" outlineLevel="0" collapsed="false">
      <c r="A515" s="8" t="n">
        <v>45111</v>
      </c>
      <c r="B515" s="9" t="n">
        <f aca="false">DAY(A515)</f>
        <v>4</v>
      </c>
      <c r="C515" s="9" t="n">
        <f aca="false">MONTH(A515)</f>
        <v>7</v>
      </c>
      <c r="D515" s="9" t="n">
        <f aca="false">YEAR(A515)</f>
        <v>2023</v>
      </c>
      <c r="E515" s="9" t="n">
        <f aca="false">WEEKDAY(A515,2)</f>
        <v>2</v>
      </c>
      <c r="F515" s="10" t="n">
        <f aca="false">WEEKNUM(A515,2) - WEEKNUM(DATE(YEAR(A515),MONTH(A515),1),2) + 1</f>
        <v>2</v>
      </c>
      <c r="G515" s="10"/>
      <c r="H515" s="11" t="n">
        <v>1365</v>
      </c>
      <c r="I515" s="12" t="s">
        <v>20</v>
      </c>
      <c r="J515" s="22" t="s">
        <v>51</v>
      </c>
      <c r="K515" s="12"/>
      <c r="L515" s="9" t="n">
        <f aca="false">L514+H515</f>
        <v>7979.52</v>
      </c>
      <c r="M515" s="10" t="str">
        <f aca="false">VLOOKUP(J515,RECATALOGANDO!A:C,2,0)</f>
        <v>VENTA DE ALIMENTO</v>
      </c>
      <c r="N515" s="12" t="str">
        <f aca="false">VLOOKUP(M515,RECATALOGANDO!B:C,2,0)</f>
        <v>VENTA DE PRODUCTO</v>
      </c>
      <c r="O515" s="2" t="s">
        <v>78</v>
      </c>
    </row>
    <row r="516" customFormat="false" ht="13.8" hidden="false" customHeight="false" outlineLevel="0" collapsed="false">
      <c r="A516" s="8" t="n">
        <v>45111</v>
      </c>
      <c r="B516" s="9" t="n">
        <f aca="false">DAY(A516)</f>
        <v>4</v>
      </c>
      <c r="C516" s="9" t="n">
        <f aca="false">MONTH(A516)</f>
        <v>7</v>
      </c>
      <c r="D516" s="9" t="n">
        <f aca="false">YEAR(A516)</f>
        <v>2023</v>
      </c>
      <c r="E516" s="9" t="n">
        <f aca="false">WEEKDAY(A516,2)</f>
        <v>2</v>
      </c>
      <c r="F516" s="10" t="n">
        <f aca="false">WEEKNUM(A516,2) - WEEKNUM(DATE(YEAR(A516),MONTH(A516),1),2) + 1</f>
        <v>2</v>
      </c>
      <c r="G516" s="10"/>
      <c r="H516" s="11" t="n">
        <v>160</v>
      </c>
      <c r="I516" s="12" t="s">
        <v>15</v>
      </c>
      <c r="J516" s="22" t="s">
        <v>53</v>
      </c>
      <c r="K516" s="12"/>
      <c r="L516" s="9" t="n">
        <f aca="false">L515+H516</f>
        <v>8139.52</v>
      </c>
      <c r="M516" s="10" t="str">
        <f aca="false">VLOOKUP(J516,RECATALOGANDO!A:C,2,0)</f>
        <v>SERVICIO DE GROOMING</v>
      </c>
      <c r="N516" s="12" t="str">
        <f aca="false">VLOOKUP(M516,RECATALOGANDO!B:C,2,0)</f>
        <v>VENTA DE SERVICIO</v>
      </c>
      <c r="O516" s="2" t="s">
        <v>78</v>
      </c>
    </row>
    <row r="517" customFormat="false" ht="13.8" hidden="false" customHeight="false" outlineLevel="0" collapsed="false">
      <c r="A517" s="8" t="n">
        <v>45112</v>
      </c>
      <c r="B517" s="9" t="n">
        <f aca="false">DAY(A517)</f>
        <v>5</v>
      </c>
      <c r="C517" s="9" t="n">
        <f aca="false">MONTH(A517)</f>
        <v>7</v>
      </c>
      <c r="D517" s="9" t="n">
        <f aca="false">YEAR(A517)</f>
        <v>2023</v>
      </c>
      <c r="E517" s="9" t="n">
        <f aca="false">WEEKDAY(A517,2)</f>
        <v>3</v>
      </c>
      <c r="F517" s="10" t="n">
        <f aca="false">WEEKNUM(A517,2) - WEEKNUM(DATE(YEAR(A517),MONTH(A517),1),2) + 1</f>
        <v>2</v>
      </c>
      <c r="G517" s="10"/>
      <c r="H517" s="11" t="n">
        <v>660</v>
      </c>
      <c r="I517" s="12" t="s">
        <v>15</v>
      </c>
      <c r="J517" s="22" t="s">
        <v>51</v>
      </c>
      <c r="K517" s="12"/>
      <c r="L517" s="9" t="n">
        <f aca="false">L516+H517</f>
        <v>8799.52</v>
      </c>
      <c r="M517" s="10" t="str">
        <f aca="false">VLOOKUP(J517,RECATALOGANDO!A:C,2,0)</f>
        <v>VENTA DE ALIMENTO</v>
      </c>
      <c r="N517" s="12" t="str">
        <f aca="false">VLOOKUP(M517,RECATALOGANDO!B:C,2,0)</f>
        <v>VENTA DE PRODUCTO</v>
      </c>
      <c r="O517" s="2" t="s">
        <v>78</v>
      </c>
    </row>
    <row r="518" customFormat="false" ht="13.8" hidden="false" customHeight="false" outlineLevel="0" collapsed="false">
      <c r="A518" s="8" t="n">
        <v>45112</v>
      </c>
      <c r="B518" s="9" t="n">
        <f aca="false">DAY(A518)</f>
        <v>5</v>
      </c>
      <c r="C518" s="9" t="n">
        <f aca="false">MONTH(A518)</f>
        <v>7</v>
      </c>
      <c r="D518" s="9" t="n">
        <f aca="false">YEAR(A518)</f>
        <v>2023</v>
      </c>
      <c r="E518" s="9" t="n">
        <f aca="false">WEEKDAY(A518,2)</f>
        <v>3</v>
      </c>
      <c r="F518" s="10" t="n">
        <f aca="false">WEEKNUM(A518,2) - WEEKNUM(DATE(YEAR(A518),MONTH(A518),1),2) + 1</f>
        <v>2</v>
      </c>
      <c r="G518" s="10"/>
      <c r="H518" s="11" t="n">
        <v>1625</v>
      </c>
      <c r="I518" s="12" t="s">
        <v>20</v>
      </c>
      <c r="J518" s="22" t="s">
        <v>44</v>
      </c>
      <c r="K518" s="12"/>
      <c r="L518" s="9" t="n">
        <f aca="false">L517+H518</f>
        <v>10424.52</v>
      </c>
      <c r="M518" s="10" t="str">
        <f aca="false">VLOOKUP(J518,RECATALOGANDO!A:C,2,0)</f>
        <v>HONORARIOS MEDICOS</v>
      </c>
      <c r="N518" s="12" t="str">
        <f aca="false">VLOOKUP(M518,RECATALOGANDO!B:C,2,0)</f>
        <v>VENTA DE SERVICIO</v>
      </c>
      <c r="O518" s="2" t="s">
        <v>78</v>
      </c>
    </row>
    <row r="519" customFormat="false" ht="13.8" hidden="false" customHeight="false" outlineLevel="0" collapsed="false">
      <c r="A519" s="8" t="n">
        <v>45112</v>
      </c>
      <c r="B519" s="9" t="n">
        <f aca="false">DAY(A519)</f>
        <v>5</v>
      </c>
      <c r="C519" s="9" t="n">
        <f aca="false">MONTH(A519)</f>
        <v>7</v>
      </c>
      <c r="D519" s="9" t="n">
        <f aca="false">YEAR(A519)</f>
        <v>2023</v>
      </c>
      <c r="E519" s="9" t="n">
        <f aca="false">WEEKDAY(A519,2)</f>
        <v>3</v>
      </c>
      <c r="F519" s="10" t="n">
        <f aca="false">WEEKNUM(A519,2) - WEEKNUM(DATE(YEAR(A519),MONTH(A519),1),2) + 1</f>
        <v>2</v>
      </c>
      <c r="G519" s="10"/>
      <c r="H519" s="11" t="n">
        <v>1725</v>
      </c>
      <c r="I519" s="12" t="s">
        <v>20</v>
      </c>
      <c r="J519" s="22" t="s">
        <v>41</v>
      </c>
      <c r="K519" s="12"/>
      <c r="L519" s="9" t="n">
        <f aca="false">L518+H519</f>
        <v>12149.52</v>
      </c>
      <c r="M519" s="10" t="str">
        <f aca="false">VLOOKUP(J519,RECATALOGANDO!A:C,2,0)</f>
        <v>HONORARIOS QUIRURGICOS</v>
      </c>
      <c r="N519" s="12" t="str">
        <f aca="false">VLOOKUP(M519,RECATALOGANDO!B:C,2,0)</f>
        <v>VENTA DE SERVICIO</v>
      </c>
      <c r="O519" s="2" t="s">
        <v>78</v>
      </c>
    </row>
    <row r="520" customFormat="false" ht="13.8" hidden="false" customHeight="false" outlineLevel="0" collapsed="false">
      <c r="A520" s="8" t="n">
        <v>45114</v>
      </c>
      <c r="B520" s="9" t="n">
        <f aca="false">DAY(A520)</f>
        <v>7</v>
      </c>
      <c r="C520" s="9" t="n">
        <f aca="false">MONTH(A520)</f>
        <v>7</v>
      </c>
      <c r="D520" s="9" t="n">
        <f aca="false">YEAR(A520)</f>
        <v>2023</v>
      </c>
      <c r="E520" s="9" t="n">
        <f aca="false">WEEKDAY(A520,2)</f>
        <v>5</v>
      </c>
      <c r="F520" s="10" t="n">
        <f aca="false">WEEKNUM(A520,2) - WEEKNUM(DATE(YEAR(A520),MONTH(A520),1),2) + 1</f>
        <v>2</v>
      </c>
      <c r="G520" s="10"/>
      <c r="H520" s="11" t="n">
        <v>1691</v>
      </c>
      <c r="I520" s="12" t="s">
        <v>15</v>
      </c>
      <c r="J520" s="22" t="s">
        <v>51</v>
      </c>
      <c r="K520" s="12"/>
      <c r="L520" s="9" t="n">
        <f aca="false">L519+H520</f>
        <v>13840.52</v>
      </c>
      <c r="M520" s="10" t="str">
        <f aca="false">VLOOKUP(J520,RECATALOGANDO!A:C,2,0)</f>
        <v>VENTA DE ALIMENTO</v>
      </c>
      <c r="N520" s="12" t="str">
        <f aca="false">VLOOKUP(M520,RECATALOGANDO!B:C,2,0)</f>
        <v>VENTA DE PRODUCTO</v>
      </c>
      <c r="O520" s="2" t="s">
        <v>78</v>
      </c>
    </row>
    <row r="521" customFormat="false" ht="13.8" hidden="false" customHeight="false" outlineLevel="0" collapsed="false">
      <c r="A521" s="8" t="n">
        <v>45114</v>
      </c>
      <c r="B521" s="9" t="n">
        <f aca="false">DAY(A521)</f>
        <v>7</v>
      </c>
      <c r="C521" s="9" t="n">
        <f aca="false">MONTH(A521)</f>
        <v>7</v>
      </c>
      <c r="D521" s="9" t="n">
        <f aca="false">YEAR(A521)</f>
        <v>2023</v>
      </c>
      <c r="E521" s="9" t="n">
        <f aca="false">WEEKDAY(A521,2)</f>
        <v>5</v>
      </c>
      <c r="F521" s="10" t="n">
        <f aca="false">WEEKNUM(A521,2) - WEEKNUM(DATE(YEAR(A521),MONTH(A521),1),2) + 1</f>
        <v>2</v>
      </c>
      <c r="G521" s="10"/>
      <c r="H521" s="11" t="n">
        <v>370</v>
      </c>
      <c r="I521" s="12" t="s">
        <v>15</v>
      </c>
      <c r="J521" s="22" t="s">
        <v>53</v>
      </c>
      <c r="K521" s="12"/>
      <c r="L521" s="9" t="n">
        <f aca="false">L520+H521</f>
        <v>14210.52</v>
      </c>
      <c r="M521" s="10" t="str">
        <f aca="false">VLOOKUP(J521,RECATALOGANDO!A:C,2,0)</f>
        <v>SERVICIO DE GROOMING</v>
      </c>
      <c r="N521" s="12" t="str">
        <f aca="false">VLOOKUP(M521,RECATALOGANDO!B:C,2,0)</f>
        <v>VENTA DE SERVICIO</v>
      </c>
      <c r="O521" s="2" t="s">
        <v>78</v>
      </c>
    </row>
    <row r="522" customFormat="false" ht="13.8" hidden="false" customHeight="false" outlineLevel="0" collapsed="false">
      <c r="A522" s="8" t="n">
        <v>45117</v>
      </c>
      <c r="B522" s="9" t="n">
        <f aca="false">DAY(A522)</f>
        <v>10</v>
      </c>
      <c r="C522" s="9" t="n">
        <f aca="false">MONTH(A522)</f>
        <v>7</v>
      </c>
      <c r="D522" s="9" t="n">
        <f aca="false">YEAR(A522)</f>
        <v>2023</v>
      </c>
      <c r="E522" s="9" t="n">
        <f aca="false">WEEKDAY(A522,2)</f>
        <v>1</v>
      </c>
      <c r="F522" s="10" t="n">
        <f aca="false">WEEKNUM(A522,2) - WEEKNUM(DATE(YEAR(A522),MONTH(A522),1),2) + 1</f>
        <v>3</v>
      </c>
      <c r="G522" s="10"/>
      <c r="H522" s="11" t="n">
        <v>150</v>
      </c>
      <c r="I522" s="12" t="s">
        <v>15</v>
      </c>
      <c r="J522" s="22" t="s">
        <v>53</v>
      </c>
      <c r="K522" s="12"/>
      <c r="L522" s="9" t="n">
        <f aca="false">L521+H522</f>
        <v>14360.52</v>
      </c>
      <c r="M522" s="10" t="str">
        <f aca="false">VLOOKUP(J522,RECATALOGANDO!A:C,2,0)</f>
        <v>SERVICIO DE GROOMING</v>
      </c>
      <c r="N522" s="12" t="str">
        <f aca="false">VLOOKUP(M522,RECATALOGANDO!B:C,2,0)</f>
        <v>VENTA DE SERVICIO</v>
      </c>
      <c r="O522" s="2" t="s">
        <v>78</v>
      </c>
    </row>
    <row r="523" customFormat="false" ht="13.8" hidden="false" customHeight="false" outlineLevel="0" collapsed="false">
      <c r="A523" s="8" t="n">
        <v>45118</v>
      </c>
      <c r="B523" s="9" t="n">
        <f aca="false">DAY(A523)</f>
        <v>11</v>
      </c>
      <c r="C523" s="9" t="n">
        <f aca="false">MONTH(A523)</f>
        <v>7</v>
      </c>
      <c r="D523" s="9" t="n">
        <f aca="false">YEAR(A523)</f>
        <v>2023</v>
      </c>
      <c r="E523" s="9" t="n">
        <f aca="false">WEEKDAY(A523,2)</f>
        <v>2</v>
      </c>
      <c r="F523" s="10" t="n">
        <f aca="false">WEEKNUM(A523,2) - WEEKNUM(DATE(YEAR(A523),MONTH(A523),1),2) + 1</f>
        <v>3</v>
      </c>
      <c r="G523" s="10"/>
      <c r="H523" s="11" t="n">
        <v>430</v>
      </c>
      <c r="I523" s="12" t="s">
        <v>20</v>
      </c>
      <c r="J523" s="22" t="s">
        <v>45</v>
      </c>
      <c r="K523" s="12"/>
      <c r="L523" s="9" t="n">
        <f aca="false">L522+H523</f>
        <v>14790.52</v>
      </c>
      <c r="M523" s="10" t="str">
        <f aca="false">VLOOKUP(J523,RECATALOGANDO!A:C,2,0)</f>
        <v>VENTA DE MEDICAMENTO</v>
      </c>
      <c r="N523" s="12" t="str">
        <f aca="false">VLOOKUP(M523,RECATALOGANDO!B:C,2,0)</f>
        <v>VENTA DE PRODUCTO</v>
      </c>
      <c r="O523" s="2" t="s">
        <v>78</v>
      </c>
    </row>
    <row r="524" customFormat="false" ht="13.8" hidden="false" customHeight="false" outlineLevel="0" collapsed="false">
      <c r="A524" s="8" t="n">
        <v>45118</v>
      </c>
      <c r="B524" s="9" t="n">
        <f aca="false">DAY(A524)</f>
        <v>11</v>
      </c>
      <c r="C524" s="9" t="n">
        <f aca="false">MONTH(A524)</f>
        <v>7</v>
      </c>
      <c r="D524" s="9" t="n">
        <f aca="false">YEAR(A524)</f>
        <v>2023</v>
      </c>
      <c r="E524" s="9" t="n">
        <f aca="false">WEEKDAY(A524,2)</f>
        <v>2</v>
      </c>
      <c r="F524" s="10" t="n">
        <f aca="false">WEEKNUM(A524,2) - WEEKNUM(DATE(YEAR(A524),MONTH(A524),1),2) + 1</f>
        <v>3</v>
      </c>
      <c r="G524" s="10"/>
      <c r="H524" s="11" t="n">
        <v>763.72</v>
      </c>
      <c r="I524" s="12" t="s">
        <v>15</v>
      </c>
      <c r="J524" s="22" t="s">
        <v>44</v>
      </c>
      <c r="K524" s="12"/>
      <c r="L524" s="9" t="n">
        <f aca="false">L523+H524</f>
        <v>15554.24</v>
      </c>
      <c r="M524" s="10" t="str">
        <f aca="false">VLOOKUP(J524,RECATALOGANDO!A:C,2,0)</f>
        <v>HONORARIOS MEDICOS</v>
      </c>
      <c r="N524" s="12" t="str">
        <f aca="false">VLOOKUP(M524,RECATALOGANDO!B:C,2,0)</f>
        <v>VENTA DE SERVICIO</v>
      </c>
      <c r="O524" s="2" t="s">
        <v>78</v>
      </c>
    </row>
    <row r="525" customFormat="false" ht="13.8" hidden="false" customHeight="false" outlineLevel="0" collapsed="false">
      <c r="A525" s="8" t="n">
        <v>45118</v>
      </c>
      <c r="B525" s="9" t="n">
        <f aca="false">DAY(A525)</f>
        <v>11</v>
      </c>
      <c r="C525" s="9" t="n">
        <f aca="false">MONTH(A525)</f>
        <v>7</v>
      </c>
      <c r="D525" s="9" t="n">
        <f aca="false">YEAR(A525)</f>
        <v>2023</v>
      </c>
      <c r="E525" s="9" t="n">
        <f aca="false">WEEKDAY(A525,2)</f>
        <v>2</v>
      </c>
      <c r="F525" s="10" t="n">
        <f aca="false">WEEKNUM(A525,2) - WEEKNUM(DATE(YEAR(A525),MONTH(A525),1),2) + 1</f>
        <v>3</v>
      </c>
      <c r="G525" s="10"/>
      <c r="H525" s="11" t="n">
        <v>2380</v>
      </c>
      <c r="I525" s="12" t="s">
        <v>20</v>
      </c>
      <c r="J525" s="22" t="s">
        <v>41</v>
      </c>
      <c r="K525" s="12"/>
      <c r="L525" s="9" t="n">
        <f aca="false">L524+H525</f>
        <v>17934.24</v>
      </c>
      <c r="M525" s="10" t="str">
        <f aca="false">VLOOKUP(J525,RECATALOGANDO!A:C,2,0)</f>
        <v>HONORARIOS QUIRURGICOS</v>
      </c>
      <c r="N525" s="12" t="str">
        <f aca="false">VLOOKUP(M525,RECATALOGANDO!B:C,2,0)</f>
        <v>VENTA DE SERVICIO</v>
      </c>
      <c r="O525" s="2" t="s">
        <v>78</v>
      </c>
    </row>
    <row r="526" customFormat="false" ht="13.8" hidden="false" customHeight="false" outlineLevel="0" collapsed="false">
      <c r="A526" s="8" t="n">
        <v>45119</v>
      </c>
      <c r="B526" s="9" t="n">
        <f aca="false">DAY(A526)</f>
        <v>12</v>
      </c>
      <c r="C526" s="9" t="n">
        <f aca="false">MONTH(A526)</f>
        <v>7</v>
      </c>
      <c r="D526" s="9" t="n">
        <f aca="false">YEAR(A526)</f>
        <v>2023</v>
      </c>
      <c r="E526" s="9" t="n">
        <f aca="false">WEEKDAY(A526,2)</f>
        <v>3</v>
      </c>
      <c r="F526" s="10" t="n">
        <f aca="false">WEEKNUM(A526,2) - WEEKNUM(DATE(YEAR(A526),MONTH(A526),1),2) + 1</f>
        <v>3</v>
      </c>
      <c r="G526" s="10"/>
      <c r="H526" s="11" t="n">
        <v>150</v>
      </c>
      <c r="I526" s="12" t="s">
        <v>15</v>
      </c>
      <c r="J526" s="22" t="s">
        <v>53</v>
      </c>
      <c r="K526" s="12"/>
      <c r="L526" s="9" t="n">
        <f aca="false">L525+H526</f>
        <v>18084.24</v>
      </c>
      <c r="M526" s="10" t="str">
        <f aca="false">VLOOKUP(J526,RECATALOGANDO!A:C,2,0)</f>
        <v>SERVICIO DE GROOMING</v>
      </c>
      <c r="N526" s="12" t="str">
        <f aca="false">VLOOKUP(M526,RECATALOGANDO!B:C,2,0)</f>
        <v>VENTA DE SERVICIO</v>
      </c>
      <c r="O526" s="2" t="s">
        <v>78</v>
      </c>
    </row>
    <row r="527" customFormat="false" ht="13.8" hidden="false" customHeight="false" outlineLevel="0" collapsed="false">
      <c r="A527" s="8" t="n">
        <v>45119</v>
      </c>
      <c r="B527" s="9" t="n">
        <f aca="false">DAY(A527)</f>
        <v>12</v>
      </c>
      <c r="C527" s="9" t="n">
        <f aca="false">MONTH(A527)</f>
        <v>7</v>
      </c>
      <c r="D527" s="9" t="n">
        <f aca="false">YEAR(A527)</f>
        <v>2023</v>
      </c>
      <c r="E527" s="9" t="n">
        <f aca="false">WEEKDAY(A527,2)</f>
        <v>3</v>
      </c>
      <c r="F527" s="10" t="n">
        <f aca="false">WEEKNUM(A527,2) - WEEKNUM(DATE(YEAR(A527),MONTH(A527),1),2) + 1</f>
        <v>3</v>
      </c>
      <c r="G527" s="10"/>
      <c r="H527" s="11" t="n">
        <v>675</v>
      </c>
      <c r="I527" s="12" t="s">
        <v>15</v>
      </c>
      <c r="J527" s="22" t="s">
        <v>44</v>
      </c>
      <c r="K527" s="12"/>
      <c r="L527" s="9" t="n">
        <f aca="false">L526+H527</f>
        <v>18759.24</v>
      </c>
      <c r="M527" s="10" t="str">
        <f aca="false">VLOOKUP(J527,RECATALOGANDO!A:C,2,0)</f>
        <v>HONORARIOS MEDICOS</v>
      </c>
      <c r="N527" s="12" t="str">
        <f aca="false">VLOOKUP(M527,RECATALOGANDO!B:C,2,0)</f>
        <v>VENTA DE SERVICIO</v>
      </c>
      <c r="O527" s="2" t="s">
        <v>78</v>
      </c>
    </row>
    <row r="528" customFormat="false" ht="13.8" hidden="false" customHeight="false" outlineLevel="0" collapsed="false">
      <c r="A528" s="8" t="n">
        <v>45120</v>
      </c>
      <c r="B528" s="9" t="n">
        <f aca="false">DAY(A528)</f>
        <v>13</v>
      </c>
      <c r="C528" s="9" t="n">
        <f aca="false">MONTH(A528)</f>
        <v>7</v>
      </c>
      <c r="D528" s="9" t="n">
        <f aca="false">YEAR(A528)</f>
        <v>2023</v>
      </c>
      <c r="E528" s="9" t="n">
        <f aca="false">WEEKDAY(A528,2)</f>
        <v>4</v>
      </c>
      <c r="F528" s="10" t="n">
        <f aca="false">WEEKNUM(A528,2) - WEEKNUM(DATE(YEAR(A528),MONTH(A528),1),2) + 1</f>
        <v>3</v>
      </c>
      <c r="G528" s="10"/>
      <c r="H528" s="11" t="n">
        <v>2324.69</v>
      </c>
      <c r="I528" s="12" t="s">
        <v>15</v>
      </c>
      <c r="J528" s="22" t="s">
        <v>51</v>
      </c>
      <c r="K528" s="12"/>
      <c r="L528" s="9" t="n">
        <f aca="false">L527+H528</f>
        <v>21083.93</v>
      </c>
      <c r="M528" s="10" t="str">
        <f aca="false">VLOOKUP(J528,RECATALOGANDO!A:C,2,0)</f>
        <v>VENTA DE ALIMENTO</v>
      </c>
      <c r="N528" s="12" t="str">
        <f aca="false">VLOOKUP(M528,RECATALOGANDO!B:C,2,0)</f>
        <v>VENTA DE PRODUCTO</v>
      </c>
      <c r="O528" s="2" t="s">
        <v>78</v>
      </c>
    </row>
    <row r="529" customFormat="false" ht="13.8" hidden="false" customHeight="false" outlineLevel="0" collapsed="false">
      <c r="A529" s="8" t="n">
        <v>45120</v>
      </c>
      <c r="B529" s="9" t="n">
        <f aca="false">DAY(A529)</f>
        <v>13</v>
      </c>
      <c r="C529" s="9" t="n">
        <f aca="false">MONTH(A529)</f>
        <v>7</v>
      </c>
      <c r="D529" s="9" t="n">
        <f aca="false">YEAR(A529)</f>
        <v>2023</v>
      </c>
      <c r="E529" s="9" t="n">
        <f aca="false">WEEKDAY(A529,2)</f>
        <v>4</v>
      </c>
      <c r="F529" s="10" t="n">
        <f aca="false">WEEKNUM(A529,2) - WEEKNUM(DATE(YEAR(A529),MONTH(A529),1),2) + 1</f>
        <v>3</v>
      </c>
      <c r="G529" s="10"/>
      <c r="H529" s="11" t="n">
        <v>912</v>
      </c>
      <c r="I529" s="12" t="s">
        <v>20</v>
      </c>
      <c r="J529" s="22" t="s">
        <v>58</v>
      </c>
      <c r="K529" s="12"/>
      <c r="L529" s="9" t="n">
        <f aca="false">L528+H529</f>
        <v>21995.93</v>
      </c>
      <c r="M529" s="10" t="str">
        <f aca="false">VLOOKUP(J529,RECATALOGANDO!A:C,2,0)</f>
        <v>SERVICIO DE LABORATORIO</v>
      </c>
      <c r="N529" s="12" t="str">
        <f aca="false">VLOOKUP(M529,RECATALOGANDO!B:C,2,0)</f>
        <v>VENTA DE SERVICIO</v>
      </c>
      <c r="O529" s="2" t="s">
        <v>78</v>
      </c>
    </row>
    <row r="530" customFormat="false" ht="13.8" hidden="false" customHeight="false" outlineLevel="0" collapsed="false">
      <c r="A530" s="8" t="n">
        <v>45121</v>
      </c>
      <c r="B530" s="9" t="n">
        <f aca="false">DAY(A530)</f>
        <v>14</v>
      </c>
      <c r="C530" s="9" t="n">
        <f aca="false">MONTH(A530)</f>
        <v>7</v>
      </c>
      <c r="D530" s="9" t="n">
        <f aca="false">YEAR(A530)</f>
        <v>2023</v>
      </c>
      <c r="E530" s="9" t="n">
        <f aca="false">WEEKDAY(A530,2)</f>
        <v>5</v>
      </c>
      <c r="F530" s="10" t="n">
        <f aca="false">WEEKNUM(A530,2) - WEEKNUM(DATE(YEAR(A530),MONTH(A530),1),2) + 1</f>
        <v>3</v>
      </c>
      <c r="G530" s="10" t="n">
        <v>1</v>
      </c>
      <c r="H530" s="11" t="n">
        <v>1120</v>
      </c>
      <c r="I530" s="12" t="s">
        <v>20</v>
      </c>
      <c r="J530" s="22" t="s">
        <v>45</v>
      </c>
      <c r="K530" s="12"/>
      <c r="L530" s="9" t="n">
        <f aca="false">L529+H530</f>
        <v>23115.93</v>
      </c>
      <c r="M530" s="10" t="str">
        <f aca="false">VLOOKUP(J530,RECATALOGANDO!A:C,2,0)</f>
        <v>VENTA DE MEDICAMENTO</v>
      </c>
      <c r="N530" s="12" t="str">
        <f aca="false">VLOOKUP(M530,RECATALOGANDO!B:C,2,0)</f>
        <v>VENTA DE PRODUCTO</v>
      </c>
      <c r="O530" s="2" t="s">
        <v>78</v>
      </c>
    </row>
    <row r="531" customFormat="false" ht="13.8" hidden="false" customHeight="false" outlineLevel="0" collapsed="false">
      <c r="A531" s="8" t="n">
        <v>45121</v>
      </c>
      <c r="B531" s="9" t="n">
        <f aca="false">DAY(A531)</f>
        <v>14</v>
      </c>
      <c r="C531" s="9" t="n">
        <f aca="false">MONTH(A531)</f>
        <v>7</v>
      </c>
      <c r="D531" s="9" t="n">
        <f aca="false">YEAR(A531)</f>
        <v>2023</v>
      </c>
      <c r="E531" s="9" t="n">
        <f aca="false">WEEKDAY(A531,2)</f>
        <v>5</v>
      </c>
      <c r="F531" s="10" t="n">
        <f aca="false">WEEKNUM(A531,2) - WEEKNUM(DATE(YEAR(A531),MONTH(A531),1),2) + 1</f>
        <v>3</v>
      </c>
      <c r="G531" s="10" t="n">
        <v>1</v>
      </c>
      <c r="H531" s="11" t="n">
        <v>290</v>
      </c>
      <c r="I531" s="12" t="s">
        <v>20</v>
      </c>
      <c r="J531" s="22" t="s">
        <v>53</v>
      </c>
      <c r="K531" s="12"/>
      <c r="L531" s="9" t="n">
        <f aca="false">L530+H531</f>
        <v>23405.93</v>
      </c>
      <c r="M531" s="10" t="str">
        <f aca="false">VLOOKUP(J531,RECATALOGANDO!A:C,2,0)</f>
        <v>SERVICIO DE GROOMING</v>
      </c>
      <c r="N531" s="12" t="str">
        <f aca="false">VLOOKUP(M531,RECATALOGANDO!B:C,2,0)</f>
        <v>VENTA DE SERVICIO</v>
      </c>
      <c r="O531" s="2" t="s">
        <v>78</v>
      </c>
    </row>
    <row r="532" customFormat="false" ht="13.8" hidden="false" customHeight="false" outlineLevel="0" collapsed="false">
      <c r="A532" s="8" t="n">
        <v>45121</v>
      </c>
      <c r="B532" s="9" t="n">
        <f aca="false">DAY(A532)</f>
        <v>14</v>
      </c>
      <c r="C532" s="9" t="n">
        <f aca="false">MONTH(A532)</f>
        <v>7</v>
      </c>
      <c r="D532" s="9" t="n">
        <f aca="false">YEAR(A532)</f>
        <v>2023</v>
      </c>
      <c r="E532" s="9" t="n">
        <f aca="false">WEEKDAY(A532,2)</f>
        <v>5</v>
      </c>
      <c r="F532" s="10" t="n">
        <f aca="false">WEEKNUM(A532,2) - WEEKNUM(DATE(YEAR(A532),MONTH(A532),1),2) + 1</f>
        <v>3</v>
      </c>
      <c r="G532" s="10" t="n">
        <v>1</v>
      </c>
      <c r="H532" s="11" t="n">
        <v>761.58</v>
      </c>
      <c r="I532" s="12" t="s">
        <v>15</v>
      </c>
      <c r="J532" s="22" t="s">
        <v>44</v>
      </c>
      <c r="K532" s="12"/>
      <c r="L532" s="9" t="n">
        <f aca="false">L531+H532</f>
        <v>24167.51</v>
      </c>
      <c r="M532" s="10" t="str">
        <f aca="false">VLOOKUP(J532,RECATALOGANDO!A:C,2,0)</f>
        <v>HONORARIOS MEDICOS</v>
      </c>
      <c r="N532" s="12" t="str">
        <f aca="false">VLOOKUP(M532,RECATALOGANDO!B:C,2,0)</f>
        <v>VENTA DE SERVICIO</v>
      </c>
      <c r="O532" s="2" t="s">
        <v>78</v>
      </c>
    </row>
    <row r="533" customFormat="false" ht="13.8" hidden="false" customHeight="false" outlineLevel="0" collapsed="false">
      <c r="A533" s="8" t="n">
        <v>45122</v>
      </c>
      <c r="B533" s="9" t="n">
        <f aca="false">DAY(A533)</f>
        <v>15</v>
      </c>
      <c r="C533" s="9" t="n">
        <f aca="false">MONTH(A533)</f>
        <v>7</v>
      </c>
      <c r="D533" s="9" t="n">
        <f aca="false">YEAR(A533)</f>
        <v>2023</v>
      </c>
      <c r="E533" s="9" t="n">
        <f aca="false">WEEKDAY(A533,2)</f>
        <v>6</v>
      </c>
      <c r="F533" s="10" t="n">
        <f aca="false">WEEKNUM(A533,2) - WEEKNUM(DATE(YEAR(A533),MONTH(A533),1),2) + 1</f>
        <v>3</v>
      </c>
      <c r="G533" s="10"/>
      <c r="H533" s="11" t="n">
        <v>390</v>
      </c>
      <c r="I533" s="12" t="s">
        <v>15</v>
      </c>
      <c r="J533" s="22" t="s">
        <v>53</v>
      </c>
      <c r="K533" s="12"/>
      <c r="L533" s="9" t="n">
        <f aca="false">L532+H533</f>
        <v>24557.51</v>
      </c>
      <c r="M533" s="10" t="str">
        <f aca="false">VLOOKUP(J533,RECATALOGANDO!A:C,2,0)</f>
        <v>SERVICIO DE GROOMING</v>
      </c>
      <c r="N533" s="12" t="str">
        <f aca="false">VLOOKUP(M533,RECATALOGANDO!B:C,2,0)</f>
        <v>VENTA DE SERVICIO</v>
      </c>
      <c r="O533" s="2" t="s">
        <v>78</v>
      </c>
    </row>
    <row r="534" customFormat="false" ht="13.8" hidden="false" customHeight="false" outlineLevel="0" collapsed="false">
      <c r="A534" s="8" t="n">
        <v>45123</v>
      </c>
      <c r="B534" s="9" t="n">
        <f aca="false">DAY(A534)</f>
        <v>16</v>
      </c>
      <c r="C534" s="9" t="n">
        <f aca="false">MONTH(A534)</f>
        <v>7</v>
      </c>
      <c r="D534" s="9" t="n">
        <f aca="false">YEAR(A534)</f>
        <v>2023</v>
      </c>
      <c r="E534" s="9" t="n">
        <f aca="false">WEEKDAY(A534,2)</f>
        <v>7</v>
      </c>
      <c r="F534" s="10" t="n">
        <f aca="false">WEEKNUM(A534,2) - WEEKNUM(DATE(YEAR(A534),MONTH(A534),1),2) + 1</f>
        <v>3</v>
      </c>
      <c r="G534" s="10"/>
      <c r="H534" s="11" t="n">
        <v>298.97</v>
      </c>
      <c r="I534" s="12" t="s">
        <v>15</v>
      </c>
      <c r="J534" s="22" t="s">
        <v>45</v>
      </c>
      <c r="K534" s="12"/>
      <c r="L534" s="9" t="n">
        <f aca="false">L533+H534</f>
        <v>24856.48</v>
      </c>
      <c r="M534" s="10" t="str">
        <f aca="false">VLOOKUP(J534,RECATALOGANDO!A:C,2,0)</f>
        <v>VENTA DE MEDICAMENTO</v>
      </c>
      <c r="N534" s="12" t="str">
        <f aca="false">VLOOKUP(M534,RECATALOGANDO!B:C,2,0)</f>
        <v>VENTA DE PRODUCTO</v>
      </c>
      <c r="O534" s="2" t="s">
        <v>78</v>
      </c>
    </row>
    <row r="535" customFormat="false" ht="13.8" hidden="false" customHeight="false" outlineLevel="0" collapsed="false">
      <c r="A535" s="8" t="n">
        <v>45124</v>
      </c>
      <c r="B535" s="9" t="n">
        <f aca="false">DAY(A535)</f>
        <v>17</v>
      </c>
      <c r="C535" s="9" t="n">
        <f aca="false">MONTH(A535)</f>
        <v>7</v>
      </c>
      <c r="D535" s="9" t="n">
        <f aca="false">YEAR(A535)</f>
        <v>2023</v>
      </c>
      <c r="E535" s="9" t="n">
        <f aca="false">WEEKDAY(A535,2)</f>
        <v>1</v>
      </c>
      <c r="F535" s="10" t="n">
        <f aca="false">WEEKNUM(A535,2) - WEEKNUM(DATE(YEAR(A535),MONTH(A535),1),2) + 1</f>
        <v>4</v>
      </c>
      <c r="G535" s="10"/>
      <c r="H535" s="11" t="n">
        <v>579</v>
      </c>
      <c r="I535" s="12" t="s">
        <v>20</v>
      </c>
      <c r="J535" s="22" t="s">
        <v>51</v>
      </c>
      <c r="K535" s="12"/>
      <c r="L535" s="9" t="n">
        <f aca="false">L534+H535</f>
        <v>25435.48</v>
      </c>
      <c r="M535" s="10" t="str">
        <f aca="false">VLOOKUP(J535,RECATALOGANDO!A:C,2,0)</f>
        <v>VENTA DE ALIMENTO</v>
      </c>
      <c r="N535" s="12" t="str">
        <f aca="false">VLOOKUP(M535,RECATALOGANDO!B:C,2,0)</f>
        <v>VENTA DE PRODUCTO</v>
      </c>
      <c r="O535" s="2" t="s">
        <v>78</v>
      </c>
    </row>
    <row r="536" customFormat="false" ht="13.8" hidden="false" customHeight="false" outlineLevel="0" collapsed="false">
      <c r="A536" s="8" t="n">
        <v>45124</v>
      </c>
      <c r="B536" s="9" t="n">
        <f aca="false">DAY(A536)</f>
        <v>17</v>
      </c>
      <c r="C536" s="9" t="n">
        <f aca="false">MONTH(A536)</f>
        <v>7</v>
      </c>
      <c r="D536" s="9" t="n">
        <f aca="false">YEAR(A536)</f>
        <v>2023</v>
      </c>
      <c r="E536" s="9" t="n">
        <f aca="false">WEEKDAY(A536,2)</f>
        <v>1</v>
      </c>
      <c r="F536" s="10" t="n">
        <f aca="false">WEEKNUM(A536,2) - WEEKNUM(DATE(YEAR(A536),MONTH(A536),1),2) + 1</f>
        <v>4</v>
      </c>
      <c r="G536" s="10"/>
      <c r="H536" s="11" t="n">
        <v>140</v>
      </c>
      <c r="I536" s="12" t="s">
        <v>20</v>
      </c>
      <c r="J536" s="22" t="s">
        <v>53</v>
      </c>
      <c r="K536" s="12"/>
      <c r="L536" s="9" t="n">
        <f aca="false">L535+H536</f>
        <v>25575.48</v>
      </c>
      <c r="M536" s="10" t="str">
        <f aca="false">VLOOKUP(J536,RECATALOGANDO!A:C,2,0)</f>
        <v>SERVICIO DE GROOMING</v>
      </c>
      <c r="N536" s="12" t="str">
        <f aca="false">VLOOKUP(M536,RECATALOGANDO!B:C,2,0)</f>
        <v>VENTA DE SERVICIO</v>
      </c>
      <c r="O536" s="2" t="s">
        <v>78</v>
      </c>
    </row>
    <row r="537" customFormat="false" ht="13.8" hidden="false" customHeight="false" outlineLevel="0" collapsed="false">
      <c r="A537" s="8" t="n">
        <v>45124</v>
      </c>
      <c r="B537" s="9" t="n">
        <f aca="false">DAY(A537)</f>
        <v>17</v>
      </c>
      <c r="C537" s="9" t="n">
        <f aca="false">MONTH(A537)</f>
        <v>7</v>
      </c>
      <c r="D537" s="9" t="n">
        <f aca="false">YEAR(A537)</f>
        <v>2023</v>
      </c>
      <c r="E537" s="9" t="n">
        <f aca="false">WEEKDAY(A537,2)</f>
        <v>1</v>
      </c>
      <c r="F537" s="10" t="n">
        <f aca="false">WEEKNUM(A537,2) - WEEKNUM(DATE(YEAR(A537),MONTH(A537),1),2) + 1</f>
        <v>4</v>
      </c>
      <c r="G537" s="10"/>
      <c r="H537" s="11" t="n">
        <v>600</v>
      </c>
      <c r="I537" s="12" t="s">
        <v>20</v>
      </c>
      <c r="J537" s="22" t="s">
        <v>44</v>
      </c>
      <c r="K537" s="12"/>
      <c r="L537" s="9" t="n">
        <f aca="false">L536+H537</f>
        <v>26175.48</v>
      </c>
      <c r="M537" s="10" t="str">
        <f aca="false">VLOOKUP(J537,RECATALOGANDO!A:C,2,0)</f>
        <v>HONORARIOS MEDICOS</v>
      </c>
      <c r="N537" s="12" t="str">
        <f aca="false">VLOOKUP(M537,RECATALOGANDO!B:C,2,0)</f>
        <v>VENTA DE SERVICIO</v>
      </c>
      <c r="O537" s="2" t="s">
        <v>78</v>
      </c>
    </row>
    <row r="538" customFormat="false" ht="13.8" hidden="false" customHeight="false" outlineLevel="0" collapsed="false">
      <c r="A538" s="8" t="n">
        <v>45124</v>
      </c>
      <c r="B538" s="9" t="n">
        <f aca="false">DAY(A538)</f>
        <v>17</v>
      </c>
      <c r="C538" s="9" t="n">
        <f aca="false">MONTH(A538)</f>
        <v>7</v>
      </c>
      <c r="D538" s="9" t="n">
        <f aca="false">YEAR(A538)</f>
        <v>2023</v>
      </c>
      <c r="E538" s="9" t="n">
        <f aca="false">WEEKDAY(A538,2)</f>
        <v>1</v>
      </c>
      <c r="F538" s="10" t="n">
        <f aca="false">WEEKNUM(A538,2) - WEEKNUM(DATE(YEAR(A538),MONTH(A538),1),2) + 1</f>
        <v>4</v>
      </c>
      <c r="G538" s="10"/>
      <c r="H538" s="11" t="n">
        <v>2000</v>
      </c>
      <c r="I538" s="12" t="s">
        <v>20</v>
      </c>
      <c r="J538" s="22" t="s">
        <v>58</v>
      </c>
      <c r="K538" s="12"/>
      <c r="L538" s="9" t="n">
        <f aca="false">L537+H538</f>
        <v>28175.48</v>
      </c>
      <c r="M538" s="10" t="str">
        <f aca="false">VLOOKUP(J538,RECATALOGANDO!A:C,2,0)</f>
        <v>SERVICIO DE LABORATORIO</v>
      </c>
      <c r="N538" s="12" t="str">
        <f aca="false">VLOOKUP(M538,RECATALOGANDO!B:C,2,0)</f>
        <v>VENTA DE SERVICIO</v>
      </c>
      <c r="O538" s="2" t="s">
        <v>78</v>
      </c>
    </row>
    <row r="539" customFormat="false" ht="13.8" hidden="false" customHeight="false" outlineLevel="0" collapsed="false">
      <c r="A539" s="8" t="n">
        <v>45125</v>
      </c>
      <c r="B539" s="9" t="n">
        <f aca="false">DAY(A539)</f>
        <v>18</v>
      </c>
      <c r="C539" s="9" t="n">
        <f aca="false">MONTH(A539)</f>
        <v>7</v>
      </c>
      <c r="D539" s="9" t="n">
        <f aca="false">YEAR(A539)</f>
        <v>2023</v>
      </c>
      <c r="E539" s="9" t="n">
        <f aca="false">WEEKDAY(A539,2)</f>
        <v>2</v>
      </c>
      <c r="F539" s="10" t="n">
        <f aca="false">WEEKNUM(A539,2) - WEEKNUM(DATE(YEAR(A539),MONTH(A539),1),2) + 1</f>
        <v>4</v>
      </c>
      <c r="G539" s="10"/>
      <c r="H539" s="11" t="n">
        <v>725</v>
      </c>
      <c r="I539" s="12" t="s">
        <v>20</v>
      </c>
      <c r="J539" s="22" t="s">
        <v>45</v>
      </c>
      <c r="K539" s="12"/>
      <c r="L539" s="9" t="n">
        <f aca="false">L538+H539</f>
        <v>28900.48</v>
      </c>
      <c r="M539" s="10" t="str">
        <f aca="false">VLOOKUP(J539,RECATALOGANDO!A:C,2,0)</f>
        <v>VENTA DE MEDICAMENTO</v>
      </c>
      <c r="N539" s="12" t="str">
        <f aca="false">VLOOKUP(M539,RECATALOGANDO!B:C,2,0)</f>
        <v>VENTA DE PRODUCTO</v>
      </c>
      <c r="O539" s="2" t="s">
        <v>78</v>
      </c>
    </row>
    <row r="540" customFormat="false" ht="13.8" hidden="false" customHeight="false" outlineLevel="0" collapsed="false">
      <c r="A540" s="8" t="n">
        <v>45125</v>
      </c>
      <c r="B540" s="9" t="n">
        <f aca="false">DAY(A540)</f>
        <v>18</v>
      </c>
      <c r="C540" s="9" t="n">
        <f aca="false">MONTH(A540)</f>
        <v>7</v>
      </c>
      <c r="D540" s="9" t="n">
        <f aca="false">YEAR(A540)</f>
        <v>2023</v>
      </c>
      <c r="E540" s="9" t="n">
        <f aca="false">WEEKDAY(A540,2)</f>
        <v>2</v>
      </c>
      <c r="F540" s="10" t="n">
        <f aca="false">WEEKNUM(A540,2) - WEEKNUM(DATE(YEAR(A540),MONTH(A540),1),2) + 1</f>
        <v>4</v>
      </c>
      <c r="G540" s="10"/>
      <c r="H540" s="11" t="n">
        <v>3900</v>
      </c>
      <c r="I540" s="12" t="s">
        <v>20</v>
      </c>
      <c r="J540" s="22" t="s">
        <v>45</v>
      </c>
      <c r="K540" s="12"/>
      <c r="L540" s="9" t="n">
        <f aca="false">L539+H540</f>
        <v>32800.48</v>
      </c>
      <c r="M540" s="10" t="str">
        <f aca="false">VLOOKUP(J540,RECATALOGANDO!A:C,2,0)</f>
        <v>VENTA DE MEDICAMENTO</v>
      </c>
      <c r="N540" s="12" t="str">
        <f aca="false">VLOOKUP(M540,RECATALOGANDO!B:C,2,0)</f>
        <v>VENTA DE PRODUCTO</v>
      </c>
      <c r="O540" s="2" t="s">
        <v>78</v>
      </c>
    </row>
    <row r="541" customFormat="false" ht="13.8" hidden="false" customHeight="false" outlineLevel="0" collapsed="false">
      <c r="A541" s="8" t="n">
        <v>45125</v>
      </c>
      <c r="B541" s="9" t="n">
        <f aca="false">DAY(A541)</f>
        <v>18</v>
      </c>
      <c r="C541" s="9" t="n">
        <f aca="false">MONTH(A541)</f>
        <v>7</v>
      </c>
      <c r="D541" s="9" t="n">
        <f aca="false">YEAR(A541)</f>
        <v>2023</v>
      </c>
      <c r="E541" s="9" t="n">
        <f aca="false">WEEKDAY(A541,2)</f>
        <v>2</v>
      </c>
      <c r="F541" s="10" t="n">
        <f aca="false">WEEKNUM(A541,2) - WEEKNUM(DATE(YEAR(A541),MONTH(A541),1),2) + 1</f>
        <v>4</v>
      </c>
      <c r="G541" s="10"/>
      <c r="H541" s="11" t="n">
        <v>2600</v>
      </c>
      <c r="I541" s="12" t="s">
        <v>20</v>
      </c>
      <c r="J541" s="22" t="s">
        <v>41</v>
      </c>
      <c r="K541" s="12"/>
      <c r="L541" s="9" t="n">
        <f aca="false">L540+H541</f>
        <v>35400.48</v>
      </c>
      <c r="M541" s="10" t="str">
        <f aca="false">VLOOKUP(J541,RECATALOGANDO!A:C,2,0)</f>
        <v>HONORARIOS QUIRURGICOS</v>
      </c>
      <c r="N541" s="12" t="str">
        <f aca="false">VLOOKUP(M541,RECATALOGANDO!B:C,2,0)</f>
        <v>VENTA DE SERVICIO</v>
      </c>
      <c r="O541" s="2" t="s">
        <v>78</v>
      </c>
    </row>
    <row r="542" customFormat="false" ht="13.8" hidden="false" customHeight="false" outlineLevel="0" collapsed="false">
      <c r="A542" s="8" t="n">
        <v>45126</v>
      </c>
      <c r="B542" s="9" t="n">
        <f aca="false">DAY(A542)</f>
        <v>19</v>
      </c>
      <c r="C542" s="9" t="n">
        <f aca="false">MONTH(A542)</f>
        <v>7</v>
      </c>
      <c r="D542" s="9" t="n">
        <f aca="false">YEAR(A542)</f>
        <v>2023</v>
      </c>
      <c r="E542" s="9" t="n">
        <f aca="false">WEEKDAY(A542,2)</f>
        <v>3</v>
      </c>
      <c r="F542" s="10" t="n">
        <f aca="false">WEEKNUM(A542,2) - WEEKNUM(DATE(YEAR(A542),MONTH(A542),1),2) + 1</f>
        <v>4</v>
      </c>
      <c r="G542" s="10"/>
      <c r="H542" s="11" t="n">
        <v>3929</v>
      </c>
      <c r="I542" s="12" t="s">
        <v>20</v>
      </c>
      <c r="J542" s="22" t="s">
        <v>51</v>
      </c>
      <c r="K542" s="12"/>
      <c r="L542" s="9" t="n">
        <f aca="false">L541+H542</f>
        <v>39329.48</v>
      </c>
      <c r="M542" s="10" t="str">
        <f aca="false">VLOOKUP(J542,RECATALOGANDO!A:C,2,0)</f>
        <v>VENTA DE ALIMENTO</v>
      </c>
      <c r="N542" s="12" t="str">
        <f aca="false">VLOOKUP(M542,RECATALOGANDO!B:C,2,0)</f>
        <v>VENTA DE PRODUCTO</v>
      </c>
      <c r="O542" s="2" t="s">
        <v>78</v>
      </c>
    </row>
    <row r="543" customFormat="false" ht="13.8" hidden="false" customHeight="false" outlineLevel="0" collapsed="false">
      <c r="A543" s="8" t="n">
        <v>45127</v>
      </c>
      <c r="B543" s="9" t="n">
        <f aca="false">DAY(A543)</f>
        <v>20</v>
      </c>
      <c r="C543" s="9" t="n">
        <f aca="false">MONTH(A543)</f>
        <v>7</v>
      </c>
      <c r="D543" s="9" t="n">
        <f aca="false">YEAR(A543)</f>
        <v>2023</v>
      </c>
      <c r="E543" s="9" t="n">
        <f aca="false">WEEKDAY(A543,2)</f>
        <v>4</v>
      </c>
      <c r="F543" s="10" t="n">
        <f aca="false">WEEKNUM(A543,2) - WEEKNUM(DATE(YEAR(A543),MONTH(A543),1),2) + 1</f>
        <v>4</v>
      </c>
      <c r="G543" s="10"/>
      <c r="H543" s="11" t="n">
        <v>502</v>
      </c>
      <c r="I543" s="12" t="s">
        <v>20</v>
      </c>
      <c r="J543" s="22" t="s">
        <v>44</v>
      </c>
      <c r="K543" s="12"/>
      <c r="L543" s="9" t="n">
        <f aca="false">L542+H543</f>
        <v>39831.48</v>
      </c>
      <c r="M543" s="10" t="str">
        <f aca="false">VLOOKUP(J543,RECATALOGANDO!A:C,2,0)</f>
        <v>HONORARIOS MEDICOS</v>
      </c>
      <c r="N543" s="12" t="str">
        <f aca="false">VLOOKUP(M543,RECATALOGANDO!B:C,2,0)</f>
        <v>VENTA DE SERVICIO</v>
      </c>
      <c r="O543" s="2" t="s">
        <v>78</v>
      </c>
    </row>
    <row r="544" customFormat="false" ht="13.8" hidden="false" customHeight="false" outlineLevel="0" collapsed="false">
      <c r="A544" s="8" t="n">
        <v>45128</v>
      </c>
      <c r="B544" s="9" t="n">
        <f aca="false">DAY(A544)</f>
        <v>21</v>
      </c>
      <c r="C544" s="9" t="n">
        <f aca="false">MONTH(A544)</f>
        <v>7</v>
      </c>
      <c r="D544" s="9" t="n">
        <f aca="false">YEAR(A544)</f>
        <v>2023</v>
      </c>
      <c r="E544" s="9" t="n">
        <f aca="false">WEEKDAY(A544,2)</f>
        <v>5</v>
      </c>
      <c r="F544" s="10" t="n">
        <f aca="false">WEEKNUM(A544,2) - WEEKNUM(DATE(YEAR(A544),MONTH(A544),1),2) + 1</f>
        <v>4</v>
      </c>
      <c r="G544" s="10"/>
      <c r="H544" s="11" t="n">
        <v>110</v>
      </c>
      <c r="I544" s="12" t="s">
        <v>15</v>
      </c>
      <c r="J544" s="22" t="s">
        <v>53</v>
      </c>
      <c r="K544" s="12"/>
      <c r="L544" s="9" t="n">
        <f aca="false">L543+H544</f>
        <v>39941.48</v>
      </c>
      <c r="M544" s="10" t="str">
        <f aca="false">VLOOKUP(J544,RECATALOGANDO!A:C,2,0)</f>
        <v>SERVICIO DE GROOMING</v>
      </c>
      <c r="N544" s="12" t="str">
        <f aca="false">VLOOKUP(M544,RECATALOGANDO!B:C,2,0)</f>
        <v>VENTA DE SERVICIO</v>
      </c>
      <c r="O544" s="2" t="s">
        <v>78</v>
      </c>
    </row>
    <row r="545" customFormat="false" ht="13.8" hidden="false" customHeight="false" outlineLevel="0" collapsed="false">
      <c r="A545" s="8" t="n">
        <v>45128</v>
      </c>
      <c r="B545" s="9" t="n">
        <f aca="false">DAY(A545)</f>
        <v>21</v>
      </c>
      <c r="C545" s="9" t="n">
        <f aca="false">MONTH(A545)</f>
        <v>7</v>
      </c>
      <c r="D545" s="9" t="n">
        <f aca="false">YEAR(A545)</f>
        <v>2023</v>
      </c>
      <c r="E545" s="9" t="n">
        <f aca="false">WEEKDAY(A545,2)</f>
        <v>5</v>
      </c>
      <c r="F545" s="10" t="n">
        <f aca="false">WEEKNUM(A545,2) - WEEKNUM(DATE(YEAR(A545),MONTH(A545),1),2) + 1</f>
        <v>4</v>
      </c>
      <c r="G545" s="10"/>
      <c r="H545" s="11" t="n">
        <v>650</v>
      </c>
      <c r="I545" s="12" t="s">
        <v>20</v>
      </c>
      <c r="J545" s="22" t="s">
        <v>44</v>
      </c>
      <c r="K545" s="12"/>
      <c r="L545" s="9" t="n">
        <f aca="false">L544+H545</f>
        <v>40591.48</v>
      </c>
      <c r="M545" s="10" t="str">
        <f aca="false">VLOOKUP(J545,RECATALOGANDO!A:C,2,0)</f>
        <v>HONORARIOS MEDICOS</v>
      </c>
      <c r="N545" s="12" t="str">
        <f aca="false">VLOOKUP(M545,RECATALOGANDO!B:C,2,0)</f>
        <v>VENTA DE SERVICIO</v>
      </c>
      <c r="O545" s="2" t="s">
        <v>78</v>
      </c>
    </row>
    <row r="546" customFormat="false" ht="13.8" hidden="false" customHeight="false" outlineLevel="0" collapsed="false">
      <c r="A546" s="8" t="n">
        <v>45129</v>
      </c>
      <c r="B546" s="9" t="n">
        <f aca="false">DAY(A546)</f>
        <v>22</v>
      </c>
      <c r="C546" s="9" t="n">
        <f aca="false">MONTH(A546)</f>
        <v>7</v>
      </c>
      <c r="D546" s="9" t="n">
        <f aca="false">YEAR(A546)</f>
        <v>2023</v>
      </c>
      <c r="E546" s="9" t="n">
        <f aca="false">WEEKDAY(A546,2)</f>
        <v>6</v>
      </c>
      <c r="F546" s="10" t="n">
        <f aca="false">WEEKNUM(A546,2) - WEEKNUM(DATE(YEAR(A546),MONTH(A546),1),2) + 1</f>
        <v>4</v>
      </c>
      <c r="G546" s="10"/>
      <c r="H546" s="11" t="n">
        <v>1499.65</v>
      </c>
      <c r="I546" s="12" t="s">
        <v>15</v>
      </c>
      <c r="J546" s="22" t="s">
        <v>41</v>
      </c>
      <c r="K546" s="12"/>
      <c r="L546" s="9" t="n">
        <f aca="false">L545+H546</f>
        <v>42091.13</v>
      </c>
      <c r="M546" s="10" t="str">
        <f aca="false">VLOOKUP(J546,RECATALOGANDO!A:C,2,0)</f>
        <v>HONORARIOS QUIRURGICOS</v>
      </c>
      <c r="N546" s="12" t="str">
        <f aca="false">VLOOKUP(M546,RECATALOGANDO!B:C,2,0)</f>
        <v>VENTA DE SERVICIO</v>
      </c>
      <c r="O546" s="2" t="s">
        <v>78</v>
      </c>
    </row>
    <row r="547" customFormat="false" ht="13.8" hidden="false" customHeight="false" outlineLevel="0" collapsed="false">
      <c r="A547" s="8" t="n">
        <v>45131</v>
      </c>
      <c r="B547" s="9" t="n">
        <f aca="false">DAY(A547)</f>
        <v>24</v>
      </c>
      <c r="C547" s="9" t="n">
        <f aca="false">MONTH(A547)</f>
        <v>7</v>
      </c>
      <c r="D547" s="9" t="n">
        <f aca="false">YEAR(A547)</f>
        <v>2023</v>
      </c>
      <c r="E547" s="9" t="n">
        <f aca="false">WEEKDAY(A547,2)</f>
        <v>1</v>
      </c>
      <c r="F547" s="10" t="n">
        <f aca="false">WEEKNUM(A547,2) - WEEKNUM(DATE(YEAR(A547),MONTH(A547),1),2) + 1</f>
        <v>5</v>
      </c>
      <c r="G547" s="10"/>
      <c r="H547" s="11" t="n">
        <v>600</v>
      </c>
      <c r="I547" s="12" t="s">
        <v>20</v>
      </c>
      <c r="J547" s="22" t="s">
        <v>45</v>
      </c>
      <c r="K547" s="12"/>
      <c r="L547" s="9" t="n">
        <f aca="false">L546+H547</f>
        <v>42691.13</v>
      </c>
      <c r="M547" s="10" t="str">
        <f aca="false">VLOOKUP(J547,RECATALOGANDO!A:C,2,0)</f>
        <v>VENTA DE MEDICAMENTO</v>
      </c>
      <c r="N547" s="12" t="str">
        <f aca="false">VLOOKUP(M547,RECATALOGANDO!B:C,2,0)</f>
        <v>VENTA DE PRODUCTO</v>
      </c>
      <c r="O547" s="2" t="s">
        <v>78</v>
      </c>
    </row>
    <row r="548" customFormat="false" ht="13.8" hidden="false" customHeight="false" outlineLevel="0" collapsed="false">
      <c r="A548" s="8" t="n">
        <v>45131</v>
      </c>
      <c r="B548" s="9" t="n">
        <f aca="false">DAY(A548)</f>
        <v>24</v>
      </c>
      <c r="C548" s="9" t="n">
        <f aca="false">MONTH(A548)</f>
        <v>7</v>
      </c>
      <c r="D548" s="9" t="n">
        <f aca="false">YEAR(A548)</f>
        <v>2023</v>
      </c>
      <c r="E548" s="9" t="n">
        <f aca="false">WEEKDAY(A548,2)</f>
        <v>1</v>
      </c>
      <c r="F548" s="10" t="n">
        <f aca="false">WEEKNUM(A548,2) - WEEKNUM(DATE(YEAR(A548),MONTH(A548),1),2) + 1</f>
        <v>5</v>
      </c>
      <c r="G548" s="10"/>
      <c r="H548" s="11" t="n">
        <v>270</v>
      </c>
      <c r="I548" s="12" t="s">
        <v>15</v>
      </c>
      <c r="J548" s="22" t="s">
        <v>44</v>
      </c>
      <c r="K548" s="12"/>
      <c r="L548" s="9" t="n">
        <f aca="false">L547+H548</f>
        <v>42961.13</v>
      </c>
      <c r="M548" s="10" t="str">
        <f aca="false">VLOOKUP(J548,RECATALOGANDO!A:C,2,0)</f>
        <v>HONORARIOS MEDICOS</v>
      </c>
      <c r="N548" s="12" t="str">
        <f aca="false">VLOOKUP(M548,RECATALOGANDO!B:C,2,0)</f>
        <v>VENTA DE SERVICIO</v>
      </c>
      <c r="O548" s="2" t="s">
        <v>78</v>
      </c>
    </row>
    <row r="549" customFormat="false" ht="13.8" hidden="false" customHeight="false" outlineLevel="0" collapsed="false">
      <c r="A549" s="8" t="n">
        <v>45131</v>
      </c>
      <c r="B549" s="9" t="n">
        <f aca="false">DAY(A549)</f>
        <v>24</v>
      </c>
      <c r="C549" s="9" t="n">
        <f aca="false">MONTH(A549)</f>
        <v>7</v>
      </c>
      <c r="D549" s="9" t="n">
        <f aca="false">YEAR(A549)</f>
        <v>2023</v>
      </c>
      <c r="E549" s="9" t="n">
        <f aca="false">WEEKDAY(A549,2)</f>
        <v>1</v>
      </c>
      <c r="F549" s="10" t="n">
        <f aca="false">WEEKNUM(A549,2) - WEEKNUM(DATE(YEAR(A549),MONTH(A549),1),2) + 1</f>
        <v>5</v>
      </c>
      <c r="G549" s="10"/>
      <c r="H549" s="11" t="n">
        <v>520</v>
      </c>
      <c r="I549" s="12" t="s">
        <v>20</v>
      </c>
      <c r="J549" s="22" t="s">
        <v>44</v>
      </c>
      <c r="K549" s="12"/>
      <c r="L549" s="9" t="n">
        <f aca="false">L548+H549</f>
        <v>43481.13</v>
      </c>
      <c r="M549" s="10" t="str">
        <f aca="false">VLOOKUP(J549,RECATALOGANDO!A:C,2,0)</f>
        <v>HONORARIOS MEDICOS</v>
      </c>
      <c r="N549" s="12" t="str">
        <f aca="false">VLOOKUP(M549,RECATALOGANDO!B:C,2,0)</f>
        <v>VENTA DE SERVICIO</v>
      </c>
      <c r="O549" s="2" t="s">
        <v>78</v>
      </c>
    </row>
    <row r="550" customFormat="false" ht="13.8" hidden="false" customHeight="false" outlineLevel="0" collapsed="false">
      <c r="A550" s="8" t="n">
        <v>45131</v>
      </c>
      <c r="B550" s="9" t="n">
        <f aca="false">DAY(A550)</f>
        <v>24</v>
      </c>
      <c r="C550" s="9" t="n">
        <f aca="false">MONTH(A550)</f>
        <v>7</v>
      </c>
      <c r="D550" s="9" t="n">
        <f aca="false">YEAR(A550)</f>
        <v>2023</v>
      </c>
      <c r="E550" s="9" t="n">
        <f aca="false">WEEKDAY(A550,2)</f>
        <v>1</v>
      </c>
      <c r="F550" s="10" t="n">
        <f aca="false">WEEKNUM(A550,2) - WEEKNUM(DATE(YEAR(A550),MONTH(A550),1),2) + 1</f>
        <v>5</v>
      </c>
      <c r="G550" s="10"/>
      <c r="H550" s="11" t="n">
        <v>1920</v>
      </c>
      <c r="I550" s="12" t="s">
        <v>20</v>
      </c>
      <c r="J550" s="22" t="s">
        <v>58</v>
      </c>
      <c r="K550" s="12"/>
      <c r="L550" s="9" t="n">
        <f aca="false">L549+H550</f>
        <v>45401.13</v>
      </c>
      <c r="M550" s="10" t="str">
        <f aca="false">VLOOKUP(J550,RECATALOGANDO!A:C,2,0)</f>
        <v>SERVICIO DE LABORATORIO</v>
      </c>
      <c r="N550" s="12" t="str">
        <f aca="false">VLOOKUP(M550,RECATALOGANDO!B:C,2,0)</f>
        <v>VENTA DE SERVICIO</v>
      </c>
      <c r="O550" s="2" t="s">
        <v>78</v>
      </c>
    </row>
    <row r="551" customFormat="false" ht="13.8" hidden="false" customHeight="false" outlineLevel="0" collapsed="false">
      <c r="A551" s="8" t="n">
        <v>45132</v>
      </c>
      <c r="B551" s="9" t="n">
        <f aca="false">DAY(A551)</f>
        <v>25</v>
      </c>
      <c r="C551" s="9" t="n">
        <f aca="false">MONTH(A551)</f>
        <v>7</v>
      </c>
      <c r="D551" s="9" t="n">
        <f aca="false">YEAR(A551)</f>
        <v>2023</v>
      </c>
      <c r="E551" s="9" t="n">
        <f aca="false">WEEKDAY(A551,2)</f>
        <v>2</v>
      </c>
      <c r="F551" s="10" t="n">
        <f aca="false">WEEKNUM(A551,2) - WEEKNUM(DATE(YEAR(A551),MONTH(A551),1),2) + 1</f>
        <v>5</v>
      </c>
      <c r="G551" s="10"/>
      <c r="H551" s="11" t="n">
        <v>1985.48</v>
      </c>
      <c r="I551" s="12" t="s">
        <v>15</v>
      </c>
      <c r="J551" s="22" t="s">
        <v>41</v>
      </c>
      <c r="K551" s="12"/>
      <c r="L551" s="9" t="n">
        <f aca="false">L550+H551</f>
        <v>47386.61</v>
      </c>
      <c r="M551" s="10" t="str">
        <f aca="false">VLOOKUP(J551,RECATALOGANDO!A:C,2,0)</f>
        <v>HONORARIOS QUIRURGICOS</v>
      </c>
      <c r="N551" s="12" t="str">
        <f aca="false">VLOOKUP(M551,RECATALOGANDO!B:C,2,0)</f>
        <v>VENTA DE SERVICIO</v>
      </c>
      <c r="O551" s="2" t="s">
        <v>78</v>
      </c>
    </row>
    <row r="552" customFormat="false" ht="13.8" hidden="false" customHeight="false" outlineLevel="0" collapsed="false">
      <c r="A552" s="8" t="n">
        <v>45133</v>
      </c>
      <c r="B552" s="9" t="n">
        <f aca="false">DAY(A552)</f>
        <v>26</v>
      </c>
      <c r="C552" s="9" t="n">
        <f aca="false">MONTH(A552)</f>
        <v>7</v>
      </c>
      <c r="D552" s="9" t="n">
        <f aca="false">YEAR(A552)</f>
        <v>2023</v>
      </c>
      <c r="E552" s="9" t="n">
        <f aca="false">WEEKDAY(A552,2)</f>
        <v>3</v>
      </c>
      <c r="F552" s="10" t="n">
        <f aca="false">WEEKNUM(A552,2) - WEEKNUM(DATE(YEAR(A552),MONTH(A552),1),2) + 1</f>
        <v>5</v>
      </c>
      <c r="G552" s="10"/>
      <c r="H552" s="11" t="n">
        <v>1630</v>
      </c>
      <c r="I552" s="12" t="s">
        <v>15</v>
      </c>
      <c r="J552" s="22" t="s">
        <v>51</v>
      </c>
      <c r="K552" s="12"/>
      <c r="L552" s="9" t="n">
        <f aca="false">L551+H552</f>
        <v>49016.61</v>
      </c>
      <c r="M552" s="10" t="str">
        <f aca="false">VLOOKUP(J552,RECATALOGANDO!A:C,2,0)</f>
        <v>VENTA DE ALIMENTO</v>
      </c>
      <c r="N552" s="12" t="str">
        <f aca="false">VLOOKUP(M552,RECATALOGANDO!B:C,2,0)</f>
        <v>VENTA DE PRODUCTO</v>
      </c>
      <c r="O552" s="2" t="s">
        <v>78</v>
      </c>
    </row>
    <row r="553" customFormat="false" ht="13.8" hidden="false" customHeight="false" outlineLevel="0" collapsed="false">
      <c r="A553" s="8" t="n">
        <v>45134</v>
      </c>
      <c r="B553" s="9" t="n">
        <f aca="false">DAY(A553)</f>
        <v>27</v>
      </c>
      <c r="C553" s="9" t="n">
        <f aca="false">MONTH(A553)</f>
        <v>7</v>
      </c>
      <c r="D553" s="9" t="n">
        <f aca="false">YEAR(A553)</f>
        <v>2023</v>
      </c>
      <c r="E553" s="9" t="n">
        <f aca="false">WEEKDAY(A553,2)</f>
        <v>4</v>
      </c>
      <c r="F553" s="10" t="n">
        <f aca="false">WEEKNUM(A553,2) - WEEKNUM(DATE(YEAR(A553),MONTH(A553),1),2) + 1</f>
        <v>5</v>
      </c>
      <c r="G553" s="10"/>
      <c r="H553" s="11" t="n">
        <v>1000</v>
      </c>
      <c r="I553" s="12" t="s">
        <v>20</v>
      </c>
      <c r="J553" s="22" t="s">
        <v>45</v>
      </c>
      <c r="K553" s="12"/>
      <c r="L553" s="9" t="n">
        <f aca="false">L552+H553</f>
        <v>50016.61</v>
      </c>
      <c r="M553" s="10" t="str">
        <f aca="false">VLOOKUP(J553,RECATALOGANDO!A:C,2,0)</f>
        <v>VENTA DE MEDICAMENTO</v>
      </c>
      <c r="N553" s="12" t="str">
        <f aca="false">VLOOKUP(M553,RECATALOGANDO!B:C,2,0)</f>
        <v>VENTA DE PRODUCTO</v>
      </c>
      <c r="O553" s="2" t="s">
        <v>78</v>
      </c>
    </row>
    <row r="554" customFormat="false" ht="13.8" hidden="false" customHeight="false" outlineLevel="0" collapsed="false">
      <c r="A554" s="8" t="n">
        <v>45134</v>
      </c>
      <c r="B554" s="9" t="n">
        <f aca="false">DAY(A554)</f>
        <v>27</v>
      </c>
      <c r="C554" s="9" t="n">
        <f aca="false">MONTH(A554)</f>
        <v>7</v>
      </c>
      <c r="D554" s="9" t="n">
        <f aca="false">YEAR(A554)</f>
        <v>2023</v>
      </c>
      <c r="E554" s="9" t="n">
        <f aca="false">WEEKDAY(A554,2)</f>
        <v>4</v>
      </c>
      <c r="F554" s="10" t="n">
        <f aca="false">WEEKNUM(A554,2) - WEEKNUM(DATE(YEAR(A554),MONTH(A554),1),2) + 1</f>
        <v>5</v>
      </c>
      <c r="G554" s="10"/>
      <c r="H554" s="11" t="n">
        <v>170</v>
      </c>
      <c r="I554" s="12" t="s">
        <v>20</v>
      </c>
      <c r="J554" s="22" t="s">
        <v>53</v>
      </c>
      <c r="K554" s="12"/>
      <c r="L554" s="9" t="n">
        <f aca="false">L553+H554</f>
        <v>50186.61</v>
      </c>
      <c r="M554" s="10" t="str">
        <f aca="false">VLOOKUP(J554,RECATALOGANDO!A:C,2,0)</f>
        <v>SERVICIO DE GROOMING</v>
      </c>
      <c r="N554" s="12" t="str">
        <f aca="false">VLOOKUP(M554,RECATALOGANDO!B:C,2,0)</f>
        <v>VENTA DE SERVICIO</v>
      </c>
      <c r="O554" s="2" t="s">
        <v>78</v>
      </c>
    </row>
    <row r="555" customFormat="false" ht="13.8" hidden="false" customHeight="false" outlineLevel="0" collapsed="false">
      <c r="A555" s="8" t="n">
        <v>45134</v>
      </c>
      <c r="B555" s="9" t="n">
        <f aca="false">DAY(A555)</f>
        <v>27</v>
      </c>
      <c r="C555" s="9" t="n">
        <f aca="false">MONTH(A555)</f>
        <v>7</v>
      </c>
      <c r="D555" s="9" t="n">
        <f aca="false">YEAR(A555)</f>
        <v>2023</v>
      </c>
      <c r="E555" s="9" t="n">
        <f aca="false">WEEKDAY(A555,2)</f>
        <v>4</v>
      </c>
      <c r="F555" s="10" t="n">
        <f aca="false">WEEKNUM(A555,2) - WEEKNUM(DATE(YEAR(A555),MONTH(A555),1),2) + 1</f>
        <v>5</v>
      </c>
      <c r="G555" s="10"/>
      <c r="H555" s="11" t="n">
        <v>5190</v>
      </c>
      <c r="I555" s="12" t="s">
        <v>20</v>
      </c>
      <c r="J555" s="22" t="s">
        <v>41</v>
      </c>
      <c r="K555" s="12"/>
      <c r="L555" s="9" t="n">
        <f aca="false">L554+H555</f>
        <v>55376.61</v>
      </c>
      <c r="M555" s="10" t="str">
        <f aca="false">VLOOKUP(J555,RECATALOGANDO!A:C,2,0)</f>
        <v>HONORARIOS QUIRURGICOS</v>
      </c>
      <c r="N555" s="12" t="str">
        <f aca="false">VLOOKUP(M555,RECATALOGANDO!B:C,2,0)</f>
        <v>VENTA DE SERVICIO</v>
      </c>
      <c r="O555" s="2" t="s">
        <v>78</v>
      </c>
    </row>
    <row r="556" customFormat="false" ht="13.8" hidden="false" customHeight="false" outlineLevel="0" collapsed="false">
      <c r="A556" s="8" t="n">
        <v>45135</v>
      </c>
      <c r="B556" s="9" t="n">
        <f aca="false">DAY(A556)</f>
        <v>28</v>
      </c>
      <c r="C556" s="9" t="n">
        <f aca="false">MONTH(A556)</f>
        <v>7</v>
      </c>
      <c r="D556" s="9" t="n">
        <f aca="false">YEAR(A556)</f>
        <v>2023</v>
      </c>
      <c r="E556" s="9" t="n">
        <f aca="false">WEEKDAY(A556,2)</f>
        <v>5</v>
      </c>
      <c r="F556" s="10" t="n">
        <f aca="false">WEEKNUM(A556,2) - WEEKNUM(DATE(YEAR(A556),MONTH(A556),1),2) + 1</f>
        <v>5</v>
      </c>
      <c r="G556" s="10" t="n">
        <v>2</v>
      </c>
      <c r="H556" s="11" t="n">
        <v>405</v>
      </c>
      <c r="I556" s="12" t="s">
        <v>20</v>
      </c>
      <c r="J556" s="22" t="s">
        <v>45</v>
      </c>
      <c r="K556" s="12"/>
      <c r="L556" s="9" t="n">
        <f aca="false">L555+H556</f>
        <v>55781.61</v>
      </c>
      <c r="M556" s="10" t="str">
        <f aca="false">VLOOKUP(J556,RECATALOGANDO!A:C,2,0)</f>
        <v>VENTA DE MEDICAMENTO</v>
      </c>
      <c r="N556" s="12" t="str">
        <f aca="false">VLOOKUP(M556,RECATALOGANDO!B:C,2,0)</f>
        <v>VENTA DE PRODUCTO</v>
      </c>
      <c r="O556" s="2" t="s">
        <v>78</v>
      </c>
    </row>
    <row r="557" customFormat="false" ht="13.8" hidden="false" customHeight="false" outlineLevel="0" collapsed="false">
      <c r="A557" s="8" t="n">
        <v>45137</v>
      </c>
      <c r="B557" s="9" t="n">
        <f aca="false">DAY(A557)</f>
        <v>30</v>
      </c>
      <c r="C557" s="9" t="n">
        <f aca="false">MONTH(A557)</f>
        <v>7</v>
      </c>
      <c r="D557" s="9" t="n">
        <f aca="false">YEAR(A557)</f>
        <v>2023</v>
      </c>
      <c r="E557" s="9" t="n">
        <f aca="false">WEEKDAY(A557,2)</f>
        <v>7</v>
      </c>
      <c r="F557" s="10" t="n">
        <f aca="false">WEEKNUM(A557,2) - WEEKNUM(DATE(YEAR(A557),MONTH(A557),1),2) + 1</f>
        <v>5</v>
      </c>
      <c r="G557" s="10"/>
      <c r="H557" s="11" t="n">
        <v>2441.59</v>
      </c>
      <c r="I557" s="12" t="s">
        <v>15</v>
      </c>
      <c r="J557" s="22" t="s">
        <v>45</v>
      </c>
      <c r="K557" s="12"/>
      <c r="L557" s="9" t="n">
        <f aca="false">L556+H557</f>
        <v>58223.2</v>
      </c>
      <c r="M557" s="10" t="str">
        <f aca="false">VLOOKUP(J557,RECATALOGANDO!A:C,2,0)</f>
        <v>VENTA DE MEDICAMENTO</v>
      </c>
      <c r="N557" s="12" t="str">
        <f aca="false">VLOOKUP(M557,RECATALOGANDO!B:C,2,0)</f>
        <v>VENTA DE PRODUCTO</v>
      </c>
      <c r="O557" s="2" t="s">
        <v>78</v>
      </c>
    </row>
    <row r="558" customFormat="false" ht="13.8" hidden="false" customHeight="false" outlineLevel="0" collapsed="false">
      <c r="A558" s="8" t="n">
        <v>45138</v>
      </c>
      <c r="B558" s="9" t="n">
        <f aca="false">DAY(A558)</f>
        <v>31</v>
      </c>
      <c r="C558" s="9" t="n">
        <f aca="false">MONTH(A558)</f>
        <v>7</v>
      </c>
      <c r="D558" s="9" t="n">
        <f aca="false">YEAR(A558)</f>
        <v>2023</v>
      </c>
      <c r="E558" s="9" t="n">
        <f aca="false">WEEKDAY(A558,2)</f>
        <v>1</v>
      </c>
      <c r="F558" s="10" t="n">
        <f aca="false">WEEKNUM(A558,2) - WEEKNUM(DATE(YEAR(A558),MONTH(A558),1),2) + 1</f>
        <v>6</v>
      </c>
      <c r="G558" s="10"/>
      <c r="H558" s="11" t="n">
        <v>877</v>
      </c>
      <c r="I558" s="12" t="s">
        <v>20</v>
      </c>
      <c r="J558" s="22" t="s">
        <v>45</v>
      </c>
      <c r="K558" s="12"/>
      <c r="L558" s="9" t="n">
        <f aca="false">L557+H558</f>
        <v>59100.2</v>
      </c>
      <c r="M558" s="10" t="str">
        <f aca="false">VLOOKUP(J558,RECATALOGANDO!A:C,2,0)</f>
        <v>VENTA DE MEDICAMENTO</v>
      </c>
      <c r="N558" s="12" t="str">
        <f aca="false">VLOOKUP(M558,RECATALOGANDO!B:C,2,0)</f>
        <v>VENTA DE PRODUCTO</v>
      </c>
      <c r="O558" s="2" t="s">
        <v>78</v>
      </c>
    </row>
    <row r="559" customFormat="false" ht="13.8" hidden="false" customHeight="false" outlineLevel="0" collapsed="false">
      <c r="A559" s="8" t="n">
        <v>45138</v>
      </c>
      <c r="B559" s="9" t="n">
        <f aca="false">DAY(A559)</f>
        <v>31</v>
      </c>
      <c r="C559" s="9" t="n">
        <f aca="false">MONTH(A559)</f>
        <v>7</v>
      </c>
      <c r="D559" s="9" t="n">
        <f aca="false">YEAR(A559)</f>
        <v>2023</v>
      </c>
      <c r="E559" s="9" t="n">
        <f aca="false">WEEKDAY(A559,2)</f>
        <v>1</v>
      </c>
      <c r="F559" s="10" t="n">
        <f aca="false">WEEKNUM(A559,2) - WEEKNUM(DATE(YEAR(A559),MONTH(A559),1),2) + 1</f>
        <v>6</v>
      </c>
      <c r="G559" s="10"/>
      <c r="H559" s="11" t="n">
        <v>370</v>
      </c>
      <c r="I559" s="12" t="s">
        <v>20</v>
      </c>
      <c r="J559" s="22" t="s">
        <v>53</v>
      </c>
      <c r="K559" s="12"/>
      <c r="L559" s="9" t="n">
        <f aca="false">L558+H559</f>
        <v>59470.2</v>
      </c>
      <c r="M559" s="10" t="str">
        <f aca="false">VLOOKUP(J559,RECATALOGANDO!A:C,2,0)</f>
        <v>SERVICIO DE GROOMING</v>
      </c>
      <c r="N559" s="12" t="str">
        <f aca="false">VLOOKUP(M559,RECATALOGANDO!B:C,2,0)</f>
        <v>VENTA DE SERVICIO</v>
      </c>
      <c r="O559" s="2" t="s">
        <v>78</v>
      </c>
    </row>
    <row r="560" customFormat="false" ht="13.8" hidden="false" customHeight="false" outlineLevel="0" collapsed="false">
      <c r="A560" s="8" t="n">
        <v>45170</v>
      </c>
      <c r="B560" s="9" t="n">
        <f aca="false">DAY(A560)</f>
        <v>1</v>
      </c>
      <c r="C560" s="9" t="n">
        <f aca="false">MONTH(A560)</f>
        <v>9</v>
      </c>
      <c r="D560" s="9" t="n">
        <f aca="false">YEAR(A560)</f>
        <v>2023</v>
      </c>
      <c r="E560" s="9" t="n">
        <f aca="false">WEEKDAY(A560,2)</f>
        <v>5</v>
      </c>
      <c r="F560" s="10" t="n">
        <f aca="false">WEEKNUM(A560,2) - WEEKNUM(DATE(YEAR(A560),MONTH(A560),1),2) + 1</f>
        <v>1</v>
      </c>
      <c r="G560" s="10"/>
      <c r="H560" s="11" t="n">
        <v>350</v>
      </c>
      <c r="I560" s="12" t="s">
        <v>20</v>
      </c>
      <c r="J560" s="22" t="s">
        <v>53</v>
      </c>
      <c r="K560" s="12"/>
      <c r="L560" s="9" t="n">
        <f aca="false">H560</f>
        <v>350</v>
      </c>
      <c r="M560" s="10" t="str">
        <f aca="false">VLOOKUP(J560,RECATALOGANDO!A:C,2,0)</f>
        <v>SERVICIO DE GROOMING</v>
      </c>
      <c r="N560" s="12" t="str">
        <f aca="false">VLOOKUP(M560,RECATALOGANDO!B:C,2,0)</f>
        <v>VENTA DE SERVICIO</v>
      </c>
      <c r="O560" s="2" t="s">
        <v>78</v>
      </c>
    </row>
    <row r="561" customFormat="false" ht="13.8" hidden="false" customHeight="false" outlineLevel="0" collapsed="false">
      <c r="A561" s="8" t="n">
        <v>45171</v>
      </c>
      <c r="B561" s="9" t="n">
        <f aca="false">DAY(A561)</f>
        <v>2</v>
      </c>
      <c r="C561" s="9" t="n">
        <f aca="false">MONTH(A561)</f>
        <v>9</v>
      </c>
      <c r="D561" s="9" t="n">
        <f aca="false">YEAR(A561)</f>
        <v>2023</v>
      </c>
      <c r="E561" s="9" t="n">
        <f aca="false">WEEKDAY(A561,2)</f>
        <v>6</v>
      </c>
      <c r="F561" s="10" t="n">
        <f aca="false">WEEKNUM(A561,2) - WEEKNUM(DATE(YEAR(A561),MONTH(A561),1),2) + 1</f>
        <v>1</v>
      </c>
      <c r="G561" s="10"/>
      <c r="H561" s="11" t="n">
        <v>3500</v>
      </c>
      <c r="I561" s="12" t="s">
        <v>15</v>
      </c>
      <c r="J561" s="22" t="s">
        <v>44</v>
      </c>
      <c r="K561" s="12"/>
      <c r="L561" s="9" t="n">
        <f aca="false">L560+H561</f>
        <v>3850</v>
      </c>
      <c r="M561" s="10" t="str">
        <f aca="false">VLOOKUP(J561,RECATALOGANDO!A:C,2,0)</f>
        <v>HONORARIOS MEDICOS</v>
      </c>
      <c r="N561" s="12" t="str">
        <f aca="false">VLOOKUP(M561,RECATALOGANDO!B:C,2,0)</f>
        <v>VENTA DE SERVICIO</v>
      </c>
      <c r="O561" s="2" t="s">
        <v>78</v>
      </c>
    </row>
    <row r="562" customFormat="false" ht="13.8" hidden="false" customHeight="false" outlineLevel="0" collapsed="false">
      <c r="A562" s="8" t="n">
        <v>45172</v>
      </c>
      <c r="B562" s="9" t="n">
        <f aca="false">DAY(A562)</f>
        <v>3</v>
      </c>
      <c r="C562" s="9" t="n">
        <f aca="false">MONTH(A562)</f>
        <v>9</v>
      </c>
      <c r="D562" s="9" t="n">
        <f aca="false">YEAR(A562)</f>
        <v>2023</v>
      </c>
      <c r="E562" s="9" t="n">
        <f aca="false">WEEKDAY(A562,2)</f>
        <v>7</v>
      </c>
      <c r="F562" s="10" t="n">
        <f aca="false">WEEKNUM(A562,2) - WEEKNUM(DATE(YEAR(A562),MONTH(A562),1),2) + 1</f>
        <v>1</v>
      </c>
      <c r="G562" s="10"/>
      <c r="H562" s="11" t="n">
        <v>3089</v>
      </c>
      <c r="I562" s="12" t="s">
        <v>15</v>
      </c>
      <c r="J562" s="22" t="s">
        <v>41</v>
      </c>
      <c r="K562" s="12"/>
      <c r="L562" s="9" t="n">
        <f aca="false">L561+H562</f>
        <v>6939</v>
      </c>
      <c r="M562" s="10" t="str">
        <f aca="false">VLOOKUP(J562,RECATALOGANDO!A:C,2,0)</f>
        <v>HONORARIOS QUIRURGICOS</v>
      </c>
      <c r="N562" s="12" t="str">
        <f aca="false">VLOOKUP(M562,RECATALOGANDO!B:C,2,0)</f>
        <v>VENTA DE SERVICIO</v>
      </c>
      <c r="O562" s="2" t="s">
        <v>78</v>
      </c>
    </row>
    <row r="563" customFormat="false" ht="13.8" hidden="false" customHeight="false" outlineLevel="0" collapsed="false">
      <c r="A563" s="8" t="n">
        <v>45173</v>
      </c>
      <c r="B563" s="9" t="n">
        <f aca="false">DAY(A563)</f>
        <v>4</v>
      </c>
      <c r="C563" s="9" t="n">
        <f aca="false">MONTH(A563)</f>
        <v>9</v>
      </c>
      <c r="D563" s="9" t="n">
        <f aca="false">YEAR(A563)</f>
        <v>2023</v>
      </c>
      <c r="E563" s="9" t="n">
        <f aca="false">WEEKDAY(A563,2)</f>
        <v>1</v>
      </c>
      <c r="F563" s="10" t="n">
        <f aca="false">WEEKNUM(A563,2) - WEEKNUM(DATE(YEAR(A563),MONTH(A563),1),2) + 1</f>
        <v>2</v>
      </c>
      <c r="G563" s="10"/>
      <c r="H563" s="11" t="n">
        <v>850</v>
      </c>
      <c r="I563" s="12" t="s">
        <v>20</v>
      </c>
      <c r="J563" s="22" t="s">
        <v>45</v>
      </c>
      <c r="K563" s="12"/>
      <c r="L563" s="9" t="n">
        <f aca="false">L562+H563</f>
        <v>7789</v>
      </c>
      <c r="M563" s="10" t="str">
        <f aca="false">VLOOKUP(J563,RECATALOGANDO!A:C,2,0)</f>
        <v>VENTA DE MEDICAMENTO</v>
      </c>
      <c r="N563" s="12" t="str">
        <f aca="false">VLOOKUP(M563,RECATALOGANDO!B:C,2,0)</f>
        <v>VENTA DE PRODUCTO</v>
      </c>
      <c r="O563" s="2" t="s">
        <v>78</v>
      </c>
    </row>
    <row r="564" customFormat="false" ht="13.8" hidden="false" customHeight="false" outlineLevel="0" collapsed="false">
      <c r="A564" s="8" t="n">
        <v>45173</v>
      </c>
      <c r="B564" s="9" t="n">
        <f aca="false">DAY(A564)</f>
        <v>4</v>
      </c>
      <c r="C564" s="9" t="n">
        <f aca="false">MONTH(A564)</f>
        <v>9</v>
      </c>
      <c r="D564" s="9" t="n">
        <f aca="false">YEAR(A564)</f>
        <v>2023</v>
      </c>
      <c r="E564" s="9" t="n">
        <f aca="false">WEEKDAY(A564,2)</f>
        <v>1</v>
      </c>
      <c r="F564" s="10" t="n">
        <f aca="false">WEEKNUM(A564,2) - WEEKNUM(DATE(YEAR(A564),MONTH(A564),1),2) + 1</f>
        <v>2</v>
      </c>
      <c r="G564" s="10"/>
      <c r="H564" s="11" t="n">
        <v>240</v>
      </c>
      <c r="I564" s="12" t="s">
        <v>20</v>
      </c>
      <c r="J564" s="12" t="s">
        <v>59</v>
      </c>
      <c r="K564" s="12"/>
      <c r="L564" s="9" t="n">
        <f aca="false">L563+H564</f>
        <v>8029</v>
      </c>
      <c r="M564" s="10" t="str">
        <f aca="false">VLOOKUP(J564,RECATALOGANDO!A:C,2,0)</f>
        <v>SERVICIO DE PENSION</v>
      </c>
      <c r="N564" s="12" t="str">
        <f aca="false">VLOOKUP(M564,RECATALOGANDO!B:C,2,0)</f>
        <v>VENTA DE SERVICIO</v>
      </c>
      <c r="O564" s="2" t="s">
        <v>78</v>
      </c>
    </row>
    <row r="565" customFormat="false" ht="13.8" hidden="false" customHeight="false" outlineLevel="0" collapsed="false">
      <c r="A565" s="8" t="n">
        <v>45173</v>
      </c>
      <c r="B565" s="9" t="n">
        <f aca="false">DAY(A565)</f>
        <v>4</v>
      </c>
      <c r="C565" s="9" t="n">
        <f aca="false">MONTH(A565)</f>
        <v>9</v>
      </c>
      <c r="D565" s="9" t="n">
        <f aca="false">YEAR(A565)</f>
        <v>2023</v>
      </c>
      <c r="E565" s="9" t="n">
        <f aca="false">WEEKDAY(A565,2)</f>
        <v>1</v>
      </c>
      <c r="F565" s="10" t="n">
        <f aca="false">WEEKNUM(A565,2) - WEEKNUM(DATE(YEAR(A565),MONTH(A565),1),2) + 1</f>
        <v>2</v>
      </c>
      <c r="G565" s="10"/>
      <c r="H565" s="11" t="n">
        <v>315</v>
      </c>
      <c r="I565" s="12" t="s">
        <v>20</v>
      </c>
      <c r="J565" s="12" t="s">
        <v>53</v>
      </c>
      <c r="K565" s="12"/>
      <c r="L565" s="9" t="n">
        <f aca="false">L564+H565</f>
        <v>8344</v>
      </c>
      <c r="M565" s="10" t="str">
        <f aca="false">VLOOKUP(J565,RECATALOGANDO!A:C,2,0)</f>
        <v>SERVICIO DE GROOMING</v>
      </c>
      <c r="N565" s="12" t="str">
        <f aca="false">VLOOKUP(M565,RECATALOGANDO!B:C,2,0)</f>
        <v>VENTA DE SERVICIO</v>
      </c>
      <c r="O565" s="2" t="s">
        <v>78</v>
      </c>
    </row>
    <row r="566" customFormat="false" ht="13.8" hidden="false" customHeight="false" outlineLevel="0" collapsed="false">
      <c r="A566" s="8" t="n">
        <v>45173</v>
      </c>
      <c r="B566" s="9" t="n">
        <f aca="false">DAY(A566)</f>
        <v>4</v>
      </c>
      <c r="C566" s="9" t="n">
        <f aca="false">MONTH(A566)</f>
        <v>9</v>
      </c>
      <c r="D566" s="9" t="n">
        <f aca="false">YEAR(A566)</f>
        <v>2023</v>
      </c>
      <c r="E566" s="9" t="n">
        <f aca="false">WEEKDAY(A566,2)</f>
        <v>1</v>
      </c>
      <c r="F566" s="10" t="n">
        <f aca="false">WEEKNUM(A566,2) - WEEKNUM(DATE(YEAR(A566),MONTH(A566),1),2) + 1</f>
        <v>2</v>
      </c>
      <c r="G566" s="10"/>
      <c r="H566" s="11" t="n">
        <v>515</v>
      </c>
      <c r="I566" s="12" t="s">
        <v>20</v>
      </c>
      <c r="J566" s="12" t="s">
        <v>53</v>
      </c>
      <c r="K566" s="12"/>
      <c r="L566" s="9" t="n">
        <f aca="false">L565+H566</f>
        <v>8859</v>
      </c>
      <c r="M566" s="10" t="str">
        <f aca="false">VLOOKUP(J566,RECATALOGANDO!A:C,2,0)</f>
        <v>SERVICIO DE GROOMING</v>
      </c>
      <c r="N566" s="12" t="str">
        <f aca="false">VLOOKUP(M566,RECATALOGANDO!B:C,2,0)</f>
        <v>VENTA DE SERVICIO</v>
      </c>
      <c r="O566" s="2" t="s">
        <v>78</v>
      </c>
    </row>
    <row r="567" customFormat="false" ht="13.8" hidden="false" customHeight="false" outlineLevel="0" collapsed="false">
      <c r="A567" s="8" t="n">
        <v>45174</v>
      </c>
      <c r="B567" s="9" t="n">
        <f aca="false">DAY(A567)</f>
        <v>5</v>
      </c>
      <c r="C567" s="9" t="n">
        <f aca="false">MONTH(A567)</f>
        <v>9</v>
      </c>
      <c r="D567" s="9" t="n">
        <f aca="false">YEAR(A567)</f>
        <v>2023</v>
      </c>
      <c r="E567" s="9" t="n">
        <f aca="false">WEEKDAY(A567,2)</f>
        <v>2</v>
      </c>
      <c r="F567" s="10" t="n">
        <f aca="false">WEEKNUM(A567,2) - WEEKNUM(DATE(YEAR(A567),MONTH(A567),1),2) + 1</f>
        <v>2</v>
      </c>
      <c r="G567" s="10"/>
      <c r="H567" s="11" t="n">
        <v>1119</v>
      </c>
      <c r="I567" s="12" t="s">
        <v>20</v>
      </c>
      <c r="J567" s="22" t="s">
        <v>51</v>
      </c>
      <c r="K567" s="12"/>
      <c r="L567" s="9" t="n">
        <f aca="false">L566+H567</f>
        <v>9978</v>
      </c>
      <c r="M567" s="10" t="str">
        <f aca="false">VLOOKUP(J567,RECATALOGANDO!A:C,2,0)</f>
        <v>VENTA DE ALIMENTO</v>
      </c>
      <c r="N567" s="12" t="str">
        <f aca="false">VLOOKUP(M567,RECATALOGANDO!B:C,2,0)</f>
        <v>VENTA DE PRODUCTO</v>
      </c>
      <c r="O567" s="2" t="s">
        <v>78</v>
      </c>
    </row>
    <row r="568" customFormat="false" ht="13.8" hidden="false" customHeight="false" outlineLevel="0" collapsed="false">
      <c r="A568" s="8" t="n">
        <v>45174</v>
      </c>
      <c r="B568" s="9" t="n">
        <f aca="false">DAY(A568)</f>
        <v>5</v>
      </c>
      <c r="C568" s="9" t="n">
        <f aca="false">MONTH(A568)</f>
        <v>9</v>
      </c>
      <c r="D568" s="9" t="n">
        <f aca="false">YEAR(A568)</f>
        <v>2023</v>
      </c>
      <c r="E568" s="9" t="n">
        <f aca="false">WEEKDAY(A568,2)</f>
        <v>2</v>
      </c>
      <c r="F568" s="10" t="n">
        <f aca="false">WEEKNUM(A568,2) - WEEKNUM(DATE(YEAR(A568),MONTH(A568),1),2) + 1</f>
        <v>2</v>
      </c>
      <c r="G568" s="10"/>
      <c r="H568" s="11" t="n">
        <v>1525</v>
      </c>
      <c r="I568" s="12" t="s">
        <v>20</v>
      </c>
      <c r="J568" s="22" t="s">
        <v>45</v>
      </c>
      <c r="K568" s="12"/>
      <c r="L568" s="9" t="n">
        <f aca="false">L567+H568</f>
        <v>11503</v>
      </c>
      <c r="M568" s="10" t="str">
        <f aca="false">VLOOKUP(J568,RECATALOGANDO!A:C,2,0)</f>
        <v>VENTA DE MEDICAMENTO</v>
      </c>
      <c r="N568" s="12" t="str">
        <f aca="false">VLOOKUP(M568,RECATALOGANDO!B:C,2,0)</f>
        <v>VENTA DE PRODUCTO</v>
      </c>
      <c r="O568" s="2" t="s">
        <v>78</v>
      </c>
    </row>
    <row r="569" customFormat="false" ht="13.8" hidden="false" customHeight="false" outlineLevel="0" collapsed="false">
      <c r="A569" s="8" t="n">
        <v>45174</v>
      </c>
      <c r="B569" s="9" t="n">
        <f aca="false">DAY(A569)</f>
        <v>5</v>
      </c>
      <c r="C569" s="9" t="n">
        <f aca="false">MONTH(A569)</f>
        <v>9</v>
      </c>
      <c r="D569" s="9" t="n">
        <f aca="false">YEAR(A569)</f>
        <v>2023</v>
      </c>
      <c r="E569" s="9" t="n">
        <f aca="false">WEEKDAY(A569,2)</f>
        <v>2</v>
      </c>
      <c r="F569" s="10" t="n">
        <f aca="false">WEEKNUM(A569,2) - WEEKNUM(DATE(YEAR(A569),MONTH(A569),1),2) + 1</f>
        <v>2</v>
      </c>
      <c r="G569" s="10"/>
      <c r="H569" s="11" t="n">
        <v>300</v>
      </c>
      <c r="I569" s="12" t="s">
        <v>20</v>
      </c>
      <c r="J569" s="22" t="s">
        <v>44</v>
      </c>
      <c r="K569" s="12"/>
      <c r="L569" s="9" t="n">
        <f aca="false">L568+H569</f>
        <v>11803</v>
      </c>
      <c r="M569" s="10" t="str">
        <f aca="false">VLOOKUP(J569,RECATALOGANDO!A:C,2,0)</f>
        <v>HONORARIOS MEDICOS</v>
      </c>
      <c r="N569" s="12" t="str">
        <f aca="false">VLOOKUP(M569,RECATALOGANDO!B:C,2,0)</f>
        <v>VENTA DE SERVICIO</v>
      </c>
      <c r="O569" s="2" t="s">
        <v>78</v>
      </c>
    </row>
    <row r="570" customFormat="false" ht="13.8" hidden="false" customHeight="false" outlineLevel="0" collapsed="false">
      <c r="A570" s="8" t="n">
        <v>45175</v>
      </c>
      <c r="B570" s="9" t="n">
        <f aca="false">DAY(A570)</f>
        <v>6</v>
      </c>
      <c r="C570" s="9" t="n">
        <f aca="false">MONTH(A570)</f>
        <v>9</v>
      </c>
      <c r="D570" s="9" t="n">
        <f aca="false">YEAR(A570)</f>
        <v>2023</v>
      </c>
      <c r="E570" s="9" t="n">
        <f aca="false">WEEKDAY(A570,2)</f>
        <v>3</v>
      </c>
      <c r="F570" s="10" t="n">
        <f aca="false">WEEKNUM(A570,2) - WEEKNUM(DATE(YEAR(A570),MONTH(A570),1),2) + 1</f>
        <v>2</v>
      </c>
      <c r="G570" s="10"/>
      <c r="H570" s="11" t="n">
        <v>370</v>
      </c>
      <c r="I570" s="12" t="s">
        <v>20</v>
      </c>
      <c r="J570" s="12" t="s">
        <v>53</v>
      </c>
      <c r="K570" s="12"/>
      <c r="L570" s="9" t="n">
        <f aca="false">L569+H570</f>
        <v>12173</v>
      </c>
      <c r="M570" s="10" t="str">
        <f aca="false">VLOOKUP(J570,RECATALOGANDO!A:C,2,0)</f>
        <v>SERVICIO DE GROOMING</v>
      </c>
      <c r="N570" s="12" t="str">
        <f aca="false">VLOOKUP(M570,RECATALOGANDO!B:C,2,0)</f>
        <v>VENTA DE SERVICIO</v>
      </c>
      <c r="O570" s="2" t="s">
        <v>78</v>
      </c>
    </row>
    <row r="571" customFormat="false" ht="13.8" hidden="false" customHeight="false" outlineLevel="0" collapsed="false">
      <c r="A571" s="8" t="n">
        <v>45175</v>
      </c>
      <c r="B571" s="9" t="n">
        <f aca="false">DAY(A571)</f>
        <v>6</v>
      </c>
      <c r="C571" s="9" t="n">
        <f aca="false">MONTH(A571)</f>
        <v>9</v>
      </c>
      <c r="D571" s="9" t="n">
        <f aca="false">YEAR(A571)</f>
        <v>2023</v>
      </c>
      <c r="E571" s="9" t="n">
        <f aca="false">WEEKDAY(A571,2)</f>
        <v>3</v>
      </c>
      <c r="F571" s="10" t="n">
        <f aca="false">WEEKNUM(A571,2) - WEEKNUM(DATE(YEAR(A571),MONTH(A571),1),2) + 1</f>
        <v>2</v>
      </c>
      <c r="G571" s="10"/>
      <c r="H571" s="11" t="n">
        <v>1389.45</v>
      </c>
      <c r="I571" s="12" t="s">
        <v>15</v>
      </c>
      <c r="J571" s="22" t="s">
        <v>53</v>
      </c>
      <c r="K571" s="12"/>
      <c r="L571" s="9" t="n">
        <f aca="false">L570+H571</f>
        <v>13562.45</v>
      </c>
      <c r="M571" s="10" t="str">
        <f aca="false">VLOOKUP(J571,RECATALOGANDO!A:C,2,0)</f>
        <v>SERVICIO DE GROOMING</v>
      </c>
      <c r="N571" s="12" t="str">
        <f aca="false">VLOOKUP(M571,RECATALOGANDO!B:C,2,0)</f>
        <v>VENTA DE SERVICIO</v>
      </c>
      <c r="O571" s="2" t="s">
        <v>78</v>
      </c>
    </row>
    <row r="572" customFormat="false" ht="13.8" hidden="false" customHeight="false" outlineLevel="0" collapsed="false">
      <c r="A572" s="8" t="n">
        <v>45176</v>
      </c>
      <c r="B572" s="9" t="n">
        <f aca="false">DAY(A572)</f>
        <v>7</v>
      </c>
      <c r="C572" s="9" t="n">
        <f aca="false">MONTH(A572)</f>
        <v>9</v>
      </c>
      <c r="D572" s="9" t="n">
        <f aca="false">YEAR(A572)</f>
        <v>2023</v>
      </c>
      <c r="E572" s="9" t="n">
        <f aca="false">WEEKDAY(A572,2)</f>
        <v>4</v>
      </c>
      <c r="F572" s="10" t="n">
        <f aca="false">WEEKNUM(A572,2) - WEEKNUM(DATE(YEAR(A572),MONTH(A572),1),2) + 1</f>
        <v>2</v>
      </c>
      <c r="G572" s="10"/>
      <c r="H572" s="11" t="n">
        <v>559.34</v>
      </c>
      <c r="I572" s="12" t="s">
        <v>15</v>
      </c>
      <c r="J572" s="22" t="s">
        <v>51</v>
      </c>
      <c r="K572" s="12"/>
      <c r="L572" s="9" t="n">
        <f aca="false">L571+H572</f>
        <v>14121.79</v>
      </c>
      <c r="M572" s="10" t="str">
        <f aca="false">VLOOKUP(J572,RECATALOGANDO!A:C,2,0)</f>
        <v>VENTA DE ALIMENTO</v>
      </c>
      <c r="N572" s="12" t="str">
        <f aca="false">VLOOKUP(M572,RECATALOGANDO!B:C,2,0)</f>
        <v>VENTA DE PRODUCTO</v>
      </c>
      <c r="O572" s="2" t="s">
        <v>78</v>
      </c>
    </row>
    <row r="573" customFormat="false" ht="13.8" hidden="false" customHeight="false" outlineLevel="0" collapsed="false">
      <c r="A573" s="8" t="n">
        <v>45176</v>
      </c>
      <c r="B573" s="9" t="n">
        <f aca="false">DAY(A573)</f>
        <v>7</v>
      </c>
      <c r="C573" s="9" t="n">
        <f aca="false">MONTH(A573)</f>
        <v>9</v>
      </c>
      <c r="D573" s="9" t="n">
        <f aca="false">YEAR(A573)</f>
        <v>2023</v>
      </c>
      <c r="E573" s="9" t="n">
        <f aca="false">WEEKDAY(A573,2)</f>
        <v>4</v>
      </c>
      <c r="F573" s="10" t="n">
        <f aca="false">WEEKNUM(A573,2) - WEEKNUM(DATE(YEAR(A573),MONTH(A573),1),2) + 1</f>
        <v>2</v>
      </c>
      <c r="G573" s="10"/>
      <c r="H573" s="11" t="n">
        <v>160</v>
      </c>
      <c r="I573" s="12" t="s">
        <v>20</v>
      </c>
      <c r="J573" s="12" t="s">
        <v>53</v>
      </c>
      <c r="K573" s="12"/>
      <c r="L573" s="9" t="n">
        <f aca="false">L572+H573</f>
        <v>14281.79</v>
      </c>
      <c r="M573" s="10" t="str">
        <f aca="false">VLOOKUP(J573,RECATALOGANDO!A:C,2,0)</f>
        <v>SERVICIO DE GROOMING</v>
      </c>
      <c r="N573" s="12" t="str">
        <f aca="false">VLOOKUP(M573,RECATALOGANDO!B:C,2,0)</f>
        <v>VENTA DE SERVICIO</v>
      </c>
      <c r="O573" s="2" t="s">
        <v>78</v>
      </c>
    </row>
    <row r="574" customFormat="false" ht="13.8" hidden="false" customHeight="false" outlineLevel="0" collapsed="false">
      <c r="A574" s="8" t="n">
        <v>45176</v>
      </c>
      <c r="B574" s="9" t="n">
        <f aca="false">DAY(A574)</f>
        <v>7</v>
      </c>
      <c r="C574" s="9" t="n">
        <f aca="false">MONTH(A574)</f>
        <v>9</v>
      </c>
      <c r="D574" s="9" t="n">
        <f aca="false">YEAR(A574)</f>
        <v>2023</v>
      </c>
      <c r="E574" s="9" t="n">
        <f aca="false">WEEKDAY(A574,2)</f>
        <v>4</v>
      </c>
      <c r="F574" s="10" t="n">
        <f aca="false">WEEKNUM(A574,2) - WEEKNUM(DATE(YEAR(A574),MONTH(A574),1),2) + 1</f>
        <v>2</v>
      </c>
      <c r="G574" s="10"/>
      <c r="H574" s="11" t="n">
        <v>250</v>
      </c>
      <c r="I574" s="12" t="s">
        <v>20</v>
      </c>
      <c r="J574" s="12" t="s">
        <v>53</v>
      </c>
      <c r="K574" s="12"/>
      <c r="L574" s="9" t="n">
        <f aca="false">L573+H574</f>
        <v>14531.79</v>
      </c>
      <c r="M574" s="10" t="str">
        <f aca="false">VLOOKUP(J574,RECATALOGANDO!A:C,2,0)</f>
        <v>SERVICIO DE GROOMING</v>
      </c>
      <c r="N574" s="12" t="str">
        <f aca="false">VLOOKUP(M574,RECATALOGANDO!B:C,2,0)</f>
        <v>VENTA DE SERVICIO</v>
      </c>
      <c r="O574" s="2" t="s">
        <v>78</v>
      </c>
    </row>
    <row r="575" customFormat="false" ht="13.8" hidden="false" customHeight="false" outlineLevel="0" collapsed="false">
      <c r="A575" s="8" t="n">
        <v>45177</v>
      </c>
      <c r="B575" s="9" t="n">
        <f aca="false">DAY(A575)</f>
        <v>8</v>
      </c>
      <c r="C575" s="9" t="n">
        <f aca="false">MONTH(A575)</f>
        <v>9</v>
      </c>
      <c r="D575" s="9" t="n">
        <f aca="false">YEAR(A575)</f>
        <v>2023</v>
      </c>
      <c r="E575" s="9" t="n">
        <f aca="false">WEEKDAY(A575,2)</f>
        <v>5</v>
      </c>
      <c r="F575" s="10" t="n">
        <f aca="false">WEEKNUM(A575,2) - WEEKNUM(DATE(YEAR(A575),MONTH(A575),1),2) + 1</f>
        <v>2</v>
      </c>
      <c r="G575" s="10"/>
      <c r="H575" s="11" t="n">
        <v>280</v>
      </c>
      <c r="I575" s="12" t="s">
        <v>15</v>
      </c>
      <c r="J575" s="22" t="s">
        <v>53</v>
      </c>
      <c r="K575" s="12"/>
      <c r="L575" s="9" t="n">
        <f aca="false">L574+H575</f>
        <v>14811.79</v>
      </c>
      <c r="M575" s="10" t="str">
        <f aca="false">VLOOKUP(J575,RECATALOGANDO!A:C,2,0)</f>
        <v>SERVICIO DE GROOMING</v>
      </c>
      <c r="N575" s="12" t="str">
        <f aca="false">VLOOKUP(M575,RECATALOGANDO!B:C,2,0)</f>
        <v>VENTA DE SERVICIO</v>
      </c>
      <c r="O575" s="2" t="s">
        <v>78</v>
      </c>
    </row>
    <row r="576" customFormat="false" ht="13.8" hidden="false" customHeight="false" outlineLevel="0" collapsed="false">
      <c r="A576" s="8" t="n">
        <v>45180</v>
      </c>
      <c r="B576" s="9" t="n">
        <f aca="false">DAY(A576)</f>
        <v>11</v>
      </c>
      <c r="C576" s="9" t="n">
        <f aca="false">MONTH(A576)</f>
        <v>9</v>
      </c>
      <c r="D576" s="9" t="n">
        <f aca="false">YEAR(A576)</f>
        <v>2023</v>
      </c>
      <c r="E576" s="9" t="n">
        <f aca="false">WEEKDAY(A576,2)</f>
        <v>1</v>
      </c>
      <c r="F576" s="10" t="n">
        <f aca="false">WEEKNUM(A576,2) - WEEKNUM(DATE(YEAR(A576),MONTH(A576),1),2) + 1</f>
        <v>3</v>
      </c>
      <c r="G576" s="10"/>
      <c r="H576" s="11" t="n">
        <v>290</v>
      </c>
      <c r="I576" s="12" t="s">
        <v>20</v>
      </c>
      <c r="J576" s="12" t="s">
        <v>45</v>
      </c>
      <c r="K576" s="12"/>
      <c r="L576" s="9" t="n">
        <f aca="false">L575+H576</f>
        <v>15101.79</v>
      </c>
      <c r="M576" s="10" t="str">
        <f aca="false">VLOOKUP(J576,RECATALOGANDO!A:C,2,0)</f>
        <v>VENTA DE MEDICAMENTO</v>
      </c>
      <c r="N576" s="12" t="str">
        <f aca="false">VLOOKUP(M576,RECATALOGANDO!B:C,2,0)</f>
        <v>VENTA DE PRODUCTO</v>
      </c>
      <c r="O576" s="2" t="s">
        <v>78</v>
      </c>
    </row>
    <row r="577" customFormat="false" ht="13.8" hidden="false" customHeight="false" outlineLevel="0" collapsed="false">
      <c r="A577" s="8" t="n">
        <v>45180</v>
      </c>
      <c r="B577" s="9" t="n">
        <f aca="false">DAY(A577)</f>
        <v>11</v>
      </c>
      <c r="C577" s="9" t="n">
        <f aca="false">MONTH(A577)</f>
        <v>9</v>
      </c>
      <c r="D577" s="9" t="n">
        <f aca="false">YEAR(A577)</f>
        <v>2023</v>
      </c>
      <c r="E577" s="9" t="n">
        <f aca="false">WEEKDAY(A577,2)</f>
        <v>1</v>
      </c>
      <c r="F577" s="10" t="n">
        <f aca="false">WEEKNUM(A577,2) - WEEKNUM(DATE(YEAR(A577),MONTH(A577),1),2) + 1</f>
        <v>3</v>
      </c>
      <c r="G577" s="10"/>
      <c r="H577" s="11" t="n">
        <v>645</v>
      </c>
      <c r="I577" s="12" t="s">
        <v>20</v>
      </c>
      <c r="J577" s="12" t="s">
        <v>45</v>
      </c>
      <c r="K577" s="12"/>
      <c r="L577" s="9" t="n">
        <f aca="false">L576+H577</f>
        <v>15746.79</v>
      </c>
      <c r="M577" s="10" t="str">
        <f aca="false">VLOOKUP(J577,RECATALOGANDO!A:C,2,0)</f>
        <v>VENTA DE MEDICAMENTO</v>
      </c>
      <c r="N577" s="12" t="str">
        <f aca="false">VLOOKUP(M577,RECATALOGANDO!B:C,2,0)</f>
        <v>VENTA DE PRODUCTO</v>
      </c>
      <c r="O577" s="2" t="s">
        <v>78</v>
      </c>
    </row>
    <row r="578" customFormat="false" ht="13.8" hidden="false" customHeight="false" outlineLevel="0" collapsed="false">
      <c r="A578" s="8" t="n">
        <v>45180</v>
      </c>
      <c r="B578" s="9" t="n">
        <f aca="false">DAY(A578)</f>
        <v>11</v>
      </c>
      <c r="C578" s="9" t="n">
        <f aca="false">MONTH(A578)</f>
        <v>9</v>
      </c>
      <c r="D578" s="9" t="n">
        <f aca="false">YEAR(A578)</f>
        <v>2023</v>
      </c>
      <c r="E578" s="9" t="n">
        <f aca="false">WEEKDAY(A578,2)</f>
        <v>1</v>
      </c>
      <c r="F578" s="10" t="n">
        <f aca="false">WEEKNUM(A578,2) - WEEKNUM(DATE(YEAR(A578),MONTH(A578),1),2) + 1</f>
        <v>3</v>
      </c>
      <c r="G578" s="10"/>
      <c r="H578" s="11" t="n">
        <v>1428.73</v>
      </c>
      <c r="I578" s="12" t="s">
        <v>15</v>
      </c>
      <c r="J578" s="22" t="s">
        <v>51</v>
      </c>
      <c r="K578" s="12"/>
      <c r="L578" s="9" t="n">
        <f aca="false">L577+H578</f>
        <v>17175.52</v>
      </c>
      <c r="M578" s="10" t="str">
        <f aca="false">VLOOKUP(J578,RECATALOGANDO!A:C,2,0)</f>
        <v>VENTA DE ALIMENTO</v>
      </c>
      <c r="N578" s="12" t="str">
        <f aca="false">VLOOKUP(M578,RECATALOGANDO!B:C,2,0)</f>
        <v>VENTA DE PRODUCTO</v>
      </c>
      <c r="O578" s="2" t="s">
        <v>78</v>
      </c>
    </row>
    <row r="579" customFormat="false" ht="13.8" hidden="false" customHeight="false" outlineLevel="0" collapsed="false">
      <c r="A579" s="8" t="n">
        <v>45180</v>
      </c>
      <c r="B579" s="9" t="n">
        <f aca="false">DAY(A579)</f>
        <v>11</v>
      </c>
      <c r="C579" s="9" t="n">
        <f aca="false">MONTH(A579)</f>
        <v>9</v>
      </c>
      <c r="D579" s="9" t="n">
        <f aca="false">YEAR(A579)</f>
        <v>2023</v>
      </c>
      <c r="E579" s="9" t="n">
        <f aca="false">WEEKDAY(A579,2)</f>
        <v>1</v>
      </c>
      <c r="F579" s="10" t="n">
        <f aca="false">WEEKNUM(A579,2) - WEEKNUM(DATE(YEAR(A579),MONTH(A579),1),2) + 1</f>
        <v>3</v>
      </c>
      <c r="G579" s="10"/>
      <c r="H579" s="11" t="n">
        <v>1240</v>
      </c>
      <c r="I579" s="12" t="s">
        <v>20</v>
      </c>
      <c r="J579" s="12" t="s">
        <v>44</v>
      </c>
      <c r="K579" s="12"/>
      <c r="L579" s="9" t="n">
        <f aca="false">L578+H579</f>
        <v>18415.52</v>
      </c>
      <c r="M579" s="10" t="str">
        <f aca="false">VLOOKUP(J579,RECATALOGANDO!A:C,2,0)</f>
        <v>HONORARIOS MEDICOS</v>
      </c>
      <c r="N579" s="12" t="str">
        <f aca="false">VLOOKUP(M579,RECATALOGANDO!B:C,2,0)</f>
        <v>VENTA DE SERVICIO</v>
      </c>
      <c r="O579" s="2" t="s">
        <v>78</v>
      </c>
    </row>
    <row r="580" customFormat="false" ht="13.8" hidden="false" customHeight="false" outlineLevel="0" collapsed="false">
      <c r="A580" s="8" t="n">
        <v>45180</v>
      </c>
      <c r="B580" s="9" t="n">
        <f aca="false">DAY(A580)</f>
        <v>11</v>
      </c>
      <c r="C580" s="9" t="n">
        <f aca="false">MONTH(A580)</f>
        <v>9</v>
      </c>
      <c r="D580" s="9" t="n">
        <f aca="false">YEAR(A580)</f>
        <v>2023</v>
      </c>
      <c r="E580" s="9" t="n">
        <f aca="false">WEEKDAY(A580,2)</f>
        <v>1</v>
      </c>
      <c r="F580" s="10" t="n">
        <f aca="false">WEEKNUM(A580,2) - WEEKNUM(DATE(YEAR(A580),MONTH(A580),1),2) + 1</f>
        <v>3</v>
      </c>
      <c r="G580" s="10"/>
      <c r="H580" s="11" t="n">
        <v>4373.41</v>
      </c>
      <c r="I580" s="12" t="s">
        <v>15</v>
      </c>
      <c r="J580" s="22" t="s">
        <v>41</v>
      </c>
      <c r="K580" s="12"/>
      <c r="L580" s="9" t="n">
        <f aca="false">L579+H580</f>
        <v>22788.93</v>
      </c>
      <c r="M580" s="10" t="str">
        <f aca="false">VLOOKUP(J580,RECATALOGANDO!A:C,2,0)</f>
        <v>HONORARIOS QUIRURGICOS</v>
      </c>
      <c r="N580" s="12" t="str">
        <f aca="false">VLOOKUP(M580,RECATALOGANDO!B:C,2,0)</f>
        <v>VENTA DE SERVICIO</v>
      </c>
      <c r="O580" s="2" t="s">
        <v>78</v>
      </c>
    </row>
    <row r="581" customFormat="false" ht="13.8" hidden="false" customHeight="false" outlineLevel="0" collapsed="false">
      <c r="A581" s="8" t="n">
        <v>45183</v>
      </c>
      <c r="B581" s="9" t="n">
        <f aca="false">DAY(A581)</f>
        <v>14</v>
      </c>
      <c r="C581" s="9" t="n">
        <f aca="false">MONTH(A581)</f>
        <v>9</v>
      </c>
      <c r="D581" s="9" t="n">
        <f aca="false">YEAR(A581)</f>
        <v>2023</v>
      </c>
      <c r="E581" s="9" t="n">
        <f aca="false">WEEKDAY(A581,2)</f>
        <v>4</v>
      </c>
      <c r="F581" s="10" t="n">
        <f aca="false">WEEKNUM(A581,2) - WEEKNUM(DATE(YEAR(A581),MONTH(A581),1),2) + 1</f>
        <v>3</v>
      </c>
      <c r="G581" s="10"/>
      <c r="H581" s="11" t="n">
        <v>562</v>
      </c>
      <c r="I581" s="12" t="s">
        <v>20</v>
      </c>
      <c r="J581" s="22" t="s">
        <v>53</v>
      </c>
      <c r="K581" s="12"/>
      <c r="L581" s="9" t="n">
        <f aca="false">L580+H581</f>
        <v>23350.93</v>
      </c>
      <c r="M581" s="10" t="str">
        <f aca="false">VLOOKUP(J581,RECATALOGANDO!A:C,2,0)</f>
        <v>SERVICIO DE GROOMING</v>
      </c>
      <c r="N581" s="12" t="str">
        <f aca="false">VLOOKUP(M581,RECATALOGANDO!B:C,2,0)</f>
        <v>VENTA DE SERVICIO</v>
      </c>
      <c r="O581" s="2" t="s">
        <v>78</v>
      </c>
    </row>
    <row r="582" customFormat="false" ht="13.8" hidden="false" customHeight="false" outlineLevel="0" collapsed="false">
      <c r="A582" s="8" t="n">
        <v>45183</v>
      </c>
      <c r="B582" s="9" t="n">
        <f aca="false">DAY(A582)</f>
        <v>14</v>
      </c>
      <c r="C582" s="9" t="n">
        <f aca="false">MONTH(A582)</f>
        <v>9</v>
      </c>
      <c r="D582" s="9" t="n">
        <f aca="false">YEAR(A582)</f>
        <v>2023</v>
      </c>
      <c r="E582" s="9" t="n">
        <f aca="false">WEEKDAY(A582,2)</f>
        <v>4</v>
      </c>
      <c r="F582" s="10" t="n">
        <f aca="false">WEEKNUM(A582,2) - WEEKNUM(DATE(YEAR(A582),MONTH(A582),1),2) + 1</f>
        <v>3</v>
      </c>
      <c r="G582" s="10"/>
      <c r="H582" s="11" t="n">
        <v>800</v>
      </c>
      <c r="I582" s="12" t="s">
        <v>20</v>
      </c>
      <c r="J582" s="12" t="s">
        <v>44</v>
      </c>
      <c r="K582" s="12"/>
      <c r="L582" s="9" t="n">
        <f aca="false">L581+H582</f>
        <v>24150.93</v>
      </c>
      <c r="M582" s="10" t="str">
        <f aca="false">VLOOKUP(J582,RECATALOGANDO!A:C,2,0)</f>
        <v>HONORARIOS MEDICOS</v>
      </c>
      <c r="N582" s="12" t="str">
        <f aca="false">VLOOKUP(M582,RECATALOGANDO!B:C,2,0)</f>
        <v>VENTA DE SERVICIO</v>
      </c>
      <c r="O582" s="2" t="s">
        <v>78</v>
      </c>
    </row>
    <row r="583" customFormat="false" ht="13.8" hidden="false" customHeight="false" outlineLevel="0" collapsed="false">
      <c r="A583" s="8" t="n">
        <v>45184</v>
      </c>
      <c r="B583" s="9" t="n">
        <f aca="false">DAY(A583)</f>
        <v>15</v>
      </c>
      <c r="C583" s="9" t="n">
        <f aca="false">MONTH(A583)</f>
        <v>9</v>
      </c>
      <c r="D583" s="9" t="n">
        <f aca="false">YEAR(A583)</f>
        <v>2023</v>
      </c>
      <c r="E583" s="9" t="n">
        <f aca="false">WEEKDAY(A583,2)</f>
        <v>5</v>
      </c>
      <c r="F583" s="10" t="n">
        <f aca="false">WEEKNUM(A583,2) - WEEKNUM(DATE(YEAR(A583),MONTH(A583),1),2) + 1</f>
        <v>3</v>
      </c>
      <c r="G583" s="10" t="n">
        <v>1</v>
      </c>
      <c r="H583" s="11" t="n">
        <v>3851.17</v>
      </c>
      <c r="I583" s="12" t="s">
        <v>15</v>
      </c>
      <c r="J583" s="22" t="s">
        <v>41</v>
      </c>
      <c r="K583" s="12"/>
      <c r="L583" s="9" t="n">
        <f aca="false">L582+H583</f>
        <v>28002.1</v>
      </c>
      <c r="M583" s="10" t="str">
        <f aca="false">VLOOKUP(J583,RECATALOGANDO!A:C,2,0)</f>
        <v>HONORARIOS QUIRURGICOS</v>
      </c>
      <c r="N583" s="12" t="str">
        <f aca="false">VLOOKUP(M583,RECATALOGANDO!B:C,2,0)</f>
        <v>VENTA DE SERVICIO</v>
      </c>
      <c r="O583" s="2" t="s">
        <v>78</v>
      </c>
    </row>
    <row r="584" customFormat="false" ht="13.8" hidden="false" customHeight="false" outlineLevel="0" collapsed="false">
      <c r="A584" s="8" t="n">
        <v>45185</v>
      </c>
      <c r="B584" s="9" t="n">
        <f aca="false">DAY(A584)</f>
        <v>16</v>
      </c>
      <c r="C584" s="9" t="n">
        <f aca="false">MONTH(A584)</f>
        <v>9</v>
      </c>
      <c r="D584" s="9" t="n">
        <f aca="false">YEAR(A584)</f>
        <v>2023</v>
      </c>
      <c r="E584" s="9" t="n">
        <f aca="false">WEEKDAY(A584,2)</f>
        <v>6</v>
      </c>
      <c r="F584" s="10" t="n">
        <f aca="false">WEEKNUM(A584,2) - WEEKNUM(DATE(YEAR(A584),MONTH(A584),1),2) + 1</f>
        <v>3</v>
      </c>
      <c r="G584" s="10"/>
      <c r="H584" s="11" t="n">
        <v>1300</v>
      </c>
      <c r="I584" s="12" t="s">
        <v>15</v>
      </c>
      <c r="J584" s="22" t="s">
        <v>58</v>
      </c>
      <c r="K584" s="12"/>
      <c r="L584" s="9" t="n">
        <f aca="false">L583+H584</f>
        <v>29302.1</v>
      </c>
      <c r="M584" s="10" t="str">
        <f aca="false">VLOOKUP(J584,RECATALOGANDO!A:C,2,0)</f>
        <v>SERVICIO DE LABORATORIO</v>
      </c>
      <c r="N584" s="12" t="str">
        <f aca="false">VLOOKUP(M584,RECATALOGANDO!B:C,2,0)</f>
        <v>VENTA DE SERVICIO</v>
      </c>
      <c r="O584" s="2" t="s">
        <v>78</v>
      </c>
    </row>
    <row r="585" customFormat="false" ht="13.8" hidden="false" customHeight="false" outlineLevel="0" collapsed="false">
      <c r="A585" s="8" t="n">
        <v>45187</v>
      </c>
      <c r="B585" s="9" t="n">
        <f aca="false">DAY(A585)</f>
        <v>18</v>
      </c>
      <c r="C585" s="9" t="n">
        <f aca="false">MONTH(A585)</f>
        <v>9</v>
      </c>
      <c r="D585" s="9" t="n">
        <f aca="false">YEAR(A585)</f>
        <v>2023</v>
      </c>
      <c r="E585" s="9" t="n">
        <f aca="false">WEEKDAY(A585,2)</f>
        <v>1</v>
      </c>
      <c r="F585" s="10" t="n">
        <f aca="false">WEEKNUM(A585,2) - WEEKNUM(DATE(YEAR(A585),MONTH(A585),1),2) + 1</f>
        <v>4</v>
      </c>
      <c r="G585" s="10"/>
      <c r="H585" s="11" t="n">
        <v>1632</v>
      </c>
      <c r="I585" s="12" t="s">
        <v>20</v>
      </c>
      <c r="J585" s="12" t="s">
        <v>45</v>
      </c>
      <c r="K585" s="12"/>
      <c r="L585" s="9" t="n">
        <f aca="false">L584+H585</f>
        <v>30934.1</v>
      </c>
      <c r="M585" s="10" t="str">
        <f aca="false">VLOOKUP(J585,RECATALOGANDO!A:C,2,0)</f>
        <v>VENTA DE MEDICAMENTO</v>
      </c>
      <c r="N585" s="12" t="str">
        <f aca="false">VLOOKUP(M585,RECATALOGANDO!B:C,2,0)</f>
        <v>VENTA DE PRODUCTO</v>
      </c>
      <c r="O585" s="2" t="s">
        <v>78</v>
      </c>
    </row>
    <row r="586" customFormat="false" ht="13.8" hidden="false" customHeight="false" outlineLevel="0" collapsed="false">
      <c r="A586" s="8" t="n">
        <v>45187</v>
      </c>
      <c r="B586" s="9" t="n">
        <f aca="false">DAY(A586)</f>
        <v>18</v>
      </c>
      <c r="C586" s="9" t="n">
        <f aca="false">MONTH(A586)</f>
        <v>9</v>
      </c>
      <c r="D586" s="9" t="n">
        <f aca="false">YEAR(A586)</f>
        <v>2023</v>
      </c>
      <c r="E586" s="9" t="n">
        <f aca="false">WEEKDAY(A586,2)</f>
        <v>1</v>
      </c>
      <c r="F586" s="10" t="n">
        <f aca="false">WEEKNUM(A586,2) - WEEKNUM(DATE(YEAR(A586),MONTH(A586),1),2) + 1</f>
        <v>4</v>
      </c>
      <c r="G586" s="10"/>
      <c r="H586" s="11" t="n">
        <v>240</v>
      </c>
      <c r="I586" s="12" t="s">
        <v>20</v>
      </c>
      <c r="J586" s="12" t="s">
        <v>44</v>
      </c>
      <c r="K586" s="12"/>
      <c r="L586" s="9" t="n">
        <f aca="false">L585+H586</f>
        <v>31174.1</v>
      </c>
      <c r="M586" s="10" t="str">
        <f aca="false">VLOOKUP(J586,RECATALOGANDO!A:C,2,0)</f>
        <v>HONORARIOS MEDICOS</v>
      </c>
      <c r="N586" s="12" t="str">
        <f aca="false">VLOOKUP(M586,RECATALOGANDO!B:C,2,0)</f>
        <v>VENTA DE SERVICIO</v>
      </c>
      <c r="O586" s="2" t="s">
        <v>78</v>
      </c>
    </row>
    <row r="587" customFormat="false" ht="13.8" hidden="false" customHeight="false" outlineLevel="0" collapsed="false">
      <c r="A587" s="8" t="n">
        <v>45187</v>
      </c>
      <c r="B587" s="9" t="n">
        <f aca="false">DAY(A587)</f>
        <v>18</v>
      </c>
      <c r="C587" s="9" t="n">
        <f aca="false">MONTH(A587)</f>
        <v>9</v>
      </c>
      <c r="D587" s="9" t="n">
        <f aca="false">YEAR(A587)</f>
        <v>2023</v>
      </c>
      <c r="E587" s="9" t="n">
        <f aca="false">WEEKDAY(A587,2)</f>
        <v>1</v>
      </c>
      <c r="F587" s="10" t="n">
        <f aca="false">WEEKNUM(A587,2) - WEEKNUM(DATE(YEAR(A587),MONTH(A587),1),2) + 1</f>
        <v>4</v>
      </c>
      <c r="G587" s="10"/>
      <c r="H587" s="11" t="n">
        <v>259</v>
      </c>
      <c r="I587" s="12" t="s">
        <v>15</v>
      </c>
      <c r="J587" s="22" t="s">
        <v>53</v>
      </c>
      <c r="K587" s="12"/>
      <c r="L587" s="9" t="n">
        <f aca="false">L586+H587</f>
        <v>31433.1</v>
      </c>
      <c r="M587" s="10" t="str">
        <f aca="false">VLOOKUP(J587,RECATALOGANDO!A:C,2,0)</f>
        <v>SERVICIO DE GROOMING</v>
      </c>
      <c r="N587" s="12" t="str">
        <f aca="false">VLOOKUP(M587,RECATALOGANDO!B:C,2,0)</f>
        <v>VENTA DE SERVICIO</v>
      </c>
      <c r="O587" s="2" t="s">
        <v>78</v>
      </c>
    </row>
    <row r="588" customFormat="false" ht="13.8" hidden="false" customHeight="false" outlineLevel="0" collapsed="false">
      <c r="A588" s="8" t="n">
        <v>45188</v>
      </c>
      <c r="B588" s="9" t="n">
        <f aca="false">DAY(A588)</f>
        <v>19</v>
      </c>
      <c r="C588" s="9" t="n">
        <f aca="false">MONTH(A588)</f>
        <v>9</v>
      </c>
      <c r="D588" s="9" t="n">
        <f aca="false">YEAR(A588)</f>
        <v>2023</v>
      </c>
      <c r="E588" s="9" t="n">
        <f aca="false">WEEKDAY(A588,2)</f>
        <v>2</v>
      </c>
      <c r="F588" s="10" t="n">
        <f aca="false">WEEKNUM(A588,2) - WEEKNUM(DATE(YEAR(A588),MONTH(A588),1),2) + 1</f>
        <v>4</v>
      </c>
      <c r="G588" s="10"/>
      <c r="H588" s="11" t="n">
        <v>590</v>
      </c>
      <c r="I588" s="12" t="s">
        <v>15</v>
      </c>
      <c r="J588" s="12" t="s">
        <v>51</v>
      </c>
      <c r="K588" s="12"/>
      <c r="L588" s="9" t="n">
        <f aca="false">L587+H588</f>
        <v>32023.1</v>
      </c>
      <c r="M588" s="10" t="str">
        <f aca="false">VLOOKUP(J588,RECATALOGANDO!A:C,2,0)</f>
        <v>VENTA DE ALIMENTO</v>
      </c>
      <c r="N588" s="12" t="str">
        <f aca="false">VLOOKUP(M588,RECATALOGANDO!B:C,2,0)</f>
        <v>VENTA DE PRODUCTO</v>
      </c>
      <c r="O588" s="2" t="s">
        <v>78</v>
      </c>
    </row>
    <row r="589" customFormat="false" ht="13.8" hidden="false" customHeight="false" outlineLevel="0" collapsed="false">
      <c r="A589" s="8" t="n">
        <v>45188</v>
      </c>
      <c r="B589" s="9" t="n">
        <f aca="false">DAY(A589)</f>
        <v>19</v>
      </c>
      <c r="C589" s="9" t="n">
        <f aca="false">MONTH(A589)</f>
        <v>9</v>
      </c>
      <c r="D589" s="9" t="n">
        <f aca="false">YEAR(A589)</f>
        <v>2023</v>
      </c>
      <c r="E589" s="9" t="n">
        <f aca="false">WEEKDAY(A589,2)</f>
        <v>2</v>
      </c>
      <c r="F589" s="10" t="n">
        <f aca="false">WEEKNUM(A589,2) - WEEKNUM(DATE(YEAR(A589),MONTH(A589),1),2) + 1</f>
        <v>4</v>
      </c>
      <c r="G589" s="10"/>
      <c r="H589" s="11" t="n">
        <v>780</v>
      </c>
      <c r="I589" s="12" t="s">
        <v>15</v>
      </c>
      <c r="J589" s="12" t="s">
        <v>45</v>
      </c>
      <c r="K589" s="12"/>
      <c r="L589" s="9" t="n">
        <f aca="false">L588+H589</f>
        <v>32803.1</v>
      </c>
      <c r="M589" s="10" t="str">
        <f aca="false">VLOOKUP(J589,RECATALOGANDO!A:C,2,0)</f>
        <v>VENTA DE MEDICAMENTO</v>
      </c>
      <c r="N589" s="12" t="str">
        <f aca="false">VLOOKUP(M589,RECATALOGANDO!B:C,2,0)</f>
        <v>VENTA DE PRODUCTO</v>
      </c>
      <c r="O589" s="2" t="s">
        <v>78</v>
      </c>
    </row>
    <row r="590" customFormat="false" ht="13.8" hidden="false" customHeight="false" outlineLevel="0" collapsed="false">
      <c r="A590" s="8" t="n">
        <v>45188</v>
      </c>
      <c r="B590" s="9" t="n">
        <f aca="false">DAY(A590)</f>
        <v>19</v>
      </c>
      <c r="C590" s="9" t="n">
        <f aca="false">MONTH(A590)</f>
        <v>9</v>
      </c>
      <c r="D590" s="9" t="n">
        <f aca="false">YEAR(A590)</f>
        <v>2023</v>
      </c>
      <c r="E590" s="9" t="n">
        <f aca="false">WEEKDAY(A590,2)</f>
        <v>2</v>
      </c>
      <c r="F590" s="10" t="n">
        <f aca="false">WEEKNUM(A590,2) - WEEKNUM(DATE(YEAR(A590),MONTH(A590),1),2) + 1</f>
        <v>4</v>
      </c>
      <c r="G590" s="10"/>
      <c r="H590" s="11" t="n">
        <v>1578.22</v>
      </c>
      <c r="I590" s="12" t="s">
        <v>15</v>
      </c>
      <c r="J590" s="12" t="s">
        <v>45</v>
      </c>
      <c r="K590" s="12"/>
      <c r="L590" s="9" t="n">
        <f aca="false">L589+H590</f>
        <v>34381.32</v>
      </c>
      <c r="M590" s="10" t="str">
        <f aca="false">VLOOKUP(J590,RECATALOGANDO!A:C,2,0)</f>
        <v>VENTA DE MEDICAMENTO</v>
      </c>
      <c r="N590" s="12" t="str">
        <f aca="false">VLOOKUP(M590,RECATALOGANDO!B:C,2,0)</f>
        <v>VENTA DE PRODUCTO</v>
      </c>
      <c r="O590" s="2" t="s">
        <v>78</v>
      </c>
    </row>
    <row r="591" customFormat="false" ht="13.8" hidden="false" customHeight="false" outlineLevel="0" collapsed="false">
      <c r="A591" s="8" t="n">
        <v>45188</v>
      </c>
      <c r="B591" s="9" t="n">
        <f aca="false">DAY(A591)</f>
        <v>19</v>
      </c>
      <c r="C591" s="9" t="n">
        <f aca="false">MONTH(A591)</f>
        <v>9</v>
      </c>
      <c r="D591" s="9" t="n">
        <f aca="false">YEAR(A591)</f>
        <v>2023</v>
      </c>
      <c r="E591" s="9" t="n">
        <f aca="false">WEEKDAY(A591,2)</f>
        <v>2</v>
      </c>
      <c r="F591" s="10" t="n">
        <f aca="false">WEEKNUM(A591,2) - WEEKNUM(DATE(YEAR(A591),MONTH(A591),1),2) + 1</f>
        <v>4</v>
      </c>
      <c r="G591" s="10"/>
      <c r="H591" s="11" t="n">
        <v>820</v>
      </c>
      <c r="I591" s="12" t="s">
        <v>20</v>
      </c>
      <c r="J591" s="12" t="s">
        <v>44</v>
      </c>
      <c r="K591" s="12"/>
      <c r="L591" s="9" t="n">
        <f aca="false">L590+H591</f>
        <v>35201.32</v>
      </c>
      <c r="M591" s="10" t="str">
        <f aca="false">VLOOKUP(J591,RECATALOGANDO!A:C,2,0)</f>
        <v>HONORARIOS MEDICOS</v>
      </c>
      <c r="N591" s="12" t="str">
        <f aca="false">VLOOKUP(M591,RECATALOGANDO!B:C,2,0)</f>
        <v>VENTA DE SERVICIO</v>
      </c>
      <c r="O591" s="2" t="s">
        <v>78</v>
      </c>
    </row>
    <row r="592" customFormat="false" ht="13.8" hidden="false" customHeight="false" outlineLevel="0" collapsed="false">
      <c r="A592" s="8" t="n">
        <v>45188</v>
      </c>
      <c r="B592" s="9" t="n">
        <f aca="false">DAY(A592)</f>
        <v>19</v>
      </c>
      <c r="C592" s="9" t="n">
        <f aca="false">MONTH(A592)</f>
        <v>9</v>
      </c>
      <c r="D592" s="9" t="n">
        <f aca="false">YEAR(A592)</f>
        <v>2023</v>
      </c>
      <c r="E592" s="9" t="n">
        <f aca="false">WEEKDAY(A592,2)</f>
        <v>2</v>
      </c>
      <c r="F592" s="10" t="n">
        <f aca="false">WEEKNUM(A592,2) - WEEKNUM(DATE(YEAR(A592),MONTH(A592),1),2) + 1</f>
        <v>4</v>
      </c>
      <c r="G592" s="10"/>
      <c r="H592" s="11" t="n">
        <v>1205</v>
      </c>
      <c r="I592" s="12" t="s">
        <v>20</v>
      </c>
      <c r="J592" s="12" t="s">
        <v>44</v>
      </c>
      <c r="K592" s="12"/>
      <c r="L592" s="9" t="n">
        <f aca="false">L591+H592</f>
        <v>36406.32</v>
      </c>
      <c r="M592" s="10" t="str">
        <f aca="false">VLOOKUP(J592,RECATALOGANDO!A:C,2,0)</f>
        <v>HONORARIOS MEDICOS</v>
      </c>
      <c r="N592" s="12" t="str">
        <f aca="false">VLOOKUP(M592,RECATALOGANDO!B:C,2,0)</f>
        <v>VENTA DE SERVICIO</v>
      </c>
      <c r="O592" s="2" t="s">
        <v>78</v>
      </c>
    </row>
    <row r="593" customFormat="false" ht="13.8" hidden="false" customHeight="false" outlineLevel="0" collapsed="false">
      <c r="A593" s="8" t="n">
        <v>45188</v>
      </c>
      <c r="B593" s="9" t="n">
        <f aca="false">DAY(A593)</f>
        <v>19</v>
      </c>
      <c r="C593" s="9" t="n">
        <f aca="false">MONTH(A593)</f>
        <v>9</v>
      </c>
      <c r="D593" s="9" t="n">
        <f aca="false">YEAR(A593)</f>
        <v>2023</v>
      </c>
      <c r="E593" s="9" t="n">
        <f aca="false">WEEKDAY(A593,2)</f>
        <v>2</v>
      </c>
      <c r="F593" s="10" t="n">
        <f aca="false">WEEKNUM(A593,2) - WEEKNUM(DATE(YEAR(A593),MONTH(A593),1),2) + 1</f>
        <v>4</v>
      </c>
      <c r="G593" s="10"/>
      <c r="H593" s="11" t="n">
        <v>2759</v>
      </c>
      <c r="I593" s="12" t="s">
        <v>15</v>
      </c>
      <c r="J593" s="12" t="s">
        <v>44</v>
      </c>
      <c r="K593" s="12"/>
      <c r="L593" s="9" t="n">
        <f aca="false">L592+H593</f>
        <v>39165.32</v>
      </c>
      <c r="M593" s="10" t="str">
        <f aca="false">VLOOKUP(J593,RECATALOGANDO!A:C,2,0)</f>
        <v>HONORARIOS MEDICOS</v>
      </c>
      <c r="N593" s="12" t="str">
        <f aca="false">VLOOKUP(M593,RECATALOGANDO!B:C,2,0)</f>
        <v>VENTA DE SERVICIO</v>
      </c>
      <c r="O593" s="2" t="s">
        <v>78</v>
      </c>
    </row>
    <row r="594" customFormat="false" ht="13.8" hidden="false" customHeight="false" outlineLevel="0" collapsed="false">
      <c r="A594" s="8" t="n">
        <v>45189</v>
      </c>
      <c r="B594" s="9" t="n">
        <f aca="false">DAY(A594)</f>
        <v>20</v>
      </c>
      <c r="C594" s="9" t="n">
        <f aca="false">MONTH(A594)</f>
        <v>9</v>
      </c>
      <c r="D594" s="9" t="n">
        <f aca="false">YEAR(A594)</f>
        <v>2023</v>
      </c>
      <c r="E594" s="9" t="n">
        <f aca="false">WEEKDAY(A594,2)</f>
        <v>3</v>
      </c>
      <c r="F594" s="10" t="n">
        <f aca="false">WEEKNUM(A594,2) - WEEKNUM(DATE(YEAR(A594),MONTH(A594),1),2) + 1</f>
        <v>4</v>
      </c>
      <c r="G594" s="10"/>
      <c r="H594" s="11" t="n">
        <v>290</v>
      </c>
      <c r="I594" s="12" t="s">
        <v>20</v>
      </c>
      <c r="J594" s="12" t="s">
        <v>45</v>
      </c>
      <c r="K594" s="12"/>
      <c r="L594" s="9" t="n">
        <f aca="false">L593+H594</f>
        <v>39455.32</v>
      </c>
      <c r="M594" s="10" t="str">
        <f aca="false">VLOOKUP(J594,RECATALOGANDO!A:C,2,0)</f>
        <v>VENTA DE MEDICAMENTO</v>
      </c>
      <c r="N594" s="12" t="str">
        <f aca="false">VLOOKUP(M594,RECATALOGANDO!B:C,2,0)</f>
        <v>VENTA DE PRODUCTO</v>
      </c>
      <c r="O594" s="2" t="s">
        <v>78</v>
      </c>
    </row>
    <row r="595" customFormat="false" ht="13.8" hidden="false" customHeight="false" outlineLevel="0" collapsed="false">
      <c r="A595" s="8" t="n">
        <v>45189</v>
      </c>
      <c r="B595" s="9" t="n">
        <f aca="false">DAY(A595)</f>
        <v>20</v>
      </c>
      <c r="C595" s="9" t="n">
        <f aca="false">MONTH(A595)</f>
        <v>9</v>
      </c>
      <c r="D595" s="9" t="n">
        <f aca="false">YEAR(A595)</f>
        <v>2023</v>
      </c>
      <c r="E595" s="9" t="n">
        <f aca="false">WEEKDAY(A595,2)</f>
        <v>3</v>
      </c>
      <c r="F595" s="10" t="n">
        <f aca="false">WEEKNUM(A595,2) - WEEKNUM(DATE(YEAR(A595),MONTH(A595),1),2) + 1</f>
        <v>4</v>
      </c>
      <c r="G595" s="10"/>
      <c r="H595" s="11" t="n">
        <v>580</v>
      </c>
      <c r="I595" s="12" t="s">
        <v>15</v>
      </c>
      <c r="J595" s="22" t="s">
        <v>51</v>
      </c>
      <c r="K595" s="12"/>
      <c r="L595" s="9" t="n">
        <f aca="false">L594+H595</f>
        <v>40035.32</v>
      </c>
      <c r="M595" s="10" t="str">
        <f aca="false">VLOOKUP(J595,RECATALOGANDO!A:C,2,0)</f>
        <v>VENTA DE ALIMENTO</v>
      </c>
      <c r="N595" s="12" t="str">
        <f aca="false">VLOOKUP(M595,RECATALOGANDO!B:C,2,0)</f>
        <v>VENTA DE PRODUCTO</v>
      </c>
      <c r="O595" s="2" t="s">
        <v>78</v>
      </c>
    </row>
    <row r="596" customFormat="false" ht="13.8" hidden="false" customHeight="false" outlineLevel="0" collapsed="false">
      <c r="A596" s="8" t="n">
        <v>45189</v>
      </c>
      <c r="B596" s="9" t="n">
        <f aca="false">DAY(A596)</f>
        <v>20</v>
      </c>
      <c r="C596" s="9" t="n">
        <f aca="false">MONTH(A596)</f>
        <v>9</v>
      </c>
      <c r="D596" s="9" t="n">
        <f aca="false">YEAR(A596)</f>
        <v>2023</v>
      </c>
      <c r="E596" s="9" t="n">
        <f aca="false">WEEKDAY(A596,2)</f>
        <v>3</v>
      </c>
      <c r="F596" s="10" t="n">
        <f aca="false">WEEKNUM(A596,2) - WEEKNUM(DATE(YEAR(A596),MONTH(A596),1),2) + 1</f>
        <v>4</v>
      </c>
      <c r="G596" s="10"/>
      <c r="H596" s="11" t="n">
        <v>1902</v>
      </c>
      <c r="I596" s="12" t="s">
        <v>15</v>
      </c>
      <c r="J596" s="12" t="s">
        <v>45</v>
      </c>
      <c r="K596" s="12"/>
      <c r="L596" s="9" t="n">
        <f aca="false">L595+H596</f>
        <v>41937.32</v>
      </c>
      <c r="M596" s="10" t="str">
        <f aca="false">VLOOKUP(J596,RECATALOGANDO!A:C,2,0)</f>
        <v>VENTA DE MEDICAMENTO</v>
      </c>
      <c r="N596" s="12" t="str">
        <f aca="false">VLOOKUP(M596,RECATALOGANDO!B:C,2,0)</f>
        <v>VENTA DE PRODUCTO</v>
      </c>
      <c r="O596" s="2" t="s">
        <v>78</v>
      </c>
    </row>
    <row r="597" customFormat="false" ht="13.8" hidden="false" customHeight="false" outlineLevel="0" collapsed="false">
      <c r="A597" s="8" t="n">
        <v>45189</v>
      </c>
      <c r="B597" s="9" t="n">
        <f aca="false">DAY(A597)</f>
        <v>20</v>
      </c>
      <c r="C597" s="9" t="n">
        <f aca="false">MONTH(A597)</f>
        <v>9</v>
      </c>
      <c r="D597" s="9" t="n">
        <f aca="false">YEAR(A597)</f>
        <v>2023</v>
      </c>
      <c r="E597" s="9" t="n">
        <f aca="false">WEEKDAY(A597,2)</f>
        <v>3</v>
      </c>
      <c r="F597" s="10" t="n">
        <f aca="false">WEEKNUM(A597,2) - WEEKNUM(DATE(YEAR(A597),MONTH(A597),1),2) + 1</f>
        <v>4</v>
      </c>
      <c r="G597" s="10"/>
      <c r="H597" s="11" t="n">
        <v>240</v>
      </c>
      <c r="I597" s="12" t="s">
        <v>15</v>
      </c>
      <c r="J597" s="12" t="s">
        <v>44</v>
      </c>
      <c r="K597" s="12"/>
      <c r="L597" s="9" t="n">
        <f aca="false">L596+H597</f>
        <v>42177.32</v>
      </c>
      <c r="M597" s="10" t="str">
        <f aca="false">VLOOKUP(J597,RECATALOGANDO!A:C,2,0)</f>
        <v>HONORARIOS MEDICOS</v>
      </c>
      <c r="N597" s="12" t="str">
        <f aca="false">VLOOKUP(M597,RECATALOGANDO!B:C,2,0)</f>
        <v>VENTA DE SERVICIO</v>
      </c>
      <c r="O597" s="2" t="s">
        <v>78</v>
      </c>
    </row>
    <row r="598" customFormat="false" ht="13.8" hidden="false" customHeight="false" outlineLevel="0" collapsed="false">
      <c r="A598" s="8" t="n">
        <v>45190</v>
      </c>
      <c r="B598" s="9" t="n">
        <f aca="false">DAY(A598)</f>
        <v>21</v>
      </c>
      <c r="C598" s="9" t="n">
        <f aca="false">MONTH(A598)</f>
        <v>9</v>
      </c>
      <c r="D598" s="9" t="n">
        <f aca="false">YEAR(A598)</f>
        <v>2023</v>
      </c>
      <c r="E598" s="9" t="n">
        <f aca="false">WEEKDAY(A598,2)</f>
        <v>4</v>
      </c>
      <c r="F598" s="10" t="n">
        <f aca="false">WEEKNUM(A598,2) - WEEKNUM(DATE(YEAR(A598),MONTH(A598),1),2) + 1</f>
        <v>4</v>
      </c>
      <c r="G598" s="10"/>
      <c r="H598" s="11" t="n">
        <v>2400</v>
      </c>
      <c r="I598" s="12" t="s">
        <v>20</v>
      </c>
      <c r="J598" s="22" t="s">
        <v>45</v>
      </c>
      <c r="K598" s="12"/>
      <c r="L598" s="9" t="n">
        <f aca="false">L597+H598</f>
        <v>44577.32</v>
      </c>
      <c r="M598" s="10" t="str">
        <f aca="false">VLOOKUP(J598,RECATALOGANDO!A:C,2,0)</f>
        <v>VENTA DE MEDICAMENTO</v>
      </c>
      <c r="N598" s="12" t="str">
        <f aca="false">VLOOKUP(M598,RECATALOGANDO!B:C,2,0)</f>
        <v>VENTA DE PRODUCTO</v>
      </c>
      <c r="O598" s="2" t="s">
        <v>78</v>
      </c>
    </row>
    <row r="599" customFormat="false" ht="13.8" hidden="false" customHeight="false" outlineLevel="0" collapsed="false">
      <c r="A599" s="8" t="n">
        <v>45190</v>
      </c>
      <c r="B599" s="9" t="n">
        <f aca="false">DAY(A599)</f>
        <v>21</v>
      </c>
      <c r="C599" s="9" t="n">
        <f aca="false">MONTH(A599)</f>
        <v>9</v>
      </c>
      <c r="D599" s="9" t="n">
        <f aca="false">YEAR(A599)</f>
        <v>2023</v>
      </c>
      <c r="E599" s="9" t="n">
        <f aca="false">WEEKDAY(A599,2)</f>
        <v>4</v>
      </c>
      <c r="F599" s="10" t="n">
        <f aca="false">WEEKNUM(A599,2) - WEEKNUM(DATE(YEAR(A599),MONTH(A599),1),2) + 1</f>
        <v>4</v>
      </c>
      <c r="G599" s="10"/>
      <c r="H599" s="11" t="n">
        <v>3000</v>
      </c>
      <c r="I599" s="12" t="s">
        <v>20</v>
      </c>
      <c r="J599" s="22" t="s">
        <v>41</v>
      </c>
      <c r="K599" s="12"/>
      <c r="L599" s="9" t="n">
        <f aca="false">L598+H599</f>
        <v>47577.32</v>
      </c>
      <c r="M599" s="10" t="str">
        <f aca="false">VLOOKUP(J599,RECATALOGANDO!A:C,2,0)</f>
        <v>HONORARIOS QUIRURGICOS</v>
      </c>
      <c r="N599" s="12" t="str">
        <f aca="false">VLOOKUP(M599,RECATALOGANDO!B:C,2,0)</f>
        <v>VENTA DE SERVICIO</v>
      </c>
      <c r="O599" s="2" t="s">
        <v>78</v>
      </c>
    </row>
    <row r="600" customFormat="false" ht="13.8" hidden="false" customHeight="false" outlineLevel="0" collapsed="false">
      <c r="A600" s="8" t="n">
        <v>45191</v>
      </c>
      <c r="B600" s="9" t="n">
        <f aca="false">DAY(A600)</f>
        <v>22</v>
      </c>
      <c r="C600" s="9" t="n">
        <f aca="false">MONTH(A600)</f>
        <v>9</v>
      </c>
      <c r="D600" s="9" t="n">
        <f aca="false">YEAR(A600)</f>
        <v>2023</v>
      </c>
      <c r="E600" s="9" t="n">
        <f aca="false">WEEKDAY(A600,2)</f>
        <v>5</v>
      </c>
      <c r="F600" s="10" t="n">
        <f aca="false">WEEKNUM(A600,2) - WEEKNUM(DATE(YEAR(A600),MONTH(A600),1),2) + 1</f>
        <v>4</v>
      </c>
      <c r="G600" s="10"/>
      <c r="H600" s="11" t="n">
        <v>2820</v>
      </c>
      <c r="I600" s="12" t="s">
        <v>20</v>
      </c>
      <c r="J600" s="22" t="s">
        <v>45</v>
      </c>
      <c r="K600" s="12"/>
      <c r="L600" s="9" t="n">
        <f aca="false">L599+H600</f>
        <v>50397.32</v>
      </c>
      <c r="M600" s="10" t="str">
        <f aca="false">VLOOKUP(J600,RECATALOGANDO!A:C,2,0)</f>
        <v>VENTA DE MEDICAMENTO</v>
      </c>
      <c r="N600" s="12" t="str">
        <f aca="false">VLOOKUP(M600,RECATALOGANDO!B:C,2,0)</f>
        <v>VENTA DE PRODUCTO</v>
      </c>
      <c r="O600" s="2" t="s">
        <v>78</v>
      </c>
    </row>
    <row r="601" customFormat="false" ht="13.8" hidden="false" customHeight="false" outlineLevel="0" collapsed="false">
      <c r="A601" s="8" t="n">
        <v>45191</v>
      </c>
      <c r="B601" s="9" t="n">
        <f aca="false">DAY(A601)</f>
        <v>22</v>
      </c>
      <c r="C601" s="9" t="n">
        <f aca="false">MONTH(A601)</f>
        <v>9</v>
      </c>
      <c r="D601" s="9" t="n">
        <f aca="false">YEAR(A601)</f>
        <v>2023</v>
      </c>
      <c r="E601" s="9" t="n">
        <f aca="false">WEEKDAY(A601,2)</f>
        <v>5</v>
      </c>
      <c r="F601" s="10" t="n">
        <f aca="false">WEEKNUM(A601,2) - WEEKNUM(DATE(YEAR(A601),MONTH(A601),1),2) + 1</f>
        <v>4</v>
      </c>
      <c r="G601" s="10"/>
      <c r="H601" s="11" t="n">
        <v>1420</v>
      </c>
      <c r="I601" s="12" t="s">
        <v>20</v>
      </c>
      <c r="J601" s="22" t="s">
        <v>58</v>
      </c>
      <c r="K601" s="12"/>
      <c r="L601" s="9" t="n">
        <f aca="false">L600+H601</f>
        <v>51817.32</v>
      </c>
      <c r="M601" s="10" t="str">
        <f aca="false">VLOOKUP(J601,RECATALOGANDO!A:C,2,0)</f>
        <v>SERVICIO DE LABORATORIO</v>
      </c>
      <c r="N601" s="12" t="str">
        <f aca="false">VLOOKUP(M601,RECATALOGANDO!B:C,2,0)</f>
        <v>VENTA DE SERVICIO</v>
      </c>
      <c r="O601" s="2" t="s">
        <v>78</v>
      </c>
    </row>
    <row r="602" customFormat="false" ht="13.8" hidden="false" customHeight="false" outlineLevel="0" collapsed="false">
      <c r="A602" s="8" t="n">
        <v>45191</v>
      </c>
      <c r="B602" s="9" t="n">
        <f aca="false">DAY(A602)</f>
        <v>22</v>
      </c>
      <c r="C602" s="9" t="n">
        <f aca="false">MONTH(A602)</f>
        <v>9</v>
      </c>
      <c r="D602" s="9" t="n">
        <f aca="false">YEAR(A602)</f>
        <v>2023</v>
      </c>
      <c r="E602" s="9" t="n">
        <f aca="false">WEEKDAY(A602,2)</f>
        <v>5</v>
      </c>
      <c r="F602" s="10" t="n">
        <f aca="false">WEEKNUM(A602,2) - WEEKNUM(DATE(YEAR(A602),MONTH(A602),1),2) + 1</f>
        <v>4</v>
      </c>
      <c r="G602" s="10"/>
      <c r="H602" s="11" t="n">
        <v>5190</v>
      </c>
      <c r="I602" s="12" t="s">
        <v>20</v>
      </c>
      <c r="J602" s="22" t="s">
        <v>41</v>
      </c>
      <c r="K602" s="12"/>
      <c r="L602" s="9" t="n">
        <f aca="false">L601+H602</f>
        <v>57007.32</v>
      </c>
      <c r="M602" s="10" t="str">
        <f aca="false">VLOOKUP(J602,RECATALOGANDO!A:C,2,0)</f>
        <v>HONORARIOS QUIRURGICOS</v>
      </c>
      <c r="N602" s="12" t="str">
        <f aca="false">VLOOKUP(M602,RECATALOGANDO!B:C,2,0)</f>
        <v>VENTA DE SERVICIO</v>
      </c>
      <c r="O602" s="2" t="s">
        <v>78</v>
      </c>
    </row>
    <row r="603" customFormat="false" ht="13.8" hidden="false" customHeight="false" outlineLevel="0" collapsed="false">
      <c r="A603" s="8" t="n">
        <v>45192</v>
      </c>
      <c r="B603" s="9" t="n">
        <f aca="false">DAY(A603)</f>
        <v>23</v>
      </c>
      <c r="C603" s="9" t="n">
        <f aca="false">MONTH(A603)</f>
        <v>9</v>
      </c>
      <c r="D603" s="9" t="n">
        <f aca="false">YEAR(A603)</f>
        <v>2023</v>
      </c>
      <c r="E603" s="9" t="n">
        <f aca="false">WEEKDAY(A603,2)</f>
        <v>6</v>
      </c>
      <c r="F603" s="10" t="n">
        <f aca="false">WEEKNUM(A603,2) - WEEKNUM(DATE(YEAR(A603),MONTH(A603),1),2) + 1</f>
        <v>4</v>
      </c>
      <c r="G603" s="10"/>
      <c r="H603" s="11" t="n">
        <v>575.89</v>
      </c>
      <c r="I603" s="12" t="s">
        <v>15</v>
      </c>
      <c r="J603" s="22" t="s">
        <v>45</v>
      </c>
      <c r="K603" s="12"/>
      <c r="L603" s="9" t="n">
        <f aca="false">L602+H603</f>
        <v>57583.21</v>
      </c>
      <c r="M603" s="10" t="str">
        <f aca="false">VLOOKUP(J603,RECATALOGANDO!A:C,2,0)</f>
        <v>VENTA DE MEDICAMENTO</v>
      </c>
      <c r="N603" s="12" t="str">
        <f aca="false">VLOOKUP(M603,RECATALOGANDO!B:C,2,0)</f>
        <v>VENTA DE PRODUCTO</v>
      </c>
      <c r="O603" s="2" t="s">
        <v>78</v>
      </c>
    </row>
    <row r="604" customFormat="false" ht="13.8" hidden="false" customHeight="false" outlineLevel="0" collapsed="false">
      <c r="A604" s="8" t="n">
        <v>45194</v>
      </c>
      <c r="B604" s="9" t="n">
        <f aca="false">DAY(A604)</f>
        <v>25</v>
      </c>
      <c r="C604" s="9" t="n">
        <f aca="false">MONTH(A604)</f>
        <v>9</v>
      </c>
      <c r="D604" s="9" t="n">
        <f aca="false">YEAR(A604)</f>
        <v>2023</v>
      </c>
      <c r="E604" s="9" t="n">
        <f aca="false">WEEKDAY(A604,2)</f>
        <v>1</v>
      </c>
      <c r="F604" s="10" t="n">
        <f aca="false">WEEKNUM(A604,2) - WEEKNUM(DATE(YEAR(A604),MONTH(A604),1),2) + 1</f>
        <v>5</v>
      </c>
      <c r="G604" s="10"/>
      <c r="H604" s="11" t="n">
        <v>150</v>
      </c>
      <c r="I604" s="12" t="s">
        <v>20</v>
      </c>
      <c r="J604" s="22" t="s">
        <v>45</v>
      </c>
      <c r="K604" s="12"/>
      <c r="L604" s="9" t="n">
        <f aca="false">L603+H604</f>
        <v>57733.21</v>
      </c>
      <c r="M604" s="10" t="str">
        <f aca="false">VLOOKUP(J604,RECATALOGANDO!A:C,2,0)</f>
        <v>VENTA DE MEDICAMENTO</v>
      </c>
      <c r="N604" s="12" t="str">
        <f aca="false">VLOOKUP(M604,RECATALOGANDO!B:C,2,0)</f>
        <v>VENTA DE PRODUCTO</v>
      </c>
      <c r="O604" s="2" t="s">
        <v>78</v>
      </c>
    </row>
    <row r="605" customFormat="false" ht="13.8" hidden="false" customHeight="false" outlineLevel="0" collapsed="false">
      <c r="A605" s="8" t="n">
        <v>45194</v>
      </c>
      <c r="B605" s="9" t="n">
        <f aca="false">DAY(A605)</f>
        <v>25</v>
      </c>
      <c r="C605" s="9" t="n">
        <f aca="false">MONTH(A605)</f>
        <v>9</v>
      </c>
      <c r="D605" s="9" t="n">
        <f aca="false">YEAR(A605)</f>
        <v>2023</v>
      </c>
      <c r="E605" s="9" t="n">
        <f aca="false">WEEKDAY(A605,2)</f>
        <v>1</v>
      </c>
      <c r="F605" s="10" t="n">
        <f aca="false">WEEKNUM(A605,2) - WEEKNUM(DATE(YEAR(A605),MONTH(A605),1),2) + 1</f>
        <v>5</v>
      </c>
      <c r="G605" s="10"/>
      <c r="H605" s="11" t="n">
        <v>663.72</v>
      </c>
      <c r="I605" s="12" t="s">
        <v>15</v>
      </c>
      <c r="J605" s="22" t="s">
        <v>51</v>
      </c>
      <c r="K605" s="12"/>
      <c r="L605" s="9" t="n">
        <f aca="false">L604+H605</f>
        <v>58396.93</v>
      </c>
      <c r="M605" s="10" t="str">
        <f aca="false">VLOOKUP(J605,RECATALOGANDO!A:C,2,0)</f>
        <v>VENTA DE ALIMENTO</v>
      </c>
      <c r="N605" s="12" t="str">
        <f aca="false">VLOOKUP(M605,RECATALOGANDO!B:C,2,0)</f>
        <v>VENTA DE PRODUCTO</v>
      </c>
      <c r="O605" s="2" t="s">
        <v>78</v>
      </c>
    </row>
    <row r="606" customFormat="false" ht="13.8" hidden="false" customHeight="false" outlineLevel="0" collapsed="false">
      <c r="A606" s="8" t="n">
        <v>45194</v>
      </c>
      <c r="B606" s="9" t="n">
        <f aca="false">DAY(A606)</f>
        <v>25</v>
      </c>
      <c r="C606" s="9" t="n">
        <f aca="false">MONTH(A606)</f>
        <v>9</v>
      </c>
      <c r="D606" s="9" t="n">
        <f aca="false">YEAR(A606)</f>
        <v>2023</v>
      </c>
      <c r="E606" s="9" t="n">
        <f aca="false">WEEKDAY(A606,2)</f>
        <v>1</v>
      </c>
      <c r="F606" s="10" t="n">
        <f aca="false">WEEKNUM(A606,2) - WEEKNUM(DATE(YEAR(A606),MONTH(A606),1),2) + 1</f>
        <v>5</v>
      </c>
      <c r="G606" s="10"/>
      <c r="H606" s="11" t="n">
        <v>790</v>
      </c>
      <c r="I606" s="12" t="s">
        <v>20</v>
      </c>
      <c r="J606" s="22" t="s">
        <v>51</v>
      </c>
      <c r="K606" s="12"/>
      <c r="L606" s="9" t="n">
        <f aca="false">L605+H606</f>
        <v>59186.93</v>
      </c>
      <c r="M606" s="10" t="str">
        <f aca="false">VLOOKUP(J606,RECATALOGANDO!A:C,2,0)</f>
        <v>VENTA DE ALIMENTO</v>
      </c>
      <c r="N606" s="12" t="str">
        <f aca="false">VLOOKUP(M606,RECATALOGANDO!B:C,2,0)</f>
        <v>VENTA DE PRODUCTO</v>
      </c>
      <c r="O606" s="2" t="s">
        <v>78</v>
      </c>
    </row>
    <row r="607" customFormat="false" ht="13.8" hidden="false" customHeight="false" outlineLevel="0" collapsed="false">
      <c r="A607" s="8" t="n">
        <v>45194</v>
      </c>
      <c r="B607" s="9" t="n">
        <f aca="false">DAY(A607)</f>
        <v>25</v>
      </c>
      <c r="C607" s="9" t="n">
        <f aca="false">MONTH(A607)</f>
        <v>9</v>
      </c>
      <c r="D607" s="9" t="n">
        <f aca="false">YEAR(A607)</f>
        <v>2023</v>
      </c>
      <c r="E607" s="9" t="n">
        <f aca="false">WEEKDAY(A607,2)</f>
        <v>1</v>
      </c>
      <c r="F607" s="10" t="n">
        <f aca="false">WEEKNUM(A607,2) - WEEKNUM(DATE(YEAR(A607),MONTH(A607),1),2) + 1</f>
        <v>5</v>
      </c>
      <c r="G607" s="10"/>
      <c r="H607" s="11" t="n">
        <v>1065</v>
      </c>
      <c r="I607" s="12" t="s">
        <v>15</v>
      </c>
      <c r="J607" s="22" t="s">
        <v>58</v>
      </c>
      <c r="K607" s="12"/>
      <c r="L607" s="9" t="n">
        <f aca="false">L606+H607</f>
        <v>60251.93</v>
      </c>
      <c r="M607" s="10" t="str">
        <f aca="false">VLOOKUP(J607,RECATALOGANDO!A:C,2,0)</f>
        <v>SERVICIO DE LABORATORIO</v>
      </c>
      <c r="N607" s="12" t="str">
        <f aca="false">VLOOKUP(M607,RECATALOGANDO!B:C,2,0)</f>
        <v>VENTA DE SERVICIO</v>
      </c>
      <c r="O607" s="2" t="s">
        <v>78</v>
      </c>
    </row>
    <row r="608" customFormat="false" ht="13.8" hidden="false" customHeight="false" outlineLevel="0" collapsed="false">
      <c r="A608" s="8" t="n">
        <v>45194</v>
      </c>
      <c r="B608" s="9" t="n">
        <f aca="false">DAY(A608)</f>
        <v>25</v>
      </c>
      <c r="C608" s="9" t="n">
        <f aca="false">MONTH(A608)</f>
        <v>9</v>
      </c>
      <c r="D608" s="9" t="n">
        <f aca="false">YEAR(A608)</f>
        <v>2023</v>
      </c>
      <c r="E608" s="9" t="n">
        <f aca="false">WEEKDAY(A608,2)</f>
        <v>1</v>
      </c>
      <c r="F608" s="10" t="n">
        <f aca="false">WEEKNUM(A608,2) - WEEKNUM(DATE(YEAR(A608),MONTH(A608),1),2) + 1</f>
        <v>5</v>
      </c>
      <c r="G608" s="10"/>
      <c r="H608" s="11" t="n">
        <v>5600</v>
      </c>
      <c r="I608" s="12" t="s">
        <v>20</v>
      </c>
      <c r="J608" s="22" t="s">
        <v>58</v>
      </c>
      <c r="K608" s="12"/>
      <c r="L608" s="9" t="n">
        <f aca="false">L607+H608</f>
        <v>65851.93</v>
      </c>
      <c r="M608" s="10" t="str">
        <f aca="false">VLOOKUP(J608,RECATALOGANDO!A:C,2,0)</f>
        <v>SERVICIO DE LABORATORIO</v>
      </c>
      <c r="N608" s="12" t="str">
        <f aca="false">VLOOKUP(M608,RECATALOGANDO!B:C,2,0)</f>
        <v>VENTA DE SERVICIO</v>
      </c>
      <c r="O608" s="2" t="s">
        <v>78</v>
      </c>
    </row>
    <row r="609" customFormat="false" ht="13.8" hidden="false" customHeight="false" outlineLevel="0" collapsed="false">
      <c r="A609" s="8" t="n">
        <v>45195</v>
      </c>
      <c r="B609" s="9" t="n">
        <f aca="false">DAY(A609)</f>
        <v>26</v>
      </c>
      <c r="C609" s="9" t="n">
        <f aca="false">MONTH(A609)</f>
        <v>9</v>
      </c>
      <c r="D609" s="9" t="n">
        <f aca="false">YEAR(A609)</f>
        <v>2023</v>
      </c>
      <c r="E609" s="9" t="n">
        <f aca="false">WEEKDAY(A609,2)</f>
        <v>2</v>
      </c>
      <c r="F609" s="10" t="n">
        <f aca="false">WEEKNUM(A609,2) - WEEKNUM(DATE(YEAR(A609),MONTH(A609),1),2) + 1</f>
        <v>5</v>
      </c>
      <c r="G609" s="10"/>
      <c r="H609" s="11" t="n">
        <v>980</v>
      </c>
      <c r="I609" s="12" t="s">
        <v>20</v>
      </c>
      <c r="J609" s="12" t="s">
        <v>62</v>
      </c>
      <c r="K609" s="12"/>
      <c r="L609" s="9" t="n">
        <f aca="false">L608+H609</f>
        <v>66831.93</v>
      </c>
      <c r="M609" s="10" t="str">
        <f aca="false">VLOOKUP(J609,RECATALOGANDO!A:C,2,0)</f>
        <v>SERVICIO DE IMAGEN</v>
      </c>
      <c r="N609" s="12" t="str">
        <f aca="false">VLOOKUP(M609,RECATALOGANDO!B:C,2,0)</f>
        <v>VENTA DE SERVICIO</v>
      </c>
      <c r="O609" s="2" t="s">
        <v>78</v>
      </c>
    </row>
    <row r="610" customFormat="false" ht="13.8" hidden="false" customHeight="false" outlineLevel="0" collapsed="false">
      <c r="A610" s="8" t="n">
        <v>45197</v>
      </c>
      <c r="B610" s="9" t="n">
        <f aca="false">DAY(A610)</f>
        <v>28</v>
      </c>
      <c r="C610" s="9" t="n">
        <f aca="false">MONTH(A610)</f>
        <v>9</v>
      </c>
      <c r="D610" s="9" t="n">
        <f aca="false">YEAR(A610)</f>
        <v>2023</v>
      </c>
      <c r="E610" s="9" t="n">
        <f aca="false">WEEKDAY(A610,2)</f>
        <v>4</v>
      </c>
      <c r="F610" s="10" t="n">
        <f aca="false">WEEKNUM(A610,2) - WEEKNUM(DATE(YEAR(A610),MONTH(A610),1),2) + 1</f>
        <v>5</v>
      </c>
      <c r="G610" s="10"/>
      <c r="H610" s="11" t="n">
        <v>120</v>
      </c>
      <c r="I610" s="12" t="s">
        <v>20</v>
      </c>
      <c r="J610" s="22" t="s">
        <v>45</v>
      </c>
      <c r="K610" s="12"/>
      <c r="L610" s="9" t="n">
        <f aca="false">L609+H610</f>
        <v>66951.93</v>
      </c>
      <c r="M610" s="10" t="str">
        <f aca="false">VLOOKUP(J610,RECATALOGANDO!A:C,2,0)</f>
        <v>VENTA DE MEDICAMENTO</v>
      </c>
      <c r="N610" s="12" t="str">
        <f aca="false">VLOOKUP(M610,RECATALOGANDO!B:C,2,0)</f>
        <v>VENTA DE PRODUCTO</v>
      </c>
      <c r="O610" s="2" t="s">
        <v>78</v>
      </c>
    </row>
    <row r="611" customFormat="false" ht="13.8" hidden="false" customHeight="false" outlineLevel="0" collapsed="false">
      <c r="A611" s="8" t="n">
        <v>45198</v>
      </c>
      <c r="B611" s="9" t="n">
        <f aca="false">DAY(A611)</f>
        <v>29</v>
      </c>
      <c r="C611" s="9" t="n">
        <f aca="false">MONTH(A611)</f>
        <v>9</v>
      </c>
      <c r="D611" s="9" t="n">
        <f aca="false">YEAR(A611)</f>
        <v>2023</v>
      </c>
      <c r="E611" s="9" t="n">
        <f aca="false">WEEKDAY(A611,2)</f>
        <v>5</v>
      </c>
      <c r="F611" s="10" t="n">
        <f aca="false">WEEKNUM(A611,2) - WEEKNUM(DATE(YEAR(A611),MONTH(A611),1),2) + 1</f>
        <v>5</v>
      </c>
      <c r="G611" s="10" t="n">
        <v>2</v>
      </c>
      <c r="H611" s="11" t="n">
        <v>360</v>
      </c>
      <c r="I611" s="12" t="s">
        <v>20</v>
      </c>
      <c r="J611" s="22" t="s">
        <v>53</v>
      </c>
      <c r="K611" s="12"/>
      <c r="L611" s="9" t="n">
        <f aca="false">L610+H611</f>
        <v>67311.93</v>
      </c>
      <c r="M611" s="10" t="str">
        <f aca="false">VLOOKUP(J611,RECATALOGANDO!A:C,2,0)</f>
        <v>SERVICIO DE GROOMING</v>
      </c>
      <c r="N611" s="12" t="str">
        <f aca="false">VLOOKUP(M611,RECATALOGANDO!B:C,2,0)</f>
        <v>VENTA DE SERVICIO</v>
      </c>
      <c r="O611" s="2" t="s">
        <v>78</v>
      </c>
    </row>
    <row r="612" customFormat="false" ht="13.8" hidden="false" customHeight="false" outlineLevel="0" collapsed="false">
      <c r="A612" s="8" t="n">
        <v>45198</v>
      </c>
      <c r="B612" s="9" t="n">
        <f aca="false">DAY(A612)</f>
        <v>29</v>
      </c>
      <c r="C612" s="9" t="n">
        <f aca="false">MONTH(A612)</f>
        <v>9</v>
      </c>
      <c r="D612" s="9" t="n">
        <f aca="false">YEAR(A612)</f>
        <v>2023</v>
      </c>
      <c r="E612" s="9" t="n">
        <f aca="false">WEEKDAY(A612,2)</f>
        <v>5</v>
      </c>
      <c r="F612" s="10" t="n">
        <f aca="false">WEEKNUM(A612,2) - WEEKNUM(DATE(YEAR(A612),MONTH(A612),1),2) + 1</f>
        <v>5</v>
      </c>
      <c r="G612" s="10" t="n">
        <v>2</v>
      </c>
      <c r="H612" s="11" t="n">
        <v>3028.99</v>
      </c>
      <c r="I612" s="12" t="s">
        <v>15</v>
      </c>
      <c r="J612" s="22" t="s">
        <v>58</v>
      </c>
      <c r="K612" s="12"/>
      <c r="L612" s="9" t="n">
        <f aca="false">L611+H612</f>
        <v>70340.92</v>
      </c>
      <c r="M612" s="10" t="str">
        <f aca="false">VLOOKUP(J612,RECATALOGANDO!A:C,2,0)</f>
        <v>SERVICIO DE LABORATORIO</v>
      </c>
      <c r="N612" s="12" t="str">
        <f aca="false">VLOOKUP(M612,RECATALOGANDO!B:C,2,0)</f>
        <v>VENTA DE SERVICIO</v>
      </c>
      <c r="O612" s="2" t="s">
        <v>78</v>
      </c>
    </row>
    <row r="613" customFormat="false" ht="13.8" hidden="false" customHeight="false" outlineLevel="0" collapsed="false">
      <c r="A613" s="8" t="n">
        <v>45199</v>
      </c>
      <c r="B613" s="9" t="n">
        <f aca="false">DAY(A613)</f>
        <v>30</v>
      </c>
      <c r="C613" s="9" t="n">
        <f aca="false">MONTH(A613)</f>
        <v>9</v>
      </c>
      <c r="D613" s="9" t="n">
        <f aca="false">YEAR(A613)</f>
        <v>2023</v>
      </c>
      <c r="E613" s="9" t="n">
        <f aca="false">WEEKDAY(A613,2)</f>
        <v>6</v>
      </c>
      <c r="F613" s="10" t="n">
        <f aca="false">WEEKNUM(A613,2) - WEEKNUM(DATE(YEAR(A613),MONTH(A613),1),2) + 1</f>
        <v>5</v>
      </c>
      <c r="G613" s="10"/>
      <c r="H613" s="11" t="n">
        <v>1000</v>
      </c>
      <c r="I613" s="12" t="s">
        <v>15</v>
      </c>
      <c r="J613" s="22" t="s">
        <v>59</v>
      </c>
      <c r="K613" s="12"/>
      <c r="L613" s="9" t="n">
        <f aca="false">L612+H613</f>
        <v>71340.92</v>
      </c>
      <c r="M613" s="10" t="str">
        <f aca="false">VLOOKUP(J613,RECATALOGANDO!A:C,2,0)</f>
        <v>SERVICIO DE PENSION</v>
      </c>
      <c r="N613" s="12" t="str">
        <f aca="false">VLOOKUP(M613,RECATALOGANDO!B:C,2,0)</f>
        <v>VENTA DE SERVICIO</v>
      </c>
      <c r="O613" s="2" t="s">
        <v>78</v>
      </c>
    </row>
    <row r="614" customFormat="false" ht="13.8" hidden="false" customHeight="false" outlineLevel="0" collapsed="false">
      <c r="A614" s="8" t="n">
        <v>45200</v>
      </c>
      <c r="B614" s="9" t="n">
        <f aca="false">DAY(A614)</f>
        <v>1</v>
      </c>
      <c r="C614" s="9" t="n">
        <f aca="false">MONTH(A614)</f>
        <v>10</v>
      </c>
      <c r="D614" s="9" t="n">
        <f aca="false">YEAR(A614)</f>
        <v>2023</v>
      </c>
      <c r="E614" s="9" t="n">
        <f aca="false">WEEKDAY(A614,2)</f>
        <v>7</v>
      </c>
      <c r="F614" s="10" t="n">
        <f aca="false">WEEKNUM(A614,2) - WEEKNUM(DATE(YEAR(A614),MONTH(A614),1),2) + 1</f>
        <v>1</v>
      </c>
      <c r="G614" s="10"/>
      <c r="H614" s="11" t="n">
        <v>1592</v>
      </c>
      <c r="I614" s="12" t="s">
        <v>15</v>
      </c>
      <c r="J614" s="22" t="s">
        <v>58</v>
      </c>
      <c r="K614" s="12"/>
      <c r="L614" s="9" t="n">
        <f aca="false">H614</f>
        <v>1592</v>
      </c>
      <c r="M614" s="10" t="str">
        <f aca="false">VLOOKUP(J614,RECATALOGANDO!A:C,2,0)</f>
        <v>SERVICIO DE LABORATORIO</v>
      </c>
      <c r="N614" s="12" t="str">
        <f aca="false">VLOOKUP(M614,RECATALOGANDO!B:C,2,0)</f>
        <v>VENTA DE SERVICIO</v>
      </c>
      <c r="O614" s="2" t="s">
        <v>78</v>
      </c>
    </row>
    <row r="615" customFormat="false" ht="13.8" hidden="false" customHeight="false" outlineLevel="0" collapsed="false">
      <c r="A615" s="8" t="n">
        <v>45201</v>
      </c>
      <c r="B615" s="9" t="n">
        <f aca="false">DAY(A615)</f>
        <v>2</v>
      </c>
      <c r="C615" s="9" t="n">
        <f aca="false">MONTH(A615)</f>
        <v>10</v>
      </c>
      <c r="D615" s="9" t="n">
        <f aca="false">YEAR(A615)</f>
        <v>2023</v>
      </c>
      <c r="E615" s="9" t="n">
        <f aca="false">WEEKDAY(A615,2)</f>
        <v>1</v>
      </c>
      <c r="F615" s="10" t="n">
        <f aca="false">WEEKNUM(A615,2) - WEEKNUM(DATE(YEAR(A615),MONTH(A615),1),2) + 1</f>
        <v>2</v>
      </c>
      <c r="G615" s="10"/>
      <c r="H615" s="11" t="n">
        <v>640</v>
      </c>
      <c r="I615" s="12" t="s">
        <v>20</v>
      </c>
      <c r="J615" s="22" t="s">
        <v>45</v>
      </c>
      <c r="K615" s="12"/>
      <c r="L615" s="9" t="n">
        <f aca="false">L614+H615</f>
        <v>2232</v>
      </c>
      <c r="M615" s="10" t="str">
        <f aca="false">VLOOKUP(J615,RECATALOGANDO!A:C,2,0)</f>
        <v>VENTA DE MEDICAMENTO</v>
      </c>
      <c r="N615" s="12" t="str">
        <f aca="false">VLOOKUP(M615,RECATALOGANDO!B:C,2,0)</f>
        <v>VENTA DE PRODUCTO</v>
      </c>
      <c r="O615" s="2" t="s">
        <v>78</v>
      </c>
    </row>
    <row r="616" customFormat="false" ht="13.8" hidden="false" customHeight="false" outlineLevel="0" collapsed="false">
      <c r="A616" s="8" t="n">
        <v>45201</v>
      </c>
      <c r="B616" s="9" t="n">
        <f aca="false">DAY(A616)</f>
        <v>2</v>
      </c>
      <c r="C616" s="9" t="n">
        <f aca="false">MONTH(A616)</f>
        <v>10</v>
      </c>
      <c r="D616" s="9" t="n">
        <f aca="false">YEAR(A616)</f>
        <v>2023</v>
      </c>
      <c r="E616" s="9" t="n">
        <f aca="false">WEEKDAY(A616,2)</f>
        <v>1</v>
      </c>
      <c r="F616" s="10" t="n">
        <f aca="false">WEEKNUM(A616,2) - WEEKNUM(DATE(YEAR(A616),MONTH(A616),1),2) + 1</f>
        <v>2</v>
      </c>
      <c r="G616" s="10"/>
      <c r="H616" s="11" t="n">
        <v>1400</v>
      </c>
      <c r="I616" s="12" t="s">
        <v>20</v>
      </c>
      <c r="J616" s="22" t="s">
        <v>58</v>
      </c>
      <c r="K616" s="12"/>
      <c r="L616" s="9" t="n">
        <f aca="false">L615+H616</f>
        <v>3632</v>
      </c>
      <c r="M616" s="10" t="str">
        <f aca="false">VLOOKUP(J616,RECATALOGANDO!A:C,2,0)</f>
        <v>SERVICIO DE LABORATORIO</v>
      </c>
      <c r="N616" s="12" t="str">
        <f aca="false">VLOOKUP(M616,RECATALOGANDO!B:C,2,0)</f>
        <v>VENTA DE SERVICIO</v>
      </c>
      <c r="O616" s="2" t="s">
        <v>78</v>
      </c>
    </row>
    <row r="617" customFormat="false" ht="13.8" hidden="false" customHeight="false" outlineLevel="0" collapsed="false">
      <c r="A617" s="8" t="n">
        <v>45202</v>
      </c>
      <c r="B617" s="9" t="n">
        <f aca="false">DAY(A617)</f>
        <v>3</v>
      </c>
      <c r="C617" s="9" t="n">
        <f aca="false">MONTH(A617)</f>
        <v>10</v>
      </c>
      <c r="D617" s="9" t="n">
        <f aca="false">YEAR(A617)</f>
        <v>2023</v>
      </c>
      <c r="E617" s="9" t="n">
        <f aca="false">WEEKDAY(A617,2)</f>
        <v>2</v>
      </c>
      <c r="F617" s="10" t="n">
        <f aca="false">WEEKNUM(A617,2) - WEEKNUM(DATE(YEAR(A617),MONTH(A617),1),2) + 1</f>
        <v>2</v>
      </c>
      <c r="G617" s="10"/>
      <c r="H617" s="11" t="n">
        <v>1530</v>
      </c>
      <c r="I617" s="12" t="s">
        <v>20</v>
      </c>
      <c r="J617" s="22" t="s">
        <v>51</v>
      </c>
      <c r="K617" s="12"/>
      <c r="L617" s="9" t="n">
        <f aca="false">L616+H617</f>
        <v>5162</v>
      </c>
      <c r="M617" s="10" t="str">
        <f aca="false">VLOOKUP(J617,RECATALOGANDO!A:C,2,0)</f>
        <v>VENTA DE ALIMENTO</v>
      </c>
      <c r="N617" s="12" t="str">
        <f aca="false">VLOOKUP(M617,RECATALOGANDO!B:C,2,0)</f>
        <v>VENTA DE PRODUCTO</v>
      </c>
      <c r="O617" s="2" t="s">
        <v>78</v>
      </c>
    </row>
    <row r="618" customFormat="false" ht="13.8" hidden="false" customHeight="false" outlineLevel="0" collapsed="false">
      <c r="A618" s="8" t="n">
        <v>45202</v>
      </c>
      <c r="B618" s="9" t="n">
        <f aca="false">DAY(A618)</f>
        <v>3</v>
      </c>
      <c r="C618" s="9" t="n">
        <f aca="false">MONTH(A618)</f>
        <v>10</v>
      </c>
      <c r="D618" s="9" t="n">
        <f aca="false">YEAR(A618)</f>
        <v>2023</v>
      </c>
      <c r="E618" s="9" t="n">
        <f aca="false">WEEKDAY(A618,2)</f>
        <v>2</v>
      </c>
      <c r="F618" s="10" t="n">
        <f aca="false">WEEKNUM(A618,2) - WEEKNUM(DATE(YEAR(A618),MONTH(A618),1),2) + 1</f>
        <v>2</v>
      </c>
      <c r="G618" s="10"/>
      <c r="H618" s="11" t="n">
        <v>1046</v>
      </c>
      <c r="I618" s="12" t="s">
        <v>15</v>
      </c>
      <c r="J618" s="22" t="s">
        <v>44</v>
      </c>
      <c r="K618" s="12"/>
      <c r="L618" s="9" t="n">
        <f aca="false">L617+H618</f>
        <v>6208</v>
      </c>
      <c r="M618" s="10" t="str">
        <f aca="false">VLOOKUP(J618,RECATALOGANDO!A:C,2,0)</f>
        <v>HONORARIOS MEDICOS</v>
      </c>
      <c r="N618" s="12" t="str">
        <f aca="false">VLOOKUP(M618,RECATALOGANDO!B:C,2,0)</f>
        <v>VENTA DE SERVICIO</v>
      </c>
      <c r="O618" s="2" t="s">
        <v>78</v>
      </c>
    </row>
    <row r="619" customFormat="false" ht="13.8" hidden="false" customHeight="false" outlineLevel="0" collapsed="false">
      <c r="A619" s="8" t="n">
        <v>45203</v>
      </c>
      <c r="B619" s="9" t="n">
        <f aca="false">DAY(A619)</f>
        <v>4</v>
      </c>
      <c r="C619" s="9" t="n">
        <f aca="false">MONTH(A619)</f>
        <v>10</v>
      </c>
      <c r="D619" s="9" t="n">
        <f aca="false">YEAR(A619)</f>
        <v>2023</v>
      </c>
      <c r="E619" s="9" t="n">
        <f aca="false">WEEKDAY(A619,2)</f>
        <v>3</v>
      </c>
      <c r="F619" s="10" t="n">
        <f aca="false">WEEKNUM(A619,2) - WEEKNUM(DATE(YEAR(A619),MONTH(A619),1),2) + 1</f>
        <v>2</v>
      </c>
      <c r="G619" s="10"/>
      <c r="H619" s="11" t="n">
        <v>350</v>
      </c>
      <c r="I619" s="12" t="s">
        <v>20</v>
      </c>
      <c r="J619" s="22" t="s">
        <v>45</v>
      </c>
      <c r="K619" s="12"/>
      <c r="L619" s="9" t="n">
        <f aca="false">L618+H619</f>
        <v>6558</v>
      </c>
      <c r="M619" s="10" t="str">
        <f aca="false">VLOOKUP(J619,RECATALOGANDO!A:C,2,0)</f>
        <v>VENTA DE MEDICAMENTO</v>
      </c>
      <c r="N619" s="12" t="str">
        <f aca="false">VLOOKUP(M619,RECATALOGANDO!B:C,2,0)</f>
        <v>VENTA DE PRODUCTO</v>
      </c>
      <c r="O619" s="2" t="s">
        <v>78</v>
      </c>
    </row>
    <row r="620" customFormat="false" ht="13.8" hidden="false" customHeight="false" outlineLevel="0" collapsed="false">
      <c r="A620" s="8" t="n">
        <v>45203</v>
      </c>
      <c r="B620" s="9" t="n">
        <f aca="false">DAY(A620)</f>
        <v>4</v>
      </c>
      <c r="C620" s="9" t="n">
        <f aca="false">MONTH(A620)</f>
        <v>10</v>
      </c>
      <c r="D620" s="9" t="n">
        <f aca="false">YEAR(A620)</f>
        <v>2023</v>
      </c>
      <c r="E620" s="9" t="n">
        <f aca="false">WEEKDAY(A620,2)</f>
        <v>3</v>
      </c>
      <c r="F620" s="10" t="n">
        <f aca="false">WEEKNUM(A620,2) - WEEKNUM(DATE(YEAR(A620),MONTH(A620),1),2) + 1</f>
        <v>2</v>
      </c>
      <c r="G620" s="10"/>
      <c r="H620" s="11" t="n">
        <v>730</v>
      </c>
      <c r="I620" s="12" t="s">
        <v>20</v>
      </c>
      <c r="J620" s="22" t="s">
        <v>51</v>
      </c>
      <c r="K620" s="12"/>
      <c r="L620" s="9" t="n">
        <f aca="false">L619+H620</f>
        <v>7288</v>
      </c>
      <c r="M620" s="10" t="str">
        <f aca="false">VLOOKUP(J620,RECATALOGANDO!A:C,2,0)</f>
        <v>VENTA DE ALIMENTO</v>
      </c>
      <c r="N620" s="12" t="str">
        <f aca="false">VLOOKUP(M620,RECATALOGANDO!B:C,2,0)</f>
        <v>VENTA DE PRODUCTO</v>
      </c>
      <c r="O620" s="2" t="s">
        <v>78</v>
      </c>
    </row>
    <row r="621" customFormat="false" ht="13.8" hidden="false" customHeight="false" outlineLevel="0" collapsed="false">
      <c r="A621" s="8" t="n">
        <v>45204</v>
      </c>
      <c r="B621" s="9" t="n">
        <f aca="false">DAY(A621)</f>
        <v>5</v>
      </c>
      <c r="C621" s="9" t="n">
        <f aca="false">MONTH(A621)</f>
        <v>10</v>
      </c>
      <c r="D621" s="9" t="n">
        <f aca="false">YEAR(A621)</f>
        <v>2023</v>
      </c>
      <c r="E621" s="9" t="n">
        <f aca="false">WEEKDAY(A621,2)</f>
        <v>4</v>
      </c>
      <c r="F621" s="10" t="n">
        <f aca="false">WEEKNUM(A621,2) - WEEKNUM(DATE(YEAR(A621),MONTH(A621),1),2) + 1</f>
        <v>2</v>
      </c>
      <c r="G621" s="10"/>
      <c r="H621" s="11" t="n">
        <v>1077</v>
      </c>
      <c r="I621" s="12" t="s">
        <v>20</v>
      </c>
      <c r="J621" s="22" t="s">
        <v>45</v>
      </c>
      <c r="K621" s="12"/>
      <c r="L621" s="9" t="n">
        <f aca="false">L620+H621</f>
        <v>8365</v>
      </c>
      <c r="M621" s="10" t="str">
        <f aca="false">VLOOKUP(J621,RECATALOGANDO!A:C,2,0)</f>
        <v>VENTA DE MEDICAMENTO</v>
      </c>
      <c r="N621" s="12" t="str">
        <f aca="false">VLOOKUP(M621,RECATALOGANDO!B:C,2,0)</f>
        <v>VENTA DE PRODUCTO</v>
      </c>
      <c r="O621" s="2" t="s">
        <v>78</v>
      </c>
    </row>
    <row r="622" customFormat="false" ht="13.8" hidden="false" customHeight="false" outlineLevel="0" collapsed="false">
      <c r="A622" s="8" t="n">
        <v>45205</v>
      </c>
      <c r="B622" s="9" t="n">
        <f aca="false">DAY(A622)</f>
        <v>6</v>
      </c>
      <c r="C622" s="9" t="n">
        <f aca="false">MONTH(A622)</f>
        <v>10</v>
      </c>
      <c r="D622" s="9" t="n">
        <f aca="false">YEAR(A622)</f>
        <v>2023</v>
      </c>
      <c r="E622" s="9" t="n">
        <f aca="false">WEEKDAY(A622,2)</f>
        <v>5</v>
      </c>
      <c r="F622" s="10" t="n">
        <f aca="false">WEEKNUM(A622,2) - WEEKNUM(DATE(YEAR(A622),MONTH(A622),1),2) + 1</f>
        <v>2</v>
      </c>
      <c r="G622" s="10"/>
      <c r="H622" s="11" t="n">
        <v>300</v>
      </c>
      <c r="I622" s="12" t="s">
        <v>20</v>
      </c>
      <c r="J622" s="12" t="s">
        <v>59</v>
      </c>
      <c r="K622" s="12"/>
      <c r="L622" s="9" t="n">
        <f aca="false">L621+H622</f>
        <v>8665</v>
      </c>
      <c r="M622" s="10" t="str">
        <f aca="false">VLOOKUP(J622,RECATALOGANDO!A:C,2,0)</f>
        <v>SERVICIO DE PENSION</v>
      </c>
      <c r="N622" s="12" t="str">
        <f aca="false">VLOOKUP(M622,RECATALOGANDO!B:C,2,0)</f>
        <v>VENTA DE SERVICIO</v>
      </c>
      <c r="O622" s="2" t="s">
        <v>78</v>
      </c>
    </row>
    <row r="623" customFormat="false" ht="13.8" hidden="false" customHeight="false" outlineLevel="0" collapsed="false">
      <c r="A623" s="8" t="n">
        <v>45206</v>
      </c>
      <c r="B623" s="9" t="n">
        <f aca="false">DAY(A623)</f>
        <v>7</v>
      </c>
      <c r="C623" s="9" t="n">
        <f aca="false">MONTH(A623)</f>
        <v>10</v>
      </c>
      <c r="D623" s="9" t="n">
        <f aca="false">YEAR(A623)</f>
        <v>2023</v>
      </c>
      <c r="E623" s="9" t="n">
        <f aca="false">WEEKDAY(A623,2)</f>
        <v>6</v>
      </c>
      <c r="F623" s="10" t="n">
        <f aca="false">WEEKNUM(A623,2) - WEEKNUM(DATE(YEAR(A623),MONTH(A623),1),2) + 1</f>
        <v>2</v>
      </c>
      <c r="G623" s="10"/>
      <c r="H623" s="11" t="n">
        <v>684</v>
      </c>
      <c r="I623" s="12" t="s">
        <v>15</v>
      </c>
      <c r="J623" s="22" t="s">
        <v>45</v>
      </c>
      <c r="K623" s="12"/>
      <c r="L623" s="9" t="n">
        <f aca="false">L622+H623</f>
        <v>9349</v>
      </c>
      <c r="M623" s="10" t="str">
        <f aca="false">VLOOKUP(J623,RECATALOGANDO!A:C,2,0)</f>
        <v>VENTA DE MEDICAMENTO</v>
      </c>
      <c r="N623" s="12" t="str">
        <f aca="false">VLOOKUP(M623,RECATALOGANDO!B:C,2,0)</f>
        <v>VENTA DE PRODUCTO</v>
      </c>
      <c r="O623" s="2" t="s">
        <v>78</v>
      </c>
    </row>
    <row r="624" customFormat="false" ht="13.8" hidden="false" customHeight="false" outlineLevel="0" collapsed="false">
      <c r="A624" s="8" t="n">
        <v>45207</v>
      </c>
      <c r="B624" s="9" t="n">
        <f aca="false">DAY(A624)</f>
        <v>8</v>
      </c>
      <c r="C624" s="9" t="n">
        <f aca="false">MONTH(A624)</f>
        <v>10</v>
      </c>
      <c r="D624" s="9" t="n">
        <f aca="false">YEAR(A624)</f>
        <v>2023</v>
      </c>
      <c r="E624" s="9" t="n">
        <f aca="false">WEEKDAY(A624,2)</f>
        <v>7</v>
      </c>
      <c r="F624" s="10" t="n">
        <f aca="false">WEEKNUM(A624,2) - WEEKNUM(DATE(YEAR(A624),MONTH(A624),1),2) + 1</f>
        <v>2</v>
      </c>
      <c r="G624" s="10"/>
      <c r="H624" s="11" t="n">
        <v>780</v>
      </c>
      <c r="I624" s="12" t="s">
        <v>15</v>
      </c>
      <c r="J624" s="22" t="s">
        <v>51</v>
      </c>
      <c r="K624" s="12"/>
      <c r="L624" s="9" t="n">
        <f aca="false">L623+H624</f>
        <v>10129</v>
      </c>
      <c r="M624" s="10" t="str">
        <f aca="false">VLOOKUP(J624,RECATALOGANDO!A:C,2,0)</f>
        <v>VENTA DE ALIMENTO</v>
      </c>
      <c r="N624" s="12" t="str">
        <f aca="false">VLOOKUP(M624,RECATALOGANDO!B:C,2,0)</f>
        <v>VENTA DE PRODUCTO</v>
      </c>
      <c r="O624" s="2" t="s">
        <v>78</v>
      </c>
    </row>
    <row r="625" customFormat="false" ht="13.8" hidden="false" customHeight="false" outlineLevel="0" collapsed="false">
      <c r="A625" s="8" t="n">
        <v>45208</v>
      </c>
      <c r="B625" s="9" t="n">
        <f aca="false">DAY(A625)</f>
        <v>9</v>
      </c>
      <c r="C625" s="9" t="n">
        <f aca="false">MONTH(A625)</f>
        <v>10</v>
      </c>
      <c r="D625" s="9" t="n">
        <f aca="false">YEAR(A625)</f>
        <v>2023</v>
      </c>
      <c r="E625" s="9" t="n">
        <f aca="false">WEEKDAY(A625,2)</f>
        <v>1</v>
      </c>
      <c r="F625" s="10" t="n">
        <f aca="false">WEEKNUM(A625,2) - WEEKNUM(DATE(YEAR(A625),MONTH(A625),1),2) + 1</f>
        <v>3</v>
      </c>
      <c r="G625" s="10"/>
      <c r="H625" s="11" t="n">
        <v>2880</v>
      </c>
      <c r="I625" s="12" t="s">
        <v>20</v>
      </c>
      <c r="J625" s="22" t="s">
        <v>45</v>
      </c>
      <c r="K625" s="12"/>
      <c r="L625" s="9" t="n">
        <f aca="false">L624+H625</f>
        <v>13009</v>
      </c>
      <c r="M625" s="10" t="str">
        <f aca="false">VLOOKUP(J625,RECATALOGANDO!A:C,2,0)</f>
        <v>VENTA DE MEDICAMENTO</v>
      </c>
      <c r="N625" s="12" t="str">
        <f aca="false">VLOOKUP(M625,RECATALOGANDO!B:C,2,0)</f>
        <v>VENTA DE PRODUCTO</v>
      </c>
      <c r="O625" s="2" t="s">
        <v>78</v>
      </c>
    </row>
    <row r="626" customFormat="false" ht="13.8" hidden="false" customHeight="false" outlineLevel="0" collapsed="false">
      <c r="A626" s="8" t="n">
        <v>45209</v>
      </c>
      <c r="B626" s="9" t="n">
        <f aca="false">DAY(A626)</f>
        <v>10</v>
      </c>
      <c r="C626" s="9" t="n">
        <f aca="false">MONTH(A626)</f>
        <v>10</v>
      </c>
      <c r="D626" s="9" t="n">
        <f aca="false">YEAR(A626)</f>
        <v>2023</v>
      </c>
      <c r="E626" s="9" t="n">
        <f aca="false">WEEKDAY(A626,2)</f>
        <v>2</v>
      </c>
      <c r="F626" s="10" t="n">
        <f aca="false">WEEKNUM(A626,2) - WEEKNUM(DATE(YEAR(A626),MONTH(A626),1),2) + 1</f>
        <v>3</v>
      </c>
      <c r="G626" s="10"/>
      <c r="H626" s="11" t="n">
        <v>1179.59</v>
      </c>
      <c r="I626" s="12" t="s">
        <v>15</v>
      </c>
      <c r="J626" s="12" t="s">
        <v>53</v>
      </c>
      <c r="K626" s="12"/>
      <c r="L626" s="9" t="n">
        <f aca="false">L625+H626</f>
        <v>14188.59</v>
      </c>
      <c r="M626" s="10" t="str">
        <f aca="false">VLOOKUP(J626,RECATALOGANDO!A:C,2,0)</f>
        <v>SERVICIO DE GROOMING</v>
      </c>
      <c r="N626" s="12" t="str">
        <f aca="false">VLOOKUP(M626,RECATALOGANDO!B:C,2,0)</f>
        <v>VENTA DE SERVICIO</v>
      </c>
      <c r="O626" s="2" t="s">
        <v>78</v>
      </c>
    </row>
    <row r="627" customFormat="false" ht="13.8" hidden="false" customHeight="false" outlineLevel="0" collapsed="false">
      <c r="A627" s="8" t="n">
        <v>45209</v>
      </c>
      <c r="B627" s="9" t="n">
        <f aca="false">DAY(A627)</f>
        <v>10</v>
      </c>
      <c r="C627" s="9" t="n">
        <f aca="false">MONTH(A627)</f>
        <v>10</v>
      </c>
      <c r="D627" s="9" t="n">
        <f aca="false">YEAR(A627)</f>
        <v>2023</v>
      </c>
      <c r="E627" s="9" t="n">
        <f aca="false">WEEKDAY(A627,2)</f>
        <v>2</v>
      </c>
      <c r="F627" s="10" t="n">
        <f aca="false">WEEKNUM(A627,2) - WEEKNUM(DATE(YEAR(A627),MONTH(A627),1),2) + 1</f>
        <v>3</v>
      </c>
      <c r="G627" s="10"/>
      <c r="H627" s="11" t="n">
        <v>7000</v>
      </c>
      <c r="I627" s="12" t="s">
        <v>20</v>
      </c>
      <c r="J627" s="22" t="s">
        <v>41</v>
      </c>
      <c r="K627" s="12"/>
      <c r="L627" s="9" t="n">
        <f aca="false">L626+H627</f>
        <v>21188.59</v>
      </c>
      <c r="M627" s="10" t="str">
        <f aca="false">VLOOKUP(J627,RECATALOGANDO!A:C,2,0)</f>
        <v>HONORARIOS QUIRURGICOS</v>
      </c>
      <c r="N627" s="12" t="str">
        <f aca="false">VLOOKUP(M627,RECATALOGANDO!B:C,2,0)</f>
        <v>VENTA DE SERVICIO</v>
      </c>
      <c r="O627" s="2" t="s">
        <v>78</v>
      </c>
    </row>
    <row r="628" customFormat="false" ht="13.8" hidden="false" customHeight="false" outlineLevel="0" collapsed="false">
      <c r="A628" s="8" t="n">
        <v>45210</v>
      </c>
      <c r="B628" s="9" t="n">
        <f aca="false">DAY(A628)</f>
        <v>11</v>
      </c>
      <c r="C628" s="9" t="n">
        <f aca="false">MONTH(A628)</f>
        <v>10</v>
      </c>
      <c r="D628" s="9" t="n">
        <f aca="false">YEAR(A628)</f>
        <v>2023</v>
      </c>
      <c r="E628" s="9" t="n">
        <f aca="false">WEEKDAY(A628,2)</f>
        <v>3</v>
      </c>
      <c r="F628" s="10" t="n">
        <f aca="false">WEEKNUM(A628,2) - WEEKNUM(DATE(YEAR(A628),MONTH(A628),1),2) + 1</f>
        <v>3</v>
      </c>
      <c r="G628" s="10"/>
      <c r="H628" s="11" t="n">
        <v>160</v>
      </c>
      <c r="I628" s="12" t="s">
        <v>20</v>
      </c>
      <c r="J628" s="12" t="s">
        <v>53</v>
      </c>
      <c r="K628" s="12"/>
      <c r="L628" s="9" t="n">
        <f aca="false">L627+H628</f>
        <v>21348.59</v>
      </c>
      <c r="M628" s="10" t="str">
        <f aca="false">VLOOKUP(J628,RECATALOGANDO!A:C,2,0)</f>
        <v>SERVICIO DE GROOMING</v>
      </c>
      <c r="N628" s="12" t="str">
        <f aca="false">VLOOKUP(M628,RECATALOGANDO!B:C,2,0)</f>
        <v>VENTA DE SERVICIO</v>
      </c>
      <c r="O628" s="2" t="s">
        <v>78</v>
      </c>
    </row>
    <row r="629" customFormat="false" ht="13.8" hidden="false" customHeight="false" outlineLevel="0" collapsed="false">
      <c r="A629" s="8" t="n">
        <v>45211</v>
      </c>
      <c r="B629" s="9" t="n">
        <f aca="false">DAY(A629)</f>
        <v>12</v>
      </c>
      <c r="C629" s="9" t="n">
        <f aca="false">MONTH(A629)</f>
        <v>10</v>
      </c>
      <c r="D629" s="9" t="n">
        <f aca="false">YEAR(A629)</f>
        <v>2023</v>
      </c>
      <c r="E629" s="9" t="n">
        <f aca="false">WEEKDAY(A629,2)</f>
        <v>4</v>
      </c>
      <c r="F629" s="10" t="n">
        <f aca="false">WEEKNUM(A629,2) - WEEKNUM(DATE(YEAR(A629),MONTH(A629),1),2) + 1</f>
        <v>3</v>
      </c>
      <c r="G629" s="10"/>
      <c r="H629" s="11" t="n">
        <v>1400</v>
      </c>
      <c r="I629" s="12" t="s">
        <v>20</v>
      </c>
      <c r="J629" s="12" t="s">
        <v>45</v>
      </c>
      <c r="K629" s="12"/>
      <c r="L629" s="9" t="n">
        <f aca="false">L628+H629</f>
        <v>22748.59</v>
      </c>
      <c r="M629" s="10" t="str">
        <f aca="false">VLOOKUP(J629,RECATALOGANDO!A:C,2,0)</f>
        <v>VENTA DE MEDICAMENTO</v>
      </c>
      <c r="N629" s="12" t="str">
        <f aca="false">VLOOKUP(M629,RECATALOGANDO!B:C,2,0)</f>
        <v>VENTA DE PRODUCTO</v>
      </c>
      <c r="O629" s="2" t="s">
        <v>78</v>
      </c>
    </row>
    <row r="630" customFormat="false" ht="13.8" hidden="false" customHeight="false" outlineLevel="0" collapsed="false">
      <c r="A630" s="8" t="n">
        <v>45211</v>
      </c>
      <c r="B630" s="9" t="n">
        <f aca="false">DAY(A630)</f>
        <v>12</v>
      </c>
      <c r="C630" s="9" t="n">
        <f aca="false">MONTH(A630)</f>
        <v>10</v>
      </c>
      <c r="D630" s="9" t="n">
        <f aca="false">YEAR(A630)</f>
        <v>2023</v>
      </c>
      <c r="E630" s="9" t="n">
        <f aca="false">WEEKDAY(A630,2)</f>
        <v>4</v>
      </c>
      <c r="F630" s="10" t="n">
        <f aca="false">WEEKNUM(A630,2) - WEEKNUM(DATE(YEAR(A630),MONTH(A630),1),2) + 1</f>
        <v>3</v>
      </c>
      <c r="G630" s="10"/>
      <c r="H630" s="11" t="n">
        <v>229</v>
      </c>
      <c r="I630" s="12" t="s">
        <v>15</v>
      </c>
      <c r="J630" s="12" t="s">
        <v>53</v>
      </c>
      <c r="K630" s="12"/>
      <c r="L630" s="9" t="n">
        <f aca="false">L629+H630</f>
        <v>22977.59</v>
      </c>
      <c r="M630" s="10" t="str">
        <f aca="false">VLOOKUP(J630,RECATALOGANDO!A:C,2,0)</f>
        <v>SERVICIO DE GROOMING</v>
      </c>
      <c r="N630" s="12" t="str">
        <f aca="false">VLOOKUP(M630,RECATALOGANDO!B:C,2,0)</f>
        <v>VENTA DE SERVICIO</v>
      </c>
      <c r="O630" s="2" t="s">
        <v>78</v>
      </c>
    </row>
    <row r="631" customFormat="false" ht="13.8" hidden="false" customHeight="false" outlineLevel="0" collapsed="false">
      <c r="A631" s="8" t="n">
        <v>45213</v>
      </c>
      <c r="B631" s="9" t="n">
        <f aca="false">DAY(A631)</f>
        <v>14</v>
      </c>
      <c r="C631" s="9" t="n">
        <f aca="false">MONTH(A631)</f>
        <v>10</v>
      </c>
      <c r="D631" s="9" t="n">
        <f aca="false">YEAR(A631)</f>
        <v>2023</v>
      </c>
      <c r="E631" s="9" t="n">
        <f aca="false">WEEKDAY(A631,2)</f>
        <v>6</v>
      </c>
      <c r="F631" s="10" t="n">
        <f aca="false">WEEKNUM(A631,2) - WEEKNUM(DATE(YEAR(A631),MONTH(A631),1),2) + 1</f>
        <v>3</v>
      </c>
      <c r="G631" s="10"/>
      <c r="H631" s="11" t="n">
        <v>112</v>
      </c>
      <c r="I631" s="12" t="s">
        <v>15</v>
      </c>
      <c r="J631" s="12" t="s">
        <v>53</v>
      </c>
      <c r="K631" s="12"/>
      <c r="L631" s="9" t="n">
        <f aca="false">L630+H631</f>
        <v>23089.59</v>
      </c>
      <c r="M631" s="10" t="str">
        <f aca="false">VLOOKUP(J631,RECATALOGANDO!A:C,2,0)</f>
        <v>SERVICIO DE GROOMING</v>
      </c>
      <c r="N631" s="12" t="str">
        <f aca="false">VLOOKUP(M631,RECATALOGANDO!B:C,2,0)</f>
        <v>VENTA DE SERVICIO</v>
      </c>
      <c r="O631" s="2" t="s">
        <v>78</v>
      </c>
    </row>
    <row r="632" customFormat="false" ht="13.8" hidden="false" customHeight="false" outlineLevel="0" collapsed="false">
      <c r="A632" s="8" t="n">
        <v>45215</v>
      </c>
      <c r="B632" s="9" t="n">
        <f aca="false">DAY(A632)</f>
        <v>16</v>
      </c>
      <c r="C632" s="9" t="n">
        <f aca="false">MONTH(A632)</f>
        <v>10</v>
      </c>
      <c r="D632" s="9" t="n">
        <f aca="false">YEAR(A632)</f>
        <v>2023</v>
      </c>
      <c r="E632" s="9" t="n">
        <f aca="false">WEEKDAY(A632,2)</f>
        <v>1</v>
      </c>
      <c r="F632" s="10" t="n">
        <f aca="false">WEEKNUM(A632,2) - WEEKNUM(DATE(YEAR(A632),MONTH(A632),1),2) + 1</f>
        <v>4</v>
      </c>
      <c r="G632" s="10"/>
      <c r="H632" s="11" t="n">
        <v>740</v>
      </c>
      <c r="I632" s="12" t="s">
        <v>20</v>
      </c>
      <c r="J632" s="22" t="s">
        <v>53</v>
      </c>
      <c r="K632" s="12"/>
      <c r="L632" s="9" t="n">
        <f aca="false">L631+H632</f>
        <v>23829.59</v>
      </c>
      <c r="M632" s="10" t="str">
        <f aca="false">VLOOKUP(J632,RECATALOGANDO!A:C,2,0)</f>
        <v>SERVICIO DE GROOMING</v>
      </c>
      <c r="N632" s="12" t="str">
        <f aca="false">VLOOKUP(M632,RECATALOGANDO!B:C,2,0)</f>
        <v>VENTA DE SERVICIO</v>
      </c>
      <c r="O632" s="2" t="s">
        <v>78</v>
      </c>
    </row>
    <row r="633" customFormat="false" ht="13.8" hidden="false" customHeight="false" outlineLevel="0" collapsed="false">
      <c r="A633" s="8" t="n">
        <v>45215</v>
      </c>
      <c r="B633" s="9" t="n">
        <f aca="false">DAY(A633)</f>
        <v>16</v>
      </c>
      <c r="C633" s="9" t="n">
        <f aca="false">MONTH(A633)</f>
        <v>10</v>
      </c>
      <c r="D633" s="9" t="n">
        <f aca="false">YEAR(A633)</f>
        <v>2023</v>
      </c>
      <c r="E633" s="9" t="n">
        <f aca="false">WEEKDAY(A633,2)</f>
        <v>1</v>
      </c>
      <c r="F633" s="10" t="n">
        <f aca="false">WEEKNUM(A633,2) - WEEKNUM(DATE(YEAR(A633),MONTH(A633),1),2) + 1</f>
        <v>4</v>
      </c>
      <c r="G633" s="10"/>
      <c r="H633" s="11" t="n">
        <v>850</v>
      </c>
      <c r="I633" s="12" t="s">
        <v>20</v>
      </c>
      <c r="J633" s="22" t="s">
        <v>58</v>
      </c>
      <c r="K633" s="12"/>
      <c r="L633" s="9" t="n">
        <f aca="false">L632+H633</f>
        <v>24679.59</v>
      </c>
      <c r="M633" s="10" t="str">
        <f aca="false">VLOOKUP(J633,RECATALOGANDO!A:C,2,0)</f>
        <v>SERVICIO DE LABORATORIO</v>
      </c>
      <c r="N633" s="12" t="str">
        <f aca="false">VLOOKUP(M633,RECATALOGANDO!B:C,2,0)</f>
        <v>VENTA DE SERVICIO</v>
      </c>
      <c r="O633" s="2" t="s">
        <v>78</v>
      </c>
    </row>
    <row r="634" customFormat="false" ht="13.8" hidden="false" customHeight="false" outlineLevel="0" collapsed="false">
      <c r="A634" s="8" t="n">
        <v>45215</v>
      </c>
      <c r="B634" s="9" t="n">
        <f aca="false">DAY(A634)</f>
        <v>16</v>
      </c>
      <c r="C634" s="9" t="n">
        <f aca="false">MONTH(A634)</f>
        <v>10</v>
      </c>
      <c r="D634" s="9" t="n">
        <f aca="false">YEAR(A634)</f>
        <v>2023</v>
      </c>
      <c r="E634" s="9" t="n">
        <f aca="false">WEEKDAY(A634,2)</f>
        <v>1</v>
      </c>
      <c r="F634" s="10" t="n">
        <f aca="false">WEEKNUM(A634,2) - WEEKNUM(DATE(YEAR(A634),MONTH(A634),1),2) + 1</f>
        <v>4</v>
      </c>
      <c r="G634" s="10"/>
      <c r="H634" s="11" t="n">
        <v>3500</v>
      </c>
      <c r="I634" s="12" t="s">
        <v>20</v>
      </c>
      <c r="J634" s="22" t="s">
        <v>41</v>
      </c>
      <c r="K634" s="12"/>
      <c r="L634" s="9" t="n">
        <f aca="false">L633+H634</f>
        <v>28179.59</v>
      </c>
      <c r="M634" s="10" t="str">
        <f aca="false">VLOOKUP(J634,RECATALOGANDO!A:C,2,0)</f>
        <v>HONORARIOS QUIRURGICOS</v>
      </c>
      <c r="N634" s="12" t="str">
        <f aca="false">VLOOKUP(M634,RECATALOGANDO!B:C,2,0)</f>
        <v>VENTA DE SERVICIO</v>
      </c>
      <c r="O634" s="2" t="s">
        <v>78</v>
      </c>
    </row>
    <row r="635" customFormat="false" ht="13.8" hidden="false" customHeight="false" outlineLevel="0" collapsed="false">
      <c r="A635" s="8" t="n">
        <v>45218</v>
      </c>
      <c r="B635" s="9" t="n">
        <f aca="false">DAY(A635)</f>
        <v>19</v>
      </c>
      <c r="C635" s="9" t="n">
        <f aca="false">MONTH(A635)</f>
        <v>10</v>
      </c>
      <c r="D635" s="9" t="n">
        <f aca="false">YEAR(A635)</f>
        <v>2023</v>
      </c>
      <c r="E635" s="9" t="n">
        <f aca="false">WEEKDAY(A635,2)</f>
        <v>4</v>
      </c>
      <c r="F635" s="10" t="n">
        <f aca="false">WEEKNUM(A635,2) - WEEKNUM(DATE(YEAR(A635),MONTH(A635),1),2) + 1</f>
        <v>4</v>
      </c>
      <c r="G635" s="10"/>
      <c r="H635" s="11" t="n">
        <v>290</v>
      </c>
      <c r="I635" s="12" t="s">
        <v>20</v>
      </c>
      <c r="J635" s="12" t="s">
        <v>45</v>
      </c>
      <c r="K635" s="12"/>
      <c r="L635" s="9" t="n">
        <f aca="false">L634+H635</f>
        <v>28469.59</v>
      </c>
      <c r="M635" s="10" t="str">
        <f aca="false">VLOOKUP(J635,RECATALOGANDO!A:C,2,0)</f>
        <v>VENTA DE MEDICAMENTO</v>
      </c>
      <c r="N635" s="12" t="str">
        <f aca="false">VLOOKUP(M635,RECATALOGANDO!B:C,2,0)</f>
        <v>VENTA DE PRODUCTO</v>
      </c>
      <c r="O635" s="2" t="s">
        <v>78</v>
      </c>
    </row>
    <row r="636" customFormat="false" ht="13.8" hidden="false" customHeight="false" outlineLevel="0" collapsed="false">
      <c r="A636" s="8" t="n">
        <v>45218</v>
      </c>
      <c r="B636" s="9" t="n">
        <f aca="false">DAY(A636)</f>
        <v>19</v>
      </c>
      <c r="C636" s="9" t="n">
        <f aca="false">MONTH(A636)</f>
        <v>10</v>
      </c>
      <c r="D636" s="9" t="n">
        <f aca="false">YEAR(A636)</f>
        <v>2023</v>
      </c>
      <c r="E636" s="9" t="n">
        <f aca="false">WEEKDAY(A636,2)</f>
        <v>4</v>
      </c>
      <c r="F636" s="10" t="n">
        <f aca="false">WEEKNUM(A636,2) - WEEKNUM(DATE(YEAR(A636),MONTH(A636),1),2) + 1</f>
        <v>4</v>
      </c>
      <c r="G636" s="10"/>
      <c r="H636" s="11" t="n">
        <v>317</v>
      </c>
      <c r="I636" s="12" t="s">
        <v>15</v>
      </c>
      <c r="J636" s="22" t="s">
        <v>53</v>
      </c>
      <c r="K636" s="12"/>
      <c r="L636" s="9" t="n">
        <f aca="false">L635+H636</f>
        <v>28786.59</v>
      </c>
      <c r="M636" s="10" t="str">
        <f aca="false">VLOOKUP(J636,RECATALOGANDO!A:C,2,0)</f>
        <v>SERVICIO DE GROOMING</v>
      </c>
      <c r="N636" s="12" t="str">
        <f aca="false">VLOOKUP(M636,RECATALOGANDO!B:C,2,0)</f>
        <v>VENTA DE SERVICIO</v>
      </c>
      <c r="O636" s="2" t="s">
        <v>78</v>
      </c>
    </row>
    <row r="637" customFormat="false" ht="13.8" hidden="false" customHeight="false" outlineLevel="0" collapsed="false">
      <c r="A637" s="8" t="n">
        <v>45218</v>
      </c>
      <c r="B637" s="9" t="n">
        <f aca="false">DAY(A637)</f>
        <v>19</v>
      </c>
      <c r="C637" s="9" t="n">
        <f aca="false">MONTH(A637)</f>
        <v>10</v>
      </c>
      <c r="D637" s="9" t="n">
        <f aca="false">YEAR(A637)</f>
        <v>2023</v>
      </c>
      <c r="E637" s="9" t="n">
        <f aca="false">WEEKDAY(A637,2)</f>
        <v>4</v>
      </c>
      <c r="F637" s="10" t="n">
        <f aca="false">WEEKNUM(A637,2) - WEEKNUM(DATE(YEAR(A637),MONTH(A637),1),2) + 1</f>
        <v>4</v>
      </c>
      <c r="G637" s="10"/>
      <c r="H637" s="11" t="n">
        <v>2000</v>
      </c>
      <c r="I637" s="12" t="s">
        <v>20</v>
      </c>
      <c r="J637" s="22" t="s">
        <v>58</v>
      </c>
      <c r="K637" s="12"/>
      <c r="L637" s="9" t="n">
        <f aca="false">L636+H637</f>
        <v>30786.59</v>
      </c>
      <c r="M637" s="10" t="str">
        <f aca="false">VLOOKUP(J637,RECATALOGANDO!A:C,2,0)</f>
        <v>SERVICIO DE LABORATORIO</v>
      </c>
      <c r="N637" s="12" t="str">
        <f aca="false">VLOOKUP(M637,RECATALOGANDO!B:C,2,0)</f>
        <v>VENTA DE SERVICIO</v>
      </c>
      <c r="O637" s="2" t="s">
        <v>78</v>
      </c>
    </row>
    <row r="638" customFormat="false" ht="13.8" hidden="false" customHeight="false" outlineLevel="0" collapsed="false">
      <c r="A638" s="8" t="n">
        <v>45218</v>
      </c>
      <c r="B638" s="9" t="n">
        <f aca="false">DAY(A638)</f>
        <v>19</v>
      </c>
      <c r="C638" s="9" t="n">
        <f aca="false">MONTH(A638)</f>
        <v>10</v>
      </c>
      <c r="D638" s="9" t="n">
        <f aca="false">YEAR(A638)</f>
        <v>2023</v>
      </c>
      <c r="E638" s="9" t="n">
        <f aca="false">WEEKDAY(A638,2)</f>
        <v>4</v>
      </c>
      <c r="F638" s="10" t="n">
        <f aca="false">WEEKNUM(A638,2) - WEEKNUM(DATE(YEAR(A638),MONTH(A638),1),2) + 1</f>
        <v>4</v>
      </c>
      <c r="G638" s="10"/>
      <c r="H638" s="11" t="n">
        <v>3400</v>
      </c>
      <c r="I638" s="12" t="s">
        <v>20</v>
      </c>
      <c r="J638" s="22" t="s">
        <v>41</v>
      </c>
      <c r="K638" s="12"/>
      <c r="L638" s="9" t="n">
        <f aca="false">L637+H638</f>
        <v>34186.59</v>
      </c>
      <c r="M638" s="10" t="str">
        <f aca="false">VLOOKUP(J638,RECATALOGANDO!A:C,2,0)</f>
        <v>HONORARIOS QUIRURGICOS</v>
      </c>
      <c r="N638" s="12" t="str">
        <f aca="false">VLOOKUP(M638,RECATALOGANDO!B:C,2,0)</f>
        <v>VENTA DE SERVICIO</v>
      </c>
      <c r="O638" s="2" t="s">
        <v>78</v>
      </c>
    </row>
    <row r="639" customFormat="false" ht="13.8" hidden="false" customHeight="false" outlineLevel="0" collapsed="false">
      <c r="A639" s="8" t="n">
        <v>45221</v>
      </c>
      <c r="B639" s="9" t="n">
        <f aca="false">DAY(A639)</f>
        <v>22</v>
      </c>
      <c r="C639" s="9" t="n">
        <f aca="false">MONTH(A639)</f>
        <v>10</v>
      </c>
      <c r="D639" s="9" t="n">
        <f aca="false">YEAR(A639)</f>
        <v>2023</v>
      </c>
      <c r="E639" s="9" t="n">
        <f aca="false">WEEKDAY(A639,2)</f>
        <v>7</v>
      </c>
      <c r="F639" s="10" t="n">
        <f aca="false">WEEKNUM(A639,2) - WEEKNUM(DATE(YEAR(A639),MONTH(A639),1),2) + 1</f>
        <v>4</v>
      </c>
      <c r="G639" s="10"/>
      <c r="H639" s="11" t="n">
        <v>3517</v>
      </c>
      <c r="I639" s="12" t="s">
        <v>15</v>
      </c>
      <c r="J639" s="12" t="s">
        <v>45</v>
      </c>
      <c r="K639" s="12"/>
      <c r="L639" s="9" t="n">
        <f aca="false">L638+H639</f>
        <v>37703.59</v>
      </c>
      <c r="M639" s="10" t="str">
        <f aca="false">VLOOKUP(J639,RECATALOGANDO!A:C,2,0)</f>
        <v>VENTA DE MEDICAMENTO</v>
      </c>
      <c r="N639" s="12" t="str">
        <f aca="false">VLOOKUP(M639,RECATALOGANDO!B:C,2,0)</f>
        <v>VENTA DE PRODUCTO</v>
      </c>
      <c r="O639" s="2" t="s">
        <v>78</v>
      </c>
    </row>
    <row r="640" customFormat="false" ht="13.8" hidden="false" customHeight="false" outlineLevel="0" collapsed="false">
      <c r="A640" s="8" t="n">
        <v>45222</v>
      </c>
      <c r="B640" s="9" t="n">
        <f aca="false">DAY(A640)</f>
        <v>23</v>
      </c>
      <c r="C640" s="9" t="n">
        <f aca="false">MONTH(A640)</f>
        <v>10</v>
      </c>
      <c r="D640" s="9" t="n">
        <f aca="false">YEAR(A640)</f>
        <v>2023</v>
      </c>
      <c r="E640" s="9" t="n">
        <f aca="false">WEEKDAY(A640,2)</f>
        <v>1</v>
      </c>
      <c r="F640" s="10" t="n">
        <f aca="false">WEEKNUM(A640,2) - WEEKNUM(DATE(YEAR(A640),MONTH(A640),1),2) + 1</f>
        <v>5</v>
      </c>
      <c r="G640" s="10"/>
      <c r="H640" s="11" t="n">
        <v>2973</v>
      </c>
      <c r="I640" s="12" t="s">
        <v>20</v>
      </c>
      <c r="J640" s="22" t="s">
        <v>51</v>
      </c>
      <c r="K640" s="12"/>
      <c r="L640" s="9" t="n">
        <f aca="false">L639+H640</f>
        <v>40676.59</v>
      </c>
      <c r="M640" s="10" t="str">
        <f aca="false">VLOOKUP(J640,RECATALOGANDO!A:C,2,0)</f>
        <v>VENTA DE ALIMENTO</v>
      </c>
      <c r="N640" s="12" t="str">
        <f aca="false">VLOOKUP(M640,RECATALOGANDO!B:C,2,0)</f>
        <v>VENTA DE PRODUCTO</v>
      </c>
      <c r="O640" s="2" t="s">
        <v>78</v>
      </c>
    </row>
    <row r="641" customFormat="false" ht="13.8" hidden="false" customHeight="false" outlineLevel="0" collapsed="false">
      <c r="A641" s="8" t="n">
        <v>45222</v>
      </c>
      <c r="B641" s="9" t="n">
        <f aca="false">DAY(A641)</f>
        <v>23</v>
      </c>
      <c r="C641" s="9" t="n">
        <f aca="false">MONTH(A641)</f>
        <v>10</v>
      </c>
      <c r="D641" s="9" t="n">
        <f aca="false">YEAR(A641)</f>
        <v>2023</v>
      </c>
      <c r="E641" s="9" t="n">
        <f aca="false">WEEKDAY(A641,2)</f>
        <v>1</v>
      </c>
      <c r="F641" s="10" t="n">
        <f aca="false">WEEKNUM(A641,2) - WEEKNUM(DATE(YEAR(A641),MONTH(A641),1),2) + 1</f>
        <v>5</v>
      </c>
      <c r="G641" s="10"/>
      <c r="H641" s="11" t="n">
        <v>190</v>
      </c>
      <c r="I641" s="12" t="s">
        <v>20</v>
      </c>
      <c r="J641" s="22" t="s">
        <v>53</v>
      </c>
      <c r="K641" s="12"/>
      <c r="L641" s="9" t="n">
        <f aca="false">L640+H641</f>
        <v>40866.59</v>
      </c>
      <c r="M641" s="10" t="str">
        <f aca="false">VLOOKUP(J641,RECATALOGANDO!A:C,2,0)</f>
        <v>SERVICIO DE GROOMING</v>
      </c>
      <c r="N641" s="12" t="str">
        <f aca="false">VLOOKUP(M641,RECATALOGANDO!B:C,2,0)</f>
        <v>VENTA DE SERVICIO</v>
      </c>
      <c r="O641" s="2" t="s">
        <v>78</v>
      </c>
    </row>
    <row r="642" customFormat="false" ht="13.8" hidden="false" customHeight="false" outlineLevel="0" collapsed="false">
      <c r="A642" s="8" t="n">
        <v>45222</v>
      </c>
      <c r="B642" s="9" t="n">
        <f aca="false">DAY(A642)</f>
        <v>23</v>
      </c>
      <c r="C642" s="9" t="n">
        <f aca="false">MONTH(A642)</f>
        <v>10</v>
      </c>
      <c r="D642" s="9" t="n">
        <f aca="false">YEAR(A642)</f>
        <v>2023</v>
      </c>
      <c r="E642" s="9" t="n">
        <f aca="false">WEEKDAY(A642,2)</f>
        <v>1</v>
      </c>
      <c r="F642" s="10" t="n">
        <f aca="false">WEEKNUM(A642,2) - WEEKNUM(DATE(YEAR(A642),MONTH(A642),1),2) + 1</f>
        <v>5</v>
      </c>
      <c r="G642" s="10"/>
      <c r="H642" s="11" t="n">
        <v>290</v>
      </c>
      <c r="I642" s="12" t="s">
        <v>20</v>
      </c>
      <c r="J642" s="22" t="s">
        <v>53</v>
      </c>
      <c r="K642" s="12"/>
      <c r="L642" s="9" t="n">
        <f aca="false">L641+H642</f>
        <v>41156.59</v>
      </c>
      <c r="M642" s="10" t="str">
        <f aca="false">VLOOKUP(J642,RECATALOGANDO!A:C,2,0)</f>
        <v>SERVICIO DE GROOMING</v>
      </c>
      <c r="N642" s="12" t="str">
        <f aca="false">VLOOKUP(M642,RECATALOGANDO!B:C,2,0)</f>
        <v>VENTA DE SERVICIO</v>
      </c>
      <c r="O642" s="2" t="s">
        <v>78</v>
      </c>
    </row>
    <row r="643" customFormat="false" ht="13.8" hidden="false" customHeight="false" outlineLevel="0" collapsed="false">
      <c r="A643" s="8" t="n">
        <v>45222</v>
      </c>
      <c r="B643" s="9" t="n">
        <f aca="false">DAY(A643)</f>
        <v>23</v>
      </c>
      <c r="C643" s="9" t="n">
        <f aca="false">MONTH(A643)</f>
        <v>10</v>
      </c>
      <c r="D643" s="9" t="n">
        <f aca="false">YEAR(A643)</f>
        <v>2023</v>
      </c>
      <c r="E643" s="9" t="n">
        <f aca="false">WEEKDAY(A643,2)</f>
        <v>1</v>
      </c>
      <c r="F643" s="10" t="n">
        <f aca="false">WEEKNUM(A643,2) - WEEKNUM(DATE(YEAR(A643),MONTH(A643),1),2) + 1</f>
        <v>5</v>
      </c>
      <c r="G643" s="10"/>
      <c r="H643" s="11" t="n">
        <v>1635</v>
      </c>
      <c r="I643" s="12" t="s">
        <v>20</v>
      </c>
      <c r="J643" s="22" t="s">
        <v>58</v>
      </c>
      <c r="K643" s="12"/>
      <c r="L643" s="9" t="n">
        <f aca="false">L642+H643</f>
        <v>42791.59</v>
      </c>
      <c r="M643" s="10" t="str">
        <f aca="false">VLOOKUP(J643,RECATALOGANDO!A:C,2,0)</f>
        <v>SERVICIO DE LABORATORIO</v>
      </c>
      <c r="N643" s="12" t="str">
        <f aca="false">VLOOKUP(M643,RECATALOGANDO!B:C,2,0)</f>
        <v>VENTA DE SERVICIO</v>
      </c>
      <c r="O643" s="2" t="s">
        <v>78</v>
      </c>
    </row>
    <row r="644" customFormat="false" ht="13.8" hidden="false" customHeight="false" outlineLevel="0" collapsed="false">
      <c r="A644" s="8" t="n">
        <v>45222</v>
      </c>
      <c r="B644" s="9" t="n">
        <f aca="false">DAY(A644)</f>
        <v>23</v>
      </c>
      <c r="C644" s="9" t="n">
        <f aca="false">MONTH(A644)</f>
        <v>10</v>
      </c>
      <c r="D644" s="9" t="n">
        <f aca="false">YEAR(A644)</f>
        <v>2023</v>
      </c>
      <c r="E644" s="9" t="n">
        <f aca="false">WEEKDAY(A644,2)</f>
        <v>1</v>
      </c>
      <c r="F644" s="10" t="n">
        <f aca="false">WEEKNUM(A644,2) - WEEKNUM(DATE(YEAR(A644),MONTH(A644),1),2) + 1</f>
        <v>5</v>
      </c>
      <c r="G644" s="10"/>
      <c r="H644" s="11" t="n">
        <v>1898</v>
      </c>
      <c r="I644" s="12" t="s">
        <v>20</v>
      </c>
      <c r="J644" s="12" t="s">
        <v>44</v>
      </c>
      <c r="K644" s="12"/>
      <c r="L644" s="9" t="n">
        <f aca="false">L643+H644</f>
        <v>44689.59</v>
      </c>
      <c r="M644" s="10" t="str">
        <f aca="false">VLOOKUP(J644,RECATALOGANDO!A:C,2,0)</f>
        <v>HONORARIOS MEDICOS</v>
      </c>
      <c r="N644" s="12" t="str">
        <f aca="false">VLOOKUP(M644,RECATALOGANDO!B:C,2,0)</f>
        <v>VENTA DE SERVICIO</v>
      </c>
      <c r="O644" s="2" t="s">
        <v>78</v>
      </c>
    </row>
    <row r="645" customFormat="false" ht="13.8" hidden="false" customHeight="false" outlineLevel="0" collapsed="false">
      <c r="A645" s="8" t="n">
        <v>45223</v>
      </c>
      <c r="B645" s="9" t="n">
        <f aca="false">DAY(A645)</f>
        <v>24</v>
      </c>
      <c r="C645" s="9" t="n">
        <f aca="false">MONTH(A645)</f>
        <v>10</v>
      </c>
      <c r="D645" s="9" t="n">
        <f aca="false">YEAR(A645)</f>
        <v>2023</v>
      </c>
      <c r="E645" s="9" t="n">
        <f aca="false">WEEKDAY(A645,2)</f>
        <v>2</v>
      </c>
      <c r="F645" s="10" t="n">
        <f aca="false">WEEKNUM(A645,2) - WEEKNUM(DATE(YEAR(A645),MONTH(A645),1),2) + 1</f>
        <v>5</v>
      </c>
      <c r="G645" s="10"/>
      <c r="H645" s="11" t="n">
        <v>240</v>
      </c>
      <c r="I645" s="12" t="s">
        <v>20</v>
      </c>
      <c r="J645" s="12" t="s">
        <v>44</v>
      </c>
      <c r="K645" s="12"/>
      <c r="L645" s="9" t="n">
        <f aca="false">L644+H645</f>
        <v>44929.59</v>
      </c>
      <c r="M645" s="10" t="str">
        <f aca="false">VLOOKUP(J645,RECATALOGANDO!A:C,2,0)</f>
        <v>HONORARIOS MEDICOS</v>
      </c>
      <c r="N645" s="12" t="str">
        <f aca="false">VLOOKUP(M645,RECATALOGANDO!B:C,2,0)</f>
        <v>VENTA DE SERVICIO</v>
      </c>
      <c r="O645" s="2" t="s">
        <v>78</v>
      </c>
    </row>
    <row r="646" customFormat="false" ht="13.8" hidden="false" customHeight="false" outlineLevel="0" collapsed="false">
      <c r="A646" s="8" t="n">
        <v>45223</v>
      </c>
      <c r="B646" s="9" t="n">
        <f aca="false">DAY(A646)</f>
        <v>24</v>
      </c>
      <c r="C646" s="9" t="n">
        <f aca="false">MONTH(A646)</f>
        <v>10</v>
      </c>
      <c r="D646" s="9" t="n">
        <f aca="false">YEAR(A646)</f>
        <v>2023</v>
      </c>
      <c r="E646" s="9" t="n">
        <f aca="false">WEEKDAY(A646,2)</f>
        <v>2</v>
      </c>
      <c r="F646" s="10" t="n">
        <f aca="false">WEEKNUM(A646,2) - WEEKNUM(DATE(YEAR(A646),MONTH(A646),1),2) + 1</f>
        <v>5</v>
      </c>
      <c r="G646" s="10"/>
      <c r="H646" s="11" t="n">
        <v>843</v>
      </c>
      <c r="I646" s="12" t="s">
        <v>15</v>
      </c>
      <c r="J646" s="12" t="s">
        <v>44</v>
      </c>
      <c r="K646" s="12"/>
      <c r="L646" s="9" t="n">
        <f aca="false">L645+H646</f>
        <v>45772.59</v>
      </c>
      <c r="M646" s="10" t="str">
        <f aca="false">VLOOKUP(J646,RECATALOGANDO!A:C,2,0)</f>
        <v>HONORARIOS MEDICOS</v>
      </c>
      <c r="N646" s="12" t="str">
        <f aca="false">VLOOKUP(M646,RECATALOGANDO!B:C,2,0)</f>
        <v>VENTA DE SERVICIO</v>
      </c>
      <c r="O646" s="2" t="s">
        <v>78</v>
      </c>
    </row>
    <row r="647" customFormat="false" ht="13.8" hidden="false" customHeight="false" outlineLevel="0" collapsed="false">
      <c r="A647" s="8" t="n">
        <v>45224</v>
      </c>
      <c r="B647" s="9" t="n">
        <f aca="false">DAY(A647)</f>
        <v>25</v>
      </c>
      <c r="C647" s="9" t="n">
        <f aca="false">MONTH(A647)</f>
        <v>10</v>
      </c>
      <c r="D647" s="9" t="n">
        <f aca="false">YEAR(A647)</f>
        <v>2023</v>
      </c>
      <c r="E647" s="9" t="n">
        <f aca="false">WEEKDAY(A647,2)</f>
        <v>3</v>
      </c>
      <c r="F647" s="10" t="n">
        <f aca="false">WEEKNUM(A647,2) - WEEKNUM(DATE(YEAR(A647),MONTH(A647),1),2) + 1</f>
        <v>5</v>
      </c>
      <c r="G647" s="10"/>
      <c r="H647" s="11" t="n">
        <v>500</v>
      </c>
      <c r="I647" s="12" t="s">
        <v>20</v>
      </c>
      <c r="J647" s="12" t="s">
        <v>45</v>
      </c>
      <c r="K647" s="12"/>
      <c r="L647" s="9" t="n">
        <f aca="false">L646+H647</f>
        <v>46272.59</v>
      </c>
      <c r="M647" s="10" t="str">
        <f aca="false">VLOOKUP(J647,RECATALOGANDO!A:C,2,0)</f>
        <v>VENTA DE MEDICAMENTO</v>
      </c>
      <c r="N647" s="12" t="str">
        <f aca="false">VLOOKUP(M647,RECATALOGANDO!B:C,2,0)</f>
        <v>VENTA DE PRODUCTO</v>
      </c>
      <c r="O647" s="2" t="s">
        <v>78</v>
      </c>
    </row>
    <row r="648" customFormat="false" ht="13.8" hidden="false" customHeight="false" outlineLevel="0" collapsed="false">
      <c r="A648" s="8" t="n">
        <v>45224</v>
      </c>
      <c r="B648" s="9" t="n">
        <f aca="false">DAY(A648)</f>
        <v>25</v>
      </c>
      <c r="C648" s="9" t="n">
        <f aca="false">MONTH(A648)</f>
        <v>10</v>
      </c>
      <c r="D648" s="9" t="n">
        <f aca="false">YEAR(A648)</f>
        <v>2023</v>
      </c>
      <c r="E648" s="9" t="n">
        <f aca="false">WEEKDAY(A648,2)</f>
        <v>3</v>
      </c>
      <c r="F648" s="10" t="n">
        <f aca="false">WEEKNUM(A648,2) - WEEKNUM(DATE(YEAR(A648),MONTH(A648),1),2) + 1</f>
        <v>5</v>
      </c>
      <c r="G648" s="10"/>
      <c r="H648" s="11" t="n">
        <v>2310</v>
      </c>
      <c r="I648" s="12" t="s">
        <v>20</v>
      </c>
      <c r="J648" s="12" t="s">
        <v>45</v>
      </c>
      <c r="K648" s="12"/>
      <c r="L648" s="9" t="n">
        <f aca="false">L647+H648</f>
        <v>48582.59</v>
      </c>
      <c r="M648" s="10" t="str">
        <f aca="false">VLOOKUP(J648,RECATALOGANDO!A:C,2,0)</f>
        <v>VENTA DE MEDICAMENTO</v>
      </c>
      <c r="N648" s="12" t="str">
        <f aca="false">VLOOKUP(M648,RECATALOGANDO!B:C,2,0)</f>
        <v>VENTA DE PRODUCTO</v>
      </c>
      <c r="O648" s="2" t="s">
        <v>78</v>
      </c>
    </row>
    <row r="649" customFormat="false" ht="13.8" hidden="false" customHeight="false" outlineLevel="0" collapsed="false">
      <c r="A649" s="8" t="n">
        <v>45226</v>
      </c>
      <c r="B649" s="9" t="n">
        <f aca="false">DAY(A649)</f>
        <v>27</v>
      </c>
      <c r="C649" s="9" t="n">
        <f aca="false">MONTH(A649)</f>
        <v>10</v>
      </c>
      <c r="D649" s="9" t="n">
        <f aca="false">YEAR(A649)</f>
        <v>2023</v>
      </c>
      <c r="E649" s="9" t="n">
        <f aca="false">WEEKDAY(A649,2)</f>
        <v>5</v>
      </c>
      <c r="F649" s="10" t="n">
        <f aca="false">WEEKNUM(A649,2) - WEEKNUM(DATE(YEAR(A649),MONTH(A649),1),2) + 1</f>
        <v>5</v>
      </c>
      <c r="G649" s="10"/>
      <c r="H649" s="11" t="n">
        <v>1920</v>
      </c>
      <c r="I649" s="12" t="s">
        <v>20</v>
      </c>
      <c r="J649" s="22" t="s">
        <v>58</v>
      </c>
      <c r="K649" s="12"/>
      <c r="L649" s="9" t="n">
        <f aca="false">L648+H649</f>
        <v>50502.59</v>
      </c>
      <c r="M649" s="10" t="str">
        <f aca="false">VLOOKUP(J649,RECATALOGANDO!A:C,2,0)</f>
        <v>SERVICIO DE LABORATORIO</v>
      </c>
      <c r="N649" s="12" t="str">
        <f aca="false">VLOOKUP(M649,RECATALOGANDO!B:C,2,0)</f>
        <v>VENTA DE SERVICIO</v>
      </c>
      <c r="O649" s="2" t="s">
        <v>78</v>
      </c>
    </row>
    <row r="650" customFormat="false" ht="13.8" hidden="false" customHeight="false" outlineLevel="0" collapsed="false">
      <c r="A650" s="8" t="n">
        <v>45226</v>
      </c>
      <c r="B650" s="9" t="n">
        <f aca="false">DAY(A650)</f>
        <v>27</v>
      </c>
      <c r="C650" s="9" t="n">
        <f aca="false">MONTH(A650)</f>
        <v>10</v>
      </c>
      <c r="D650" s="9" t="n">
        <f aca="false">YEAR(A650)</f>
        <v>2023</v>
      </c>
      <c r="E650" s="9" t="n">
        <f aca="false">WEEKDAY(A650,2)</f>
        <v>5</v>
      </c>
      <c r="F650" s="10" t="n">
        <f aca="false">WEEKNUM(A650,2) - WEEKNUM(DATE(YEAR(A650),MONTH(A650),1),2) + 1</f>
        <v>5</v>
      </c>
      <c r="G650" s="10"/>
      <c r="H650" s="11" t="n">
        <v>2450</v>
      </c>
      <c r="I650" s="12" t="s">
        <v>20</v>
      </c>
      <c r="J650" s="12" t="s">
        <v>63</v>
      </c>
      <c r="K650" s="12"/>
      <c r="L650" s="9" t="n">
        <f aca="false">L649+H650</f>
        <v>52952.59</v>
      </c>
      <c r="M650" s="10" t="str">
        <f aca="false">VLOOKUP(J650,RECATALOGANDO!A:C,2,0)</f>
        <v>SERVICIO DE CREMACION</v>
      </c>
      <c r="N650" s="12" t="str">
        <f aca="false">VLOOKUP(M650,RECATALOGANDO!B:C,2,0)</f>
        <v>VENTA DE SERVICIO</v>
      </c>
      <c r="O650" s="2" t="s">
        <v>78</v>
      </c>
    </row>
    <row r="651" customFormat="false" ht="13.8" hidden="false" customHeight="false" outlineLevel="0" collapsed="false">
      <c r="A651" s="8" t="n">
        <v>45227</v>
      </c>
      <c r="B651" s="9" t="n">
        <f aca="false">DAY(A651)</f>
        <v>28</v>
      </c>
      <c r="C651" s="9" t="n">
        <f aca="false">MONTH(A651)</f>
        <v>10</v>
      </c>
      <c r="D651" s="9" t="n">
        <f aca="false">YEAR(A651)</f>
        <v>2023</v>
      </c>
      <c r="E651" s="9" t="n">
        <f aca="false">WEEKDAY(A651,2)</f>
        <v>6</v>
      </c>
      <c r="F651" s="10" t="n">
        <f aca="false">WEEKNUM(A651,2) - WEEKNUM(DATE(YEAR(A651),MONTH(A651),1),2) + 1</f>
        <v>5</v>
      </c>
      <c r="G651" s="10"/>
      <c r="H651" s="11" t="n">
        <v>1771</v>
      </c>
      <c r="I651" s="12" t="s">
        <v>15</v>
      </c>
      <c r="J651" s="22" t="s">
        <v>59</v>
      </c>
      <c r="K651" s="12"/>
      <c r="L651" s="9" t="n">
        <f aca="false">L650+H651</f>
        <v>54723.59</v>
      </c>
      <c r="M651" s="10" t="str">
        <f aca="false">VLOOKUP(J651,RECATALOGANDO!A:C,2,0)</f>
        <v>SERVICIO DE PENSION</v>
      </c>
      <c r="N651" s="12" t="str">
        <f aca="false">VLOOKUP(M651,RECATALOGANDO!B:C,2,0)</f>
        <v>VENTA DE SERVICIO</v>
      </c>
      <c r="O651" s="2" t="s">
        <v>78</v>
      </c>
    </row>
    <row r="652" customFormat="false" ht="13.8" hidden="false" customHeight="false" outlineLevel="0" collapsed="false">
      <c r="A652" s="8" t="n">
        <v>45228</v>
      </c>
      <c r="B652" s="9" t="n">
        <f aca="false">DAY(A652)</f>
        <v>29</v>
      </c>
      <c r="C652" s="9" t="n">
        <f aca="false">MONTH(A652)</f>
        <v>10</v>
      </c>
      <c r="D652" s="9" t="n">
        <f aca="false">YEAR(A652)</f>
        <v>2023</v>
      </c>
      <c r="E652" s="9" t="n">
        <f aca="false">WEEKDAY(A652,2)</f>
        <v>7</v>
      </c>
      <c r="F652" s="10" t="n">
        <f aca="false">WEEKNUM(A652,2) - WEEKNUM(DATE(YEAR(A652),MONTH(A652),1),2) + 1</f>
        <v>5</v>
      </c>
      <c r="G652" s="10"/>
      <c r="H652" s="11" t="n">
        <v>1061</v>
      </c>
      <c r="I652" s="12" t="s">
        <v>15</v>
      </c>
      <c r="J652" s="22" t="s">
        <v>44</v>
      </c>
      <c r="K652" s="12"/>
      <c r="L652" s="9" t="n">
        <f aca="false">L651+H652</f>
        <v>55784.59</v>
      </c>
      <c r="M652" s="10" t="str">
        <f aca="false">VLOOKUP(J652,RECATALOGANDO!A:C,2,0)</f>
        <v>HONORARIOS MEDICOS</v>
      </c>
      <c r="N652" s="12" t="str">
        <f aca="false">VLOOKUP(M652,RECATALOGANDO!B:C,2,0)</f>
        <v>VENTA DE SERVICIO</v>
      </c>
      <c r="O652" s="2" t="s">
        <v>78</v>
      </c>
    </row>
    <row r="653" customFormat="false" ht="13.8" hidden="false" customHeight="false" outlineLevel="0" collapsed="false">
      <c r="A653" s="8" t="n">
        <v>45229</v>
      </c>
      <c r="B653" s="9" t="n">
        <f aca="false">DAY(A653)</f>
        <v>30</v>
      </c>
      <c r="C653" s="9" t="n">
        <f aca="false">MONTH(A653)</f>
        <v>10</v>
      </c>
      <c r="D653" s="9" t="n">
        <f aca="false">YEAR(A653)</f>
        <v>2023</v>
      </c>
      <c r="E653" s="9" t="n">
        <f aca="false">WEEKDAY(A653,2)</f>
        <v>1</v>
      </c>
      <c r="F653" s="10" t="n">
        <f aca="false">WEEKNUM(A653,2) - WEEKNUM(DATE(YEAR(A653),MONTH(A653),1),2) + 1</f>
        <v>6</v>
      </c>
      <c r="G653" s="10" t="n">
        <v>2</v>
      </c>
      <c r="H653" s="11" t="n">
        <v>1860</v>
      </c>
      <c r="I653" s="12" t="s">
        <v>20</v>
      </c>
      <c r="J653" s="12" t="s">
        <v>45</v>
      </c>
      <c r="K653" s="12"/>
      <c r="L653" s="9" t="n">
        <f aca="false">L652+H653</f>
        <v>57644.59</v>
      </c>
      <c r="M653" s="10" t="str">
        <f aca="false">VLOOKUP(J653,RECATALOGANDO!A:C,2,0)</f>
        <v>VENTA DE MEDICAMENTO</v>
      </c>
      <c r="N653" s="12" t="str">
        <f aca="false">VLOOKUP(M653,RECATALOGANDO!B:C,2,0)</f>
        <v>VENTA DE PRODUCTO</v>
      </c>
      <c r="O653" s="2" t="s">
        <v>78</v>
      </c>
    </row>
    <row r="654" customFormat="false" ht="13.8" hidden="false" customHeight="false" outlineLevel="0" collapsed="false">
      <c r="A654" s="8" t="n">
        <v>45229</v>
      </c>
      <c r="B654" s="9" t="n">
        <f aca="false">DAY(A654)</f>
        <v>30</v>
      </c>
      <c r="C654" s="9" t="n">
        <f aca="false">MONTH(A654)</f>
        <v>10</v>
      </c>
      <c r="D654" s="9" t="n">
        <f aca="false">YEAR(A654)</f>
        <v>2023</v>
      </c>
      <c r="E654" s="9" t="n">
        <f aca="false">WEEKDAY(A654,2)</f>
        <v>1</v>
      </c>
      <c r="F654" s="10" t="n">
        <f aca="false">WEEKNUM(A654,2) - WEEKNUM(DATE(YEAR(A654),MONTH(A654),1),2) + 1</f>
        <v>6</v>
      </c>
      <c r="G654" s="10" t="n">
        <v>2</v>
      </c>
      <c r="H654" s="11" t="n">
        <v>370</v>
      </c>
      <c r="I654" s="12" t="s">
        <v>20</v>
      </c>
      <c r="J654" s="22" t="s">
        <v>53</v>
      </c>
      <c r="K654" s="12"/>
      <c r="L654" s="9" t="n">
        <f aca="false">L653+H654</f>
        <v>58014.59</v>
      </c>
      <c r="M654" s="10" t="str">
        <f aca="false">VLOOKUP(J654,RECATALOGANDO!A:C,2,0)</f>
        <v>SERVICIO DE GROOMING</v>
      </c>
      <c r="N654" s="12" t="str">
        <f aca="false">VLOOKUP(M654,RECATALOGANDO!B:C,2,0)</f>
        <v>VENTA DE SERVICIO</v>
      </c>
      <c r="O654" s="2" t="s">
        <v>78</v>
      </c>
    </row>
    <row r="655" customFormat="false" ht="13.8" hidden="false" customHeight="false" outlineLevel="0" collapsed="false">
      <c r="A655" s="8" t="n">
        <v>45229</v>
      </c>
      <c r="B655" s="9" t="n">
        <f aca="false">DAY(A655)</f>
        <v>30</v>
      </c>
      <c r="C655" s="9" t="n">
        <f aca="false">MONTH(A655)</f>
        <v>10</v>
      </c>
      <c r="D655" s="9" t="n">
        <f aca="false">YEAR(A655)</f>
        <v>2023</v>
      </c>
      <c r="E655" s="9" t="n">
        <f aca="false">WEEKDAY(A655,2)</f>
        <v>1</v>
      </c>
      <c r="F655" s="10" t="n">
        <f aca="false">WEEKNUM(A655,2) - WEEKNUM(DATE(YEAR(A655),MONTH(A655),1),2) + 1</f>
        <v>6</v>
      </c>
      <c r="G655" s="10" t="n">
        <v>2</v>
      </c>
      <c r="H655" s="11" t="n">
        <v>2900</v>
      </c>
      <c r="I655" s="12" t="s">
        <v>20</v>
      </c>
      <c r="J655" s="22" t="s">
        <v>58</v>
      </c>
      <c r="K655" s="12"/>
      <c r="L655" s="9" t="n">
        <f aca="false">L654+H655</f>
        <v>60914.59</v>
      </c>
      <c r="M655" s="10" t="str">
        <f aca="false">VLOOKUP(J655,RECATALOGANDO!A:C,2,0)</f>
        <v>SERVICIO DE LABORATORIO</v>
      </c>
      <c r="N655" s="12" t="str">
        <f aca="false">VLOOKUP(M655,RECATALOGANDO!B:C,2,0)</f>
        <v>VENTA DE SERVICIO</v>
      </c>
      <c r="O655" s="2" t="s">
        <v>78</v>
      </c>
    </row>
    <row r="656" customFormat="false" ht="13.8" hidden="false" customHeight="false" outlineLevel="0" collapsed="false">
      <c r="A656" s="8" t="n">
        <v>45230</v>
      </c>
      <c r="B656" s="9" t="n">
        <f aca="false">DAY(A656)</f>
        <v>31</v>
      </c>
      <c r="C656" s="9" t="n">
        <f aca="false">MONTH(A656)</f>
        <v>10</v>
      </c>
      <c r="D656" s="9" t="n">
        <f aca="false">YEAR(A656)</f>
        <v>2023</v>
      </c>
      <c r="E656" s="9" t="n">
        <f aca="false">WEEKDAY(A656,2)</f>
        <v>2</v>
      </c>
      <c r="F656" s="10" t="n">
        <f aca="false">WEEKNUM(A656,2) - WEEKNUM(DATE(YEAR(A656),MONTH(A656),1),2) + 1</f>
        <v>6</v>
      </c>
      <c r="G656" s="10"/>
      <c r="H656" s="11" t="n">
        <v>1400</v>
      </c>
      <c r="I656" s="12" t="s">
        <v>20</v>
      </c>
      <c r="J656" s="22" t="s">
        <v>51</v>
      </c>
      <c r="K656" s="12"/>
      <c r="L656" s="9" t="n">
        <f aca="false">L655+H656</f>
        <v>62314.59</v>
      </c>
      <c r="M656" s="10" t="str">
        <f aca="false">VLOOKUP(J656,RECATALOGANDO!A:C,2,0)</f>
        <v>VENTA DE ALIMENTO</v>
      </c>
      <c r="N656" s="12" t="str">
        <f aca="false">VLOOKUP(M656,RECATALOGANDO!B:C,2,0)</f>
        <v>VENTA DE PRODUCTO</v>
      </c>
      <c r="O656" s="2" t="s">
        <v>78</v>
      </c>
    </row>
    <row r="657" customFormat="false" ht="13.8" hidden="false" customHeight="false" outlineLevel="0" collapsed="false">
      <c r="A657" s="8" t="n">
        <v>45230</v>
      </c>
      <c r="B657" s="9" t="n">
        <f aca="false">DAY(A657)</f>
        <v>31</v>
      </c>
      <c r="C657" s="9" t="n">
        <f aca="false">MONTH(A657)</f>
        <v>10</v>
      </c>
      <c r="D657" s="9" t="n">
        <f aca="false">YEAR(A657)</f>
        <v>2023</v>
      </c>
      <c r="E657" s="9" t="n">
        <f aca="false">WEEKDAY(A657,2)</f>
        <v>2</v>
      </c>
      <c r="F657" s="10" t="n">
        <f aca="false">WEEKNUM(A657,2) - WEEKNUM(DATE(YEAR(A657),MONTH(A657),1),2) + 1</f>
        <v>6</v>
      </c>
      <c r="G657" s="10"/>
      <c r="H657" s="11" t="n">
        <v>2000</v>
      </c>
      <c r="I657" s="12" t="s">
        <v>20</v>
      </c>
      <c r="J657" s="22" t="s">
        <v>51</v>
      </c>
      <c r="K657" s="12"/>
      <c r="L657" s="9" t="n">
        <f aca="false">L656+H657</f>
        <v>64314.59</v>
      </c>
      <c r="M657" s="10" t="str">
        <f aca="false">VLOOKUP(J657,RECATALOGANDO!A:C,2,0)</f>
        <v>VENTA DE ALIMENTO</v>
      </c>
      <c r="N657" s="12" t="str">
        <f aca="false">VLOOKUP(M657,RECATALOGANDO!B:C,2,0)</f>
        <v>VENTA DE PRODUCTO</v>
      </c>
      <c r="O657" s="2" t="s">
        <v>78</v>
      </c>
    </row>
    <row r="658" customFormat="false" ht="13.8" hidden="false" customHeight="false" outlineLevel="0" collapsed="false">
      <c r="A658" s="8" t="n">
        <v>45230</v>
      </c>
      <c r="B658" s="9" t="n">
        <f aca="false">DAY(A658)</f>
        <v>31</v>
      </c>
      <c r="C658" s="9" t="n">
        <f aca="false">MONTH(A658)</f>
        <v>10</v>
      </c>
      <c r="D658" s="9" t="n">
        <f aca="false">YEAR(A658)</f>
        <v>2023</v>
      </c>
      <c r="E658" s="9" t="n">
        <f aca="false">WEEKDAY(A658,2)</f>
        <v>2</v>
      </c>
      <c r="F658" s="10" t="n">
        <f aca="false">WEEKNUM(A658,2) - WEEKNUM(DATE(YEAR(A658),MONTH(A658),1),2) + 1</f>
        <v>6</v>
      </c>
      <c r="G658" s="10"/>
      <c r="H658" s="11" t="n">
        <v>846</v>
      </c>
      <c r="I658" s="12" t="s">
        <v>15</v>
      </c>
      <c r="J658" s="12" t="s">
        <v>63</v>
      </c>
      <c r="K658" s="12"/>
      <c r="L658" s="9" t="n">
        <f aca="false">L657+H658</f>
        <v>65160.59</v>
      </c>
      <c r="M658" s="10" t="str">
        <f aca="false">VLOOKUP(J658,RECATALOGANDO!A:C,2,0)</f>
        <v>SERVICIO DE CREMACION</v>
      </c>
      <c r="N658" s="12" t="str">
        <f aca="false">VLOOKUP(M658,RECATALOGANDO!B:C,2,0)</f>
        <v>VENTA DE SERVICIO</v>
      </c>
      <c r="O658" s="2" t="s">
        <v>78</v>
      </c>
    </row>
    <row r="659" customFormat="false" ht="13.8" hidden="false" customHeight="false" outlineLevel="0" collapsed="false">
      <c r="A659" s="8" t="n">
        <v>45231</v>
      </c>
      <c r="B659" s="9" t="n">
        <f aca="false">DAY(A659)</f>
        <v>1</v>
      </c>
      <c r="C659" s="9" t="n">
        <f aca="false">MONTH(A659)</f>
        <v>11</v>
      </c>
      <c r="D659" s="9" t="n">
        <f aca="false">YEAR(A659)</f>
        <v>2023</v>
      </c>
      <c r="E659" s="9" t="n">
        <f aca="false">WEEKDAY(A659,2)</f>
        <v>3</v>
      </c>
      <c r="F659" s="10" t="n">
        <f aca="false">WEEKNUM(A659,2) - WEEKNUM(DATE(YEAR(A659),MONTH(A659),1),2) + 1</f>
        <v>1</v>
      </c>
      <c r="G659" s="10"/>
      <c r="H659" s="11" t="n">
        <v>360</v>
      </c>
      <c r="I659" s="12" t="s">
        <v>20</v>
      </c>
      <c r="J659" s="12" t="s">
        <v>53</v>
      </c>
      <c r="K659" s="12"/>
      <c r="L659" s="9" t="n">
        <f aca="false">H659</f>
        <v>360</v>
      </c>
      <c r="M659" s="10" t="str">
        <f aca="false">VLOOKUP(J659,RECATALOGANDO!A:C,2,0)</f>
        <v>SERVICIO DE GROOMING</v>
      </c>
      <c r="N659" s="12" t="str">
        <f aca="false">VLOOKUP(M659,RECATALOGANDO!B:C,2,0)</f>
        <v>VENTA DE SERVICIO</v>
      </c>
      <c r="O659" s="2" t="s">
        <v>78</v>
      </c>
    </row>
    <row r="660" customFormat="false" ht="13.8" hidden="false" customHeight="false" outlineLevel="0" collapsed="false">
      <c r="A660" s="8" t="n">
        <v>45231</v>
      </c>
      <c r="B660" s="9" t="n">
        <f aca="false">DAY(A660)</f>
        <v>1</v>
      </c>
      <c r="C660" s="9" t="n">
        <f aca="false">MONTH(A660)</f>
        <v>11</v>
      </c>
      <c r="D660" s="9" t="n">
        <f aca="false">YEAR(A660)</f>
        <v>2023</v>
      </c>
      <c r="E660" s="9" t="n">
        <f aca="false">WEEKDAY(A660,2)</f>
        <v>3</v>
      </c>
      <c r="F660" s="10" t="n">
        <f aca="false">WEEKNUM(A660,2) - WEEKNUM(DATE(YEAR(A660),MONTH(A660),1),2) + 1</f>
        <v>1</v>
      </c>
      <c r="G660" s="10"/>
      <c r="H660" s="11" t="n">
        <v>1000</v>
      </c>
      <c r="I660" s="12" t="s">
        <v>15</v>
      </c>
      <c r="J660" s="22" t="s">
        <v>44</v>
      </c>
      <c r="K660" s="12"/>
      <c r="L660" s="9" t="n">
        <f aca="false">L659+H660</f>
        <v>1360</v>
      </c>
      <c r="M660" s="10" t="str">
        <f aca="false">VLOOKUP(J660,RECATALOGANDO!A:C,2,0)</f>
        <v>HONORARIOS MEDICOS</v>
      </c>
      <c r="N660" s="12" t="str">
        <f aca="false">VLOOKUP(M660,RECATALOGANDO!B:C,2,0)</f>
        <v>VENTA DE SERVICIO</v>
      </c>
      <c r="O660" s="2" t="s">
        <v>78</v>
      </c>
    </row>
    <row r="661" customFormat="false" ht="13.8" hidden="false" customHeight="false" outlineLevel="0" collapsed="false">
      <c r="A661" s="8" t="n">
        <v>45231</v>
      </c>
      <c r="B661" s="9" t="n">
        <f aca="false">DAY(A661)</f>
        <v>1</v>
      </c>
      <c r="C661" s="9" t="n">
        <f aca="false">MONTH(A661)</f>
        <v>11</v>
      </c>
      <c r="D661" s="9" t="n">
        <f aca="false">YEAR(A661)</f>
        <v>2023</v>
      </c>
      <c r="E661" s="9" t="n">
        <f aca="false">WEEKDAY(A661,2)</f>
        <v>3</v>
      </c>
      <c r="F661" s="10" t="n">
        <f aca="false">WEEKNUM(A661,2) - WEEKNUM(DATE(YEAR(A661),MONTH(A661),1),2) + 1</f>
        <v>1</v>
      </c>
      <c r="G661" s="10"/>
      <c r="H661" s="11" t="n">
        <v>1000</v>
      </c>
      <c r="I661" s="12" t="s">
        <v>15</v>
      </c>
      <c r="J661" s="22" t="s">
        <v>56</v>
      </c>
      <c r="K661" s="12"/>
      <c r="L661" s="9" t="n">
        <f aca="false">L660+H661</f>
        <v>2360</v>
      </c>
      <c r="M661" s="10" t="str">
        <f aca="false">VLOOKUP(J661,RECATALOGANDO!A:C,2,0)</f>
        <v>SERVICIO DE IMAGEN</v>
      </c>
      <c r="N661" s="12" t="str">
        <f aca="false">VLOOKUP(M661,RECATALOGANDO!B:C,2,0)</f>
        <v>VENTA DE SERVICIO</v>
      </c>
      <c r="O661" s="2" t="s">
        <v>78</v>
      </c>
    </row>
    <row r="662" customFormat="false" ht="13.8" hidden="false" customHeight="false" outlineLevel="0" collapsed="false">
      <c r="A662" s="8" t="n">
        <v>45231</v>
      </c>
      <c r="B662" s="9" t="n">
        <f aca="false">DAY(A662)</f>
        <v>1</v>
      </c>
      <c r="C662" s="9" t="n">
        <f aca="false">MONTH(A662)</f>
        <v>11</v>
      </c>
      <c r="D662" s="9" t="n">
        <f aca="false">YEAR(A662)</f>
        <v>2023</v>
      </c>
      <c r="E662" s="9" t="n">
        <f aca="false">WEEKDAY(A662,2)</f>
        <v>3</v>
      </c>
      <c r="F662" s="10" t="n">
        <f aca="false">WEEKNUM(A662,2) - WEEKNUM(DATE(YEAR(A662),MONTH(A662),1),2) + 1</f>
        <v>1</v>
      </c>
      <c r="G662" s="10"/>
      <c r="H662" s="11" t="n">
        <v>1700</v>
      </c>
      <c r="I662" s="12" t="s">
        <v>15</v>
      </c>
      <c r="J662" s="22" t="s">
        <v>58</v>
      </c>
      <c r="K662" s="12"/>
      <c r="L662" s="9" t="n">
        <f aca="false">L661+H662</f>
        <v>4060</v>
      </c>
      <c r="M662" s="10" t="str">
        <f aca="false">VLOOKUP(J662,RECATALOGANDO!A:C,2,0)</f>
        <v>SERVICIO DE LABORATORIO</v>
      </c>
      <c r="N662" s="12" t="str">
        <f aca="false">VLOOKUP(M662,RECATALOGANDO!B:C,2,0)</f>
        <v>VENTA DE SERVICIO</v>
      </c>
      <c r="O662" s="2" t="s">
        <v>78</v>
      </c>
    </row>
    <row r="663" customFormat="false" ht="13.8" hidden="false" customHeight="false" outlineLevel="0" collapsed="false">
      <c r="A663" s="8" t="n">
        <v>45233</v>
      </c>
      <c r="B663" s="9" t="n">
        <f aca="false">DAY(A663)</f>
        <v>3</v>
      </c>
      <c r="C663" s="9" t="n">
        <f aca="false">MONTH(A663)</f>
        <v>11</v>
      </c>
      <c r="D663" s="9" t="n">
        <f aca="false">YEAR(A663)</f>
        <v>2023</v>
      </c>
      <c r="E663" s="9" t="n">
        <f aca="false">WEEKDAY(A663,2)</f>
        <v>5</v>
      </c>
      <c r="F663" s="10" t="n">
        <f aca="false">WEEKNUM(A663,2) - WEEKNUM(DATE(YEAR(A663),MONTH(A663),1),2) + 1</f>
        <v>1</v>
      </c>
      <c r="G663" s="10"/>
      <c r="H663" s="11" t="n">
        <v>572</v>
      </c>
      <c r="I663" s="12" t="s">
        <v>20</v>
      </c>
      <c r="J663" s="12" t="s">
        <v>51</v>
      </c>
      <c r="K663" s="12"/>
      <c r="L663" s="9" t="n">
        <f aca="false">L662+H663</f>
        <v>4632</v>
      </c>
      <c r="M663" s="10" t="str">
        <f aca="false">VLOOKUP(J663,RECATALOGANDO!A:C,2,0)</f>
        <v>VENTA DE ALIMENTO</v>
      </c>
      <c r="N663" s="12" t="str">
        <f aca="false">VLOOKUP(M663,RECATALOGANDO!B:C,2,0)</f>
        <v>VENTA DE PRODUCTO</v>
      </c>
      <c r="O663" s="2" t="s">
        <v>78</v>
      </c>
    </row>
    <row r="664" customFormat="false" ht="13.8" hidden="false" customHeight="false" outlineLevel="0" collapsed="false">
      <c r="A664" s="8" t="n">
        <v>45233</v>
      </c>
      <c r="B664" s="9" t="n">
        <f aca="false">DAY(A664)</f>
        <v>3</v>
      </c>
      <c r="C664" s="9" t="n">
        <f aca="false">MONTH(A664)</f>
        <v>11</v>
      </c>
      <c r="D664" s="9" t="n">
        <f aca="false">YEAR(A664)</f>
        <v>2023</v>
      </c>
      <c r="E664" s="9" t="n">
        <f aca="false">WEEKDAY(A664,2)</f>
        <v>5</v>
      </c>
      <c r="F664" s="10" t="n">
        <f aca="false">WEEKNUM(A664,2) - WEEKNUM(DATE(YEAR(A664),MONTH(A664),1),2) + 1</f>
        <v>1</v>
      </c>
      <c r="G664" s="10"/>
      <c r="H664" s="11" t="n">
        <v>700</v>
      </c>
      <c r="I664" s="12" t="s">
        <v>15</v>
      </c>
      <c r="J664" s="22" t="s">
        <v>45</v>
      </c>
      <c r="K664" s="12"/>
      <c r="L664" s="9" t="n">
        <f aca="false">L663+H664</f>
        <v>5332</v>
      </c>
      <c r="M664" s="10" t="str">
        <f aca="false">VLOOKUP(J664,RECATALOGANDO!A:C,2,0)</f>
        <v>VENTA DE MEDICAMENTO</v>
      </c>
      <c r="N664" s="12" t="str">
        <f aca="false">VLOOKUP(M664,RECATALOGANDO!B:C,2,0)</f>
        <v>VENTA DE PRODUCTO</v>
      </c>
      <c r="O664" s="2" t="s">
        <v>78</v>
      </c>
    </row>
    <row r="665" customFormat="false" ht="13.8" hidden="false" customHeight="false" outlineLevel="0" collapsed="false">
      <c r="A665" s="8" t="n">
        <v>45233</v>
      </c>
      <c r="B665" s="9" t="n">
        <f aca="false">DAY(A665)</f>
        <v>3</v>
      </c>
      <c r="C665" s="9" t="n">
        <f aca="false">MONTH(A665)</f>
        <v>11</v>
      </c>
      <c r="D665" s="9" t="n">
        <f aca="false">YEAR(A665)</f>
        <v>2023</v>
      </c>
      <c r="E665" s="9" t="n">
        <f aca="false">WEEKDAY(A665,2)</f>
        <v>5</v>
      </c>
      <c r="F665" s="10" t="n">
        <f aca="false">WEEKNUM(A665,2) - WEEKNUM(DATE(YEAR(A665),MONTH(A665),1),2) + 1</f>
        <v>1</v>
      </c>
      <c r="G665" s="10"/>
      <c r="H665" s="11" t="n">
        <v>290</v>
      </c>
      <c r="I665" s="12" t="s">
        <v>20</v>
      </c>
      <c r="J665" s="12" t="s">
        <v>53</v>
      </c>
      <c r="K665" s="12"/>
      <c r="L665" s="9" t="n">
        <f aca="false">L664+H665</f>
        <v>5622</v>
      </c>
      <c r="M665" s="10" t="str">
        <f aca="false">VLOOKUP(J665,RECATALOGANDO!A:C,2,0)</f>
        <v>SERVICIO DE GROOMING</v>
      </c>
      <c r="N665" s="12" t="str">
        <f aca="false">VLOOKUP(M665,RECATALOGANDO!B:C,2,0)</f>
        <v>VENTA DE SERVICIO</v>
      </c>
      <c r="O665" s="2" t="s">
        <v>78</v>
      </c>
    </row>
    <row r="666" customFormat="false" ht="13.8" hidden="false" customHeight="false" outlineLevel="0" collapsed="false">
      <c r="A666" s="8" t="n">
        <v>45233</v>
      </c>
      <c r="B666" s="9" t="n">
        <f aca="false">DAY(A666)</f>
        <v>3</v>
      </c>
      <c r="C666" s="9" t="n">
        <f aca="false">MONTH(A666)</f>
        <v>11</v>
      </c>
      <c r="D666" s="9" t="n">
        <f aca="false">YEAR(A666)</f>
        <v>2023</v>
      </c>
      <c r="E666" s="9" t="n">
        <f aca="false">WEEKDAY(A666,2)</f>
        <v>5</v>
      </c>
      <c r="F666" s="10" t="n">
        <f aca="false">WEEKNUM(A666,2) - WEEKNUM(DATE(YEAR(A666),MONTH(A666),1),2) + 1</f>
        <v>1</v>
      </c>
      <c r="G666" s="10"/>
      <c r="H666" s="11" t="n">
        <v>320</v>
      </c>
      <c r="I666" s="12" t="s">
        <v>20</v>
      </c>
      <c r="J666" s="22" t="s">
        <v>58</v>
      </c>
      <c r="K666" s="12"/>
      <c r="L666" s="9" t="n">
        <f aca="false">L665+H666</f>
        <v>5942</v>
      </c>
      <c r="M666" s="10" t="str">
        <f aca="false">VLOOKUP(J666,RECATALOGANDO!A:C,2,0)</f>
        <v>SERVICIO DE LABORATORIO</v>
      </c>
      <c r="N666" s="12" t="str">
        <f aca="false">VLOOKUP(M666,RECATALOGANDO!B:C,2,0)</f>
        <v>VENTA DE SERVICIO</v>
      </c>
      <c r="O666" s="2" t="s">
        <v>78</v>
      </c>
    </row>
    <row r="667" customFormat="false" ht="13.8" hidden="false" customHeight="false" outlineLevel="0" collapsed="false">
      <c r="A667" s="8" t="n">
        <v>45233</v>
      </c>
      <c r="B667" s="9" t="n">
        <f aca="false">DAY(A667)</f>
        <v>3</v>
      </c>
      <c r="C667" s="9" t="n">
        <f aca="false">MONTH(A667)</f>
        <v>11</v>
      </c>
      <c r="D667" s="9" t="n">
        <f aca="false">YEAR(A667)</f>
        <v>2023</v>
      </c>
      <c r="E667" s="9" t="n">
        <f aca="false">WEEKDAY(A667,2)</f>
        <v>5</v>
      </c>
      <c r="F667" s="10" t="n">
        <f aca="false">WEEKNUM(A667,2) - WEEKNUM(DATE(YEAR(A667),MONTH(A667),1),2) + 1</f>
        <v>1</v>
      </c>
      <c r="G667" s="10"/>
      <c r="H667" s="11" t="n">
        <v>3500</v>
      </c>
      <c r="I667" s="12" t="s">
        <v>15</v>
      </c>
      <c r="J667" s="22" t="s">
        <v>44</v>
      </c>
      <c r="K667" s="12"/>
      <c r="L667" s="9" t="n">
        <f aca="false">L666+H667</f>
        <v>9442</v>
      </c>
      <c r="M667" s="10" t="str">
        <f aca="false">VLOOKUP(J667,RECATALOGANDO!A:C,2,0)</f>
        <v>HONORARIOS MEDICOS</v>
      </c>
      <c r="N667" s="12" t="str">
        <f aca="false">VLOOKUP(M667,RECATALOGANDO!B:C,2,0)</f>
        <v>VENTA DE SERVICIO</v>
      </c>
      <c r="O667" s="2" t="s">
        <v>78</v>
      </c>
    </row>
    <row r="668" customFormat="false" ht="13.8" hidden="false" customHeight="false" outlineLevel="0" collapsed="false">
      <c r="A668" s="8" t="n">
        <v>45234</v>
      </c>
      <c r="B668" s="9" t="n">
        <f aca="false">DAY(A668)</f>
        <v>4</v>
      </c>
      <c r="C668" s="9" t="n">
        <f aca="false">MONTH(A668)</f>
        <v>11</v>
      </c>
      <c r="D668" s="9" t="n">
        <f aca="false">YEAR(A668)</f>
        <v>2023</v>
      </c>
      <c r="E668" s="9" t="n">
        <f aca="false">WEEKDAY(A668,2)</f>
        <v>6</v>
      </c>
      <c r="F668" s="10" t="n">
        <f aca="false">WEEKNUM(A668,2) - WEEKNUM(DATE(YEAR(A668),MONTH(A668),1),2) + 1</f>
        <v>1</v>
      </c>
      <c r="G668" s="10"/>
      <c r="H668" s="11" t="n">
        <v>1209</v>
      </c>
      <c r="I668" s="12" t="s">
        <v>15</v>
      </c>
      <c r="J668" s="22" t="s">
        <v>45</v>
      </c>
      <c r="K668" s="12"/>
      <c r="L668" s="9" t="n">
        <f aca="false">L667+H668</f>
        <v>10651</v>
      </c>
      <c r="M668" s="10" t="str">
        <f aca="false">VLOOKUP(J668,RECATALOGANDO!A:C,2,0)</f>
        <v>VENTA DE MEDICAMENTO</v>
      </c>
      <c r="N668" s="12" t="str">
        <f aca="false">VLOOKUP(M668,RECATALOGANDO!B:C,2,0)</f>
        <v>VENTA DE PRODUCTO</v>
      </c>
      <c r="O668" s="2" t="s">
        <v>78</v>
      </c>
    </row>
    <row r="669" customFormat="false" ht="13.8" hidden="false" customHeight="false" outlineLevel="0" collapsed="false">
      <c r="A669" s="8" t="n">
        <v>45236</v>
      </c>
      <c r="B669" s="9" t="n">
        <f aca="false">DAY(A669)</f>
        <v>6</v>
      </c>
      <c r="C669" s="9" t="n">
        <f aca="false">MONTH(A669)</f>
        <v>11</v>
      </c>
      <c r="D669" s="9" t="n">
        <f aca="false">YEAR(A669)</f>
        <v>2023</v>
      </c>
      <c r="E669" s="9" t="n">
        <f aca="false">WEEKDAY(A669,2)</f>
        <v>1</v>
      </c>
      <c r="F669" s="10" t="n">
        <f aca="false">WEEKNUM(A669,2) - WEEKNUM(DATE(YEAR(A669),MONTH(A669),1),2) + 1</f>
        <v>2</v>
      </c>
      <c r="G669" s="10"/>
      <c r="H669" s="11" t="n">
        <v>420</v>
      </c>
      <c r="I669" s="12" t="s">
        <v>20</v>
      </c>
      <c r="J669" s="22" t="s">
        <v>58</v>
      </c>
      <c r="K669" s="12"/>
      <c r="L669" s="9" t="n">
        <f aca="false">L668+H669</f>
        <v>11071</v>
      </c>
      <c r="M669" s="10" t="str">
        <f aca="false">VLOOKUP(J669,RECATALOGANDO!A:C,2,0)</f>
        <v>SERVICIO DE LABORATORIO</v>
      </c>
      <c r="N669" s="12" t="str">
        <f aca="false">VLOOKUP(M669,RECATALOGANDO!B:C,2,0)</f>
        <v>VENTA DE SERVICIO</v>
      </c>
      <c r="O669" s="2" t="s">
        <v>78</v>
      </c>
    </row>
    <row r="670" customFormat="false" ht="13.8" hidden="false" customHeight="false" outlineLevel="0" collapsed="false">
      <c r="A670" s="8" t="n">
        <v>45237</v>
      </c>
      <c r="B670" s="9" t="n">
        <f aca="false">DAY(A670)</f>
        <v>7</v>
      </c>
      <c r="C670" s="9" t="n">
        <f aca="false">MONTH(A670)</f>
        <v>11</v>
      </c>
      <c r="D670" s="9" t="n">
        <f aca="false">YEAR(A670)</f>
        <v>2023</v>
      </c>
      <c r="E670" s="9" t="n">
        <f aca="false">WEEKDAY(A670,2)</f>
        <v>2</v>
      </c>
      <c r="F670" s="10" t="n">
        <f aca="false">WEEKNUM(A670,2) - WEEKNUM(DATE(YEAR(A670),MONTH(A670),1),2) + 1</f>
        <v>2</v>
      </c>
      <c r="G670" s="10"/>
      <c r="H670" s="11" t="n">
        <v>2432</v>
      </c>
      <c r="I670" s="12" t="s">
        <v>20</v>
      </c>
      <c r="J670" s="22" t="s">
        <v>51</v>
      </c>
      <c r="K670" s="12"/>
      <c r="L670" s="9" t="n">
        <f aca="false">L669+H670</f>
        <v>13503</v>
      </c>
      <c r="M670" s="10" t="str">
        <f aca="false">VLOOKUP(J670,RECATALOGANDO!A:C,2,0)</f>
        <v>VENTA DE ALIMENTO</v>
      </c>
      <c r="N670" s="12" t="str">
        <f aca="false">VLOOKUP(M670,RECATALOGANDO!B:C,2,0)</f>
        <v>VENTA DE PRODUCTO</v>
      </c>
      <c r="O670" s="2" t="s">
        <v>78</v>
      </c>
    </row>
    <row r="671" customFormat="false" ht="13.8" hidden="false" customHeight="false" outlineLevel="0" collapsed="false">
      <c r="A671" s="8" t="n">
        <v>45237</v>
      </c>
      <c r="B671" s="9" t="n">
        <f aca="false">DAY(A671)</f>
        <v>7</v>
      </c>
      <c r="C671" s="9" t="n">
        <f aca="false">MONTH(A671)</f>
        <v>11</v>
      </c>
      <c r="D671" s="9" t="n">
        <f aca="false">YEAR(A671)</f>
        <v>2023</v>
      </c>
      <c r="E671" s="9" t="n">
        <f aca="false">WEEKDAY(A671,2)</f>
        <v>2</v>
      </c>
      <c r="F671" s="10" t="n">
        <f aca="false">WEEKNUM(A671,2) - WEEKNUM(DATE(YEAR(A671),MONTH(A671),1),2) + 1</f>
        <v>2</v>
      </c>
      <c r="G671" s="10"/>
      <c r="H671" s="11" t="n">
        <v>375</v>
      </c>
      <c r="I671" s="12" t="s">
        <v>15</v>
      </c>
      <c r="J671" s="12" t="s">
        <v>53</v>
      </c>
      <c r="K671" s="12"/>
      <c r="L671" s="9" t="n">
        <f aca="false">L670+H671</f>
        <v>13878</v>
      </c>
      <c r="M671" s="10" t="str">
        <f aca="false">VLOOKUP(J671,RECATALOGANDO!A:C,2,0)</f>
        <v>SERVICIO DE GROOMING</v>
      </c>
      <c r="N671" s="12" t="str">
        <f aca="false">VLOOKUP(M671,RECATALOGANDO!B:C,2,0)</f>
        <v>VENTA DE SERVICIO</v>
      </c>
      <c r="O671" s="2" t="s">
        <v>78</v>
      </c>
    </row>
    <row r="672" customFormat="false" ht="13.8" hidden="false" customHeight="false" outlineLevel="0" collapsed="false">
      <c r="A672" s="8" t="n">
        <v>45238</v>
      </c>
      <c r="B672" s="9" t="n">
        <f aca="false">DAY(A672)</f>
        <v>8</v>
      </c>
      <c r="C672" s="9" t="n">
        <f aca="false">MONTH(A672)</f>
        <v>11</v>
      </c>
      <c r="D672" s="9" t="n">
        <f aca="false">YEAR(A672)</f>
        <v>2023</v>
      </c>
      <c r="E672" s="9" t="n">
        <f aca="false">WEEKDAY(A672,2)</f>
        <v>3</v>
      </c>
      <c r="F672" s="10" t="n">
        <f aca="false">WEEKNUM(A672,2) - WEEKNUM(DATE(YEAR(A672),MONTH(A672),1),2) + 1</f>
        <v>2</v>
      </c>
      <c r="G672" s="10"/>
      <c r="H672" s="11" t="n">
        <v>270</v>
      </c>
      <c r="I672" s="12" t="s">
        <v>20</v>
      </c>
      <c r="J672" s="12" t="s">
        <v>53</v>
      </c>
      <c r="K672" s="12"/>
      <c r="L672" s="9" t="n">
        <f aca="false">L671+H672</f>
        <v>14148</v>
      </c>
      <c r="M672" s="10" t="str">
        <f aca="false">VLOOKUP(J672,RECATALOGANDO!A:C,2,0)</f>
        <v>SERVICIO DE GROOMING</v>
      </c>
      <c r="N672" s="12" t="str">
        <f aca="false">VLOOKUP(M672,RECATALOGANDO!B:C,2,0)</f>
        <v>VENTA DE SERVICIO</v>
      </c>
      <c r="O672" s="2" t="s">
        <v>78</v>
      </c>
    </row>
    <row r="673" customFormat="false" ht="13.8" hidden="false" customHeight="false" outlineLevel="0" collapsed="false">
      <c r="A673" s="8" t="n">
        <v>45238</v>
      </c>
      <c r="B673" s="9" t="n">
        <f aca="false">DAY(A673)</f>
        <v>8</v>
      </c>
      <c r="C673" s="9" t="n">
        <f aca="false">MONTH(A673)</f>
        <v>11</v>
      </c>
      <c r="D673" s="9" t="n">
        <f aca="false">YEAR(A673)</f>
        <v>2023</v>
      </c>
      <c r="E673" s="9" t="n">
        <f aca="false">WEEKDAY(A673,2)</f>
        <v>3</v>
      </c>
      <c r="F673" s="10" t="n">
        <f aca="false">WEEKNUM(A673,2) - WEEKNUM(DATE(YEAR(A673),MONTH(A673),1),2) + 1</f>
        <v>2</v>
      </c>
      <c r="G673" s="10"/>
      <c r="H673" s="11" t="n">
        <v>1439</v>
      </c>
      <c r="I673" s="12" t="s">
        <v>15</v>
      </c>
      <c r="J673" s="22" t="s">
        <v>44</v>
      </c>
      <c r="K673" s="12"/>
      <c r="L673" s="9" t="n">
        <f aca="false">L672+H673</f>
        <v>15587</v>
      </c>
      <c r="M673" s="10" t="str">
        <f aca="false">VLOOKUP(J673,RECATALOGANDO!A:C,2,0)</f>
        <v>HONORARIOS MEDICOS</v>
      </c>
      <c r="N673" s="12" t="str">
        <f aca="false">VLOOKUP(M673,RECATALOGANDO!B:C,2,0)</f>
        <v>VENTA DE SERVICIO</v>
      </c>
      <c r="O673" s="2" t="s">
        <v>78</v>
      </c>
    </row>
    <row r="674" customFormat="false" ht="13.8" hidden="false" customHeight="false" outlineLevel="0" collapsed="false">
      <c r="A674" s="8" t="n">
        <v>45239</v>
      </c>
      <c r="B674" s="9" t="n">
        <f aca="false">DAY(A674)</f>
        <v>9</v>
      </c>
      <c r="C674" s="9" t="n">
        <f aca="false">MONTH(A674)</f>
        <v>11</v>
      </c>
      <c r="D674" s="9" t="n">
        <f aca="false">YEAR(A674)</f>
        <v>2023</v>
      </c>
      <c r="E674" s="9" t="n">
        <f aca="false">WEEKDAY(A674,2)</f>
        <v>4</v>
      </c>
      <c r="F674" s="10" t="n">
        <f aca="false">WEEKNUM(A674,2) - WEEKNUM(DATE(YEAR(A674),MONTH(A674),1),2) + 1</f>
        <v>2</v>
      </c>
      <c r="G674" s="10"/>
      <c r="H674" s="11" t="n">
        <v>590</v>
      </c>
      <c r="I674" s="12" t="s">
        <v>20</v>
      </c>
      <c r="J674" s="12" t="s">
        <v>51</v>
      </c>
      <c r="K674" s="12"/>
      <c r="L674" s="9" t="n">
        <f aca="false">L673+H674</f>
        <v>16177</v>
      </c>
      <c r="M674" s="10" t="str">
        <f aca="false">VLOOKUP(J674,RECATALOGANDO!A:C,2,0)</f>
        <v>VENTA DE ALIMENTO</v>
      </c>
      <c r="N674" s="12" t="str">
        <f aca="false">VLOOKUP(M674,RECATALOGANDO!B:C,2,0)</f>
        <v>VENTA DE PRODUCTO</v>
      </c>
      <c r="O674" s="2" t="s">
        <v>78</v>
      </c>
    </row>
    <row r="675" customFormat="false" ht="13.8" hidden="false" customHeight="false" outlineLevel="0" collapsed="false">
      <c r="A675" s="8" t="n">
        <v>45239</v>
      </c>
      <c r="B675" s="9" t="n">
        <f aca="false">DAY(A675)</f>
        <v>9</v>
      </c>
      <c r="C675" s="9" t="n">
        <f aca="false">MONTH(A675)</f>
        <v>11</v>
      </c>
      <c r="D675" s="9" t="n">
        <f aca="false">YEAR(A675)</f>
        <v>2023</v>
      </c>
      <c r="E675" s="9" t="n">
        <f aca="false">WEEKDAY(A675,2)</f>
        <v>4</v>
      </c>
      <c r="F675" s="10" t="n">
        <f aca="false">WEEKNUM(A675,2) - WEEKNUM(DATE(YEAR(A675),MONTH(A675),1),2) + 1</f>
        <v>2</v>
      </c>
      <c r="G675" s="10"/>
      <c r="H675" s="11" t="n">
        <v>866</v>
      </c>
      <c r="I675" s="12" t="s">
        <v>15</v>
      </c>
      <c r="J675" s="22" t="s">
        <v>58</v>
      </c>
      <c r="K675" s="12"/>
      <c r="L675" s="9" t="n">
        <f aca="false">L674+H675</f>
        <v>17043</v>
      </c>
      <c r="M675" s="10" t="str">
        <f aca="false">VLOOKUP(J675,RECATALOGANDO!A:C,2,0)</f>
        <v>SERVICIO DE LABORATORIO</v>
      </c>
      <c r="N675" s="12" t="str">
        <f aca="false">VLOOKUP(M675,RECATALOGANDO!B:C,2,0)</f>
        <v>VENTA DE SERVICIO</v>
      </c>
      <c r="O675" s="2" t="s">
        <v>78</v>
      </c>
    </row>
    <row r="676" customFormat="false" ht="13.8" hidden="false" customHeight="false" outlineLevel="0" collapsed="false">
      <c r="A676" s="8" t="n">
        <v>45240</v>
      </c>
      <c r="B676" s="9" t="n">
        <f aca="false">DAY(A676)</f>
        <v>10</v>
      </c>
      <c r="C676" s="9" t="n">
        <f aca="false">MONTH(A676)</f>
        <v>11</v>
      </c>
      <c r="D676" s="9" t="n">
        <f aca="false">YEAR(A676)</f>
        <v>2023</v>
      </c>
      <c r="E676" s="9" t="n">
        <f aca="false">WEEKDAY(A676,2)</f>
        <v>5</v>
      </c>
      <c r="F676" s="10" t="n">
        <f aca="false">WEEKNUM(A676,2) - WEEKNUM(DATE(YEAR(A676),MONTH(A676),1),2) + 1</f>
        <v>2</v>
      </c>
      <c r="G676" s="10"/>
      <c r="H676" s="11" t="n">
        <v>1128</v>
      </c>
      <c r="I676" s="12" t="s">
        <v>20</v>
      </c>
      <c r="J676" s="22" t="s">
        <v>58</v>
      </c>
      <c r="K676" s="12"/>
      <c r="L676" s="9" t="n">
        <f aca="false">L675+H676</f>
        <v>18171</v>
      </c>
      <c r="M676" s="10" t="str">
        <f aca="false">VLOOKUP(J676,RECATALOGANDO!A:C,2,0)</f>
        <v>SERVICIO DE LABORATORIO</v>
      </c>
      <c r="N676" s="12" t="str">
        <f aca="false">VLOOKUP(M676,RECATALOGANDO!B:C,2,0)</f>
        <v>VENTA DE SERVICIO</v>
      </c>
      <c r="O676" s="2" t="s">
        <v>78</v>
      </c>
    </row>
    <row r="677" customFormat="false" ht="13.8" hidden="false" customHeight="false" outlineLevel="0" collapsed="false">
      <c r="A677" s="8" t="n">
        <v>45243</v>
      </c>
      <c r="B677" s="9" t="n">
        <f aca="false">DAY(A677)</f>
        <v>13</v>
      </c>
      <c r="C677" s="9" t="n">
        <f aca="false">MONTH(A677)</f>
        <v>11</v>
      </c>
      <c r="D677" s="9" t="n">
        <f aca="false">YEAR(A677)</f>
        <v>2023</v>
      </c>
      <c r="E677" s="9" t="n">
        <f aca="false">WEEKDAY(A677,2)</f>
        <v>1</v>
      </c>
      <c r="F677" s="10" t="n">
        <f aca="false">WEEKNUM(A677,2) - WEEKNUM(DATE(YEAR(A677),MONTH(A677),1),2) + 1</f>
        <v>3</v>
      </c>
      <c r="G677" s="10"/>
      <c r="H677" s="11" t="n">
        <v>300</v>
      </c>
      <c r="I677" s="12" t="s">
        <v>15</v>
      </c>
      <c r="J677" s="12" t="s">
        <v>53</v>
      </c>
      <c r="K677" s="12"/>
      <c r="L677" s="9" t="n">
        <f aca="false">L676+H677</f>
        <v>18471</v>
      </c>
      <c r="M677" s="10" t="str">
        <f aca="false">VLOOKUP(J677,RECATALOGANDO!A:C,2,0)</f>
        <v>SERVICIO DE GROOMING</v>
      </c>
      <c r="N677" s="12" t="str">
        <f aca="false">VLOOKUP(M677,RECATALOGANDO!B:C,2,0)</f>
        <v>VENTA DE SERVICIO</v>
      </c>
      <c r="O677" s="2" t="s">
        <v>78</v>
      </c>
    </row>
    <row r="678" customFormat="false" ht="13.8" hidden="false" customHeight="false" outlineLevel="0" collapsed="false">
      <c r="A678" s="8" t="n">
        <v>45243</v>
      </c>
      <c r="B678" s="9" t="n">
        <f aca="false">DAY(A678)</f>
        <v>13</v>
      </c>
      <c r="C678" s="9" t="n">
        <f aca="false">MONTH(A678)</f>
        <v>11</v>
      </c>
      <c r="D678" s="9" t="n">
        <f aca="false">YEAR(A678)</f>
        <v>2023</v>
      </c>
      <c r="E678" s="9" t="n">
        <f aca="false">WEEKDAY(A678,2)</f>
        <v>1</v>
      </c>
      <c r="F678" s="10" t="n">
        <f aca="false">WEEKNUM(A678,2) - WEEKNUM(DATE(YEAR(A678),MONTH(A678),1),2) + 1</f>
        <v>3</v>
      </c>
      <c r="G678" s="10"/>
      <c r="H678" s="11" t="n">
        <v>2050</v>
      </c>
      <c r="I678" s="12" t="s">
        <v>20</v>
      </c>
      <c r="J678" s="22" t="s">
        <v>44</v>
      </c>
      <c r="K678" s="12"/>
      <c r="L678" s="9" t="n">
        <f aca="false">L677+H678</f>
        <v>20521</v>
      </c>
      <c r="M678" s="10" t="str">
        <f aca="false">VLOOKUP(J678,RECATALOGANDO!A:C,2,0)</f>
        <v>HONORARIOS MEDICOS</v>
      </c>
      <c r="N678" s="12" t="str">
        <f aca="false">VLOOKUP(M678,RECATALOGANDO!B:C,2,0)</f>
        <v>VENTA DE SERVICIO</v>
      </c>
      <c r="O678" s="2" t="s">
        <v>78</v>
      </c>
    </row>
    <row r="679" customFormat="false" ht="13.8" hidden="false" customHeight="false" outlineLevel="0" collapsed="false">
      <c r="A679" s="8" t="n">
        <v>45244</v>
      </c>
      <c r="B679" s="9" t="n">
        <f aca="false">DAY(A679)</f>
        <v>14</v>
      </c>
      <c r="C679" s="9" t="n">
        <f aca="false">MONTH(A679)</f>
        <v>11</v>
      </c>
      <c r="D679" s="9" t="n">
        <f aca="false">YEAR(A679)</f>
        <v>2023</v>
      </c>
      <c r="E679" s="9" t="n">
        <f aca="false">WEEKDAY(A679,2)</f>
        <v>2</v>
      </c>
      <c r="F679" s="10" t="n">
        <f aca="false">WEEKNUM(A679,2) - WEEKNUM(DATE(YEAR(A679),MONTH(A679),1),2) + 1</f>
        <v>3</v>
      </c>
      <c r="G679" s="10"/>
      <c r="H679" s="11" t="n">
        <v>1900</v>
      </c>
      <c r="I679" s="12" t="s">
        <v>20</v>
      </c>
      <c r="J679" s="22" t="s">
        <v>56</v>
      </c>
      <c r="K679" s="12"/>
      <c r="L679" s="9" t="n">
        <f aca="false">L678+H679</f>
        <v>22421</v>
      </c>
      <c r="M679" s="10" t="str">
        <f aca="false">VLOOKUP(J679,RECATALOGANDO!A:C,2,0)</f>
        <v>SERVICIO DE IMAGEN</v>
      </c>
      <c r="N679" s="12" t="str">
        <f aca="false">VLOOKUP(M679,RECATALOGANDO!B:C,2,0)</f>
        <v>VENTA DE SERVICIO</v>
      </c>
      <c r="O679" s="2" t="s">
        <v>78</v>
      </c>
    </row>
    <row r="680" customFormat="false" ht="13.8" hidden="false" customHeight="false" outlineLevel="0" collapsed="false">
      <c r="A680" s="8" t="n">
        <v>45246</v>
      </c>
      <c r="B680" s="9" t="n">
        <f aca="false">DAY(A680)</f>
        <v>16</v>
      </c>
      <c r="C680" s="9" t="n">
        <f aca="false">MONTH(A680)</f>
        <v>11</v>
      </c>
      <c r="D680" s="9" t="n">
        <f aca="false">YEAR(A680)</f>
        <v>2023</v>
      </c>
      <c r="E680" s="9" t="n">
        <f aca="false">WEEKDAY(A680,2)</f>
        <v>4</v>
      </c>
      <c r="F680" s="10" t="n">
        <f aca="false">WEEKNUM(A680,2) - WEEKNUM(DATE(YEAR(A680),MONTH(A680),1),2) + 1</f>
        <v>3</v>
      </c>
      <c r="G680" s="10"/>
      <c r="H680" s="11" t="n">
        <v>576</v>
      </c>
      <c r="I680" s="12" t="s">
        <v>20</v>
      </c>
      <c r="J680" s="12" t="s">
        <v>51</v>
      </c>
      <c r="K680" s="12"/>
      <c r="L680" s="9" t="n">
        <f aca="false">L679+H680</f>
        <v>22997</v>
      </c>
      <c r="M680" s="10" t="str">
        <f aca="false">VLOOKUP(J680,RECATALOGANDO!A:C,2,0)</f>
        <v>VENTA DE ALIMENTO</v>
      </c>
      <c r="N680" s="12" t="str">
        <f aca="false">VLOOKUP(M680,RECATALOGANDO!B:C,2,0)</f>
        <v>VENTA DE PRODUCTO</v>
      </c>
      <c r="O680" s="2" t="s">
        <v>78</v>
      </c>
    </row>
    <row r="681" customFormat="false" ht="13.8" hidden="false" customHeight="false" outlineLevel="0" collapsed="false">
      <c r="A681" s="8" t="n">
        <v>45247</v>
      </c>
      <c r="B681" s="9" t="n">
        <f aca="false">DAY(A681)</f>
        <v>17</v>
      </c>
      <c r="C681" s="9" t="n">
        <f aca="false">MONTH(A681)</f>
        <v>11</v>
      </c>
      <c r="D681" s="9" t="n">
        <f aca="false">YEAR(A681)</f>
        <v>2023</v>
      </c>
      <c r="E681" s="9" t="n">
        <f aca="false">WEEKDAY(A681,2)</f>
        <v>5</v>
      </c>
      <c r="F681" s="10" t="n">
        <f aca="false">WEEKNUM(A681,2) - WEEKNUM(DATE(YEAR(A681),MONTH(A681),1),2) + 1</f>
        <v>3</v>
      </c>
      <c r="G681" s="10"/>
      <c r="H681" s="11" t="n">
        <v>2312</v>
      </c>
      <c r="I681" s="12" t="s">
        <v>15</v>
      </c>
      <c r="J681" s="22" t="s">
        <v>41</v>
      </c>
      <c r="K681" s="12"/>
      <c r="L681" s="9" t="n">
        <f aca="false">L680+H681</f>
        <v>25309</v>
      </c>
      <c r="M681" s="10" t="str">
        <f aca="false">VLOOKUP(J681,RECATALOGANDO!A:C,2,0)</f>
        <v>HONORARIOS QUIRURGICOS</v>
      </c>
      <c r="N681" s="12" t="str">
        <f aca="false">VLOOKUP(M681,RECATALOGANDO!B:C,2,0)</f>
        <v>VENTA DE SERVICIO</v>
      </c>
      <c r="O681" s="2" t="s">
        <v>78</v>
      </c>
    </row>
    <row r="682" customFormat="false" ht="13.8" hidden="false" customHeight="false" outlineLevel="0" collapsed="false">
      <c r="A682" s="8" t="n">
        <v>45250</v>
      </c>
      <c r="B682" s="9" t="n">
        <f aca="false">DAY(A682)</f>
        <v>20</v>
      </c>
      <c r="C682" s="9" t="n">
        <f aca="false">MONTH(A682)</f>
        <v>11</v>
      </c>
      <c r="D682" s="9" t="n">
        <f aca="false">YEAR(A682)</f>
        <v>2023</v>
      </c>
      <c r="E682" s="9" t="n">
        <f aca="false">WEEKDAY(A682,2)</f>
        <v>1</v>
      </c>
      <c r="F682" s="10" t="n">
        <f aca="false">WEEKNUM(A682,2) - WEEKNUM(DATE(YEAR(A682),MONTH(A682),1),2) + 1</f>
        <v>4</v>
      </c>
      <c r="G682" s="10"/>
      <c r="H682" s="11" t="n">
        <v>1170</v>
      </c>
      <c r="I682" s="12" t="s">
        <v>15</v>
      </c>
      <c r="J682" s="22" t="s">
        <v>44</v>
      </c>
      <c r="K682" s="12"/>
      <c r="L682" s="9" t="n">
        <f aca="false">L681+H682</f>
        <v>26479</v>
      </c>
      <c r="M682" s="10" t="str">
        <f aca="false">VLOOKUP(J682,RECATALOGANDO!A:C,2,0)</f>
        <v>HONORARIOS MEDICOS</v>
      </c>
      <c r="N682" s="12" t="str">
        <f aca="false">VLOOKUP(M682,RECATALOGANDO!B:C,2,0)</f>
        <v>VENTA DE SERVICIO</v>
      </c>
      <c r="O682" s="2" t="s">
        <v>78</v>
      </c>
    </row>
    <row r="683" customFormat="false" ht="13.8" hidden="false" customHeight="false" outlineLevel="0" collapsed="false">
      <c r="A683" s="8" t="n">
        <v>45252</v>
      </c>
      <c r="B683" s="9" t="n">
        <f aca="false">DAY(A683)</f>
        <v>22</v>
      </c>
      <c r="C683" s="9" t="n">
        <f aca="false">MONTH(A683)</f>
        <v>11</v>
      </c>
      <c r="D683" s="9" t="n">
        <f aca="false">YEAR(A683)</f>
        <v>2023</v>
      </c>
      <c r="E683" s="9" t="n">
        <f aca="false">WEEKDAY(A683,2)</f>
        <v>3</v>
      </c>
      <c r="F683" s="10" t="n">
        <f aca="false">WEEKNUM(A683,2) - WEEKNUM(DATE(YEAR(A683),MONTH(A683),1),2) + 1</f>
        <v>4</v>
      </c>
      <c r="G683" s="10"/>
      <c r="H683" s="11" t="n">
        <v>5250</v>
      </c>
      <c r="I683" s="12" t="s">
        <v>15</v>
      </c>
      <c r="J683" s="22" t="s">
        <v>45</v>
      </c>
      <c r="K683" s="12"/>
      <c r="L683" s="9" t="n">
        <f aca="false">L682+H683</f>
        <v>31729</v>
      </c>
      <c r="M683" s="10" t="str">
        <f aca="false">VLOOKUP(J683,RECATALOGANDO!A:C,2,0)</f>
        <v>VENTA DE MEDICAMENTO</v>
      </c>
      <c r="N683" s="12" t="str">
        <f aca="false">VLOOKUP(M683,RECATALOGANDO!B:C,2,0)</f>
        <v>VENTA DE PRODUCTO</v>
      </c>
      <c r="O683" s="2" t="s">
        <v>78</v>
      </c>
    </row>
    <row r="684" customFormat="false" ht="13.8" hidden="false" customHeight="false" outlineLevel="0" collapsed="false">
      <c r="A684" s="8" t="n">
        <v>45252</v>
      </c>
      <c r="B684" s="9" t="n">
        <f aca="false">DAY(A684)</f>
        <v>22</v>
      </c>
      <c r="C684" s="9" t="n">
        <f aca="false">MONTH(A684)</f>
        <v>11</v>
      </c>
      <c r="D684" s="9" t="n">
        <f aca="false">YEAR(A684)</f>
        <v>2023</v>
      </c>
      <c r="E684" s="9" t="n">
        <f aca="false">WEEKDAY(A684,2)</f>
        <v>3</v>
      </c>
      <c r="F684" s="10" t="n">
        <f aca="false">WEEKNUM(A684,2) - WEEKNUM(DATE(YEAR(A684),MONTH(A684),1),2) + 1</f>
        <v>4</v>
      </c>
      <c r="G684" s="10"/>
      <c r="H684" s="11" t="n">
        <v>198</v>
      </c>
      <c r="I684" s="12" t="s">
        <v>15</v>
      </c>
      <c r="J684" s="12" t="s">
        <v>53</v>
      </c>
      <c r="K684" s="12"/>
      <c r="L684" s="9" t="n">
        <f aca="false">L683+H684</f>
        <v>31927</v>
      </c>
      <c r="M684" s="10" t="str">
        <f aca="false">VLOOKUP(J684,RECATALOGANDO!A:C,2,0)</f>
        <v>SERVICIO DE GROOMING</v>
      </c>
      <c r="N684" s="12" t="str">
        <f aca="false">VLOOKUP(M684,RECATALOGANDO!B:C,2,0)</f>
        <v>VENTA DE SERVICIO</v>
      </c>
      <c r="O684" s="2" t="s">
        <v>78</v>
      </c>
    </row>
    <row r="685" customFormat="false" ht="13.8" hidden="false" customHeight="false" outlineLevel="0" collapsed="false">
      <c r="A685" s="8" t="n">
        <v>45253</v>
      </c>
      <c r="B685" s="9" t="n">
        <f aca="false">DAY(A685)</f>
        <v>23</v>
      </c>
      <c r="C685" s="9" t="n">
        <f aca="false">MONTH(A685)</f>
        <v>11</v>
      </c>
      <c r="D685" s="9" t="n">
        <f aca="false">YEAR(A685)</f>
        <v>2023</v>
      </c>
      <c r="E685" s="9" t="n">
        <f aca="false">WEEKDAY(A685,2)</f>
        <v>4</v>
      </c>
      <c r="F685" s="10" t="n">
        <f aca="false">WEEKNUM(A685,2) - WEEKNUM(DATE(YEAR(A685),MONTH(A685),1),2) + 1</f>
        <v>4</v>
      </c>
      <c r="G685" s="10"/>
      <c r="H685" s="11" t="n">
        <v>190</v>
      </c>
      <c r="I685" s="12" t="s">
        <v>15</v>
      </c>
      <c r="J685" s="12" t="s">
        <v>53</v>
      </c>
      <c r="K685" s="12"/>
      <c r="L685" s="9" t="n">
        <f aca="false">L684+H685</f>
        <v>32117</v>
      </c>
      <c r="M685" s="10" t="str">
        <f aca="false">VLOOKUP(J685,RECATALOGANDO!A:C,2,0)</f>
        <v>SERVICIO DE GROOMING</v>
      </c>
      <c r="N685" s="12" t="str">
        <f aca="false">VLOOKUP(M685,RECATALOGANDO!B:C,2,0)</f>
        <v>VENTA DE SERVICIO</v>
      </c>
      <c r="O685" s="2" t="s">
        <v>78</v>
      </c>
    </row>
    <row r="686" customFormat="false" ht="13.8" hidden="false" customHeight="false" outlineLevel="0" collapsed="false">
      <c r="A686" s="8" t="n">
        <v>45253</v>
      </c>
      <c r="B686" s="9" t="n">
        <f aca="false">DAY(A686)</f>
        <v>23</v>
      </c>
      <c r="C686" s="9" t="n">
        <f aca="false">MONTH(A686)</f>
        <v>11</v>
      </c>
      <c r="D686" s="9" t="n">
        <f aca="false">YEAR(A686)</f>
        <v>2023</v>
      </c>
      <c r="E686" s="9" t="n">
        <f aca="false">WEEKDAY(A686,2)</f>
        <v>4</v>
      </c>
      <c r="F686" s="10" t="n">
        <f aca="false">WEEKNUM(A686,2) - WEEKNUM(DATE(YEAR(A686),MONTH(A686),1),2) + 1</f>
        <v>4</v>
      </c>
      <c r="G686" s="10"/>
      <c r="H686" s="11" t="n">
        <v>430</v>
      </c>
      <c r="I686" s="12" t="s">
        <v>15</v>
      </c>
      <c r="J686" s="12" t="s">
        <v>44</v>
      </c>
      <c r="K686" s="12"/>
      <c r="L686" s="9" t="n">
        <f aca="false">L685+H686</f>
        <v>32547</v>
      </c>
      <c r="M686" s="10" t="str">
        <f aca="false">VLOOKUP(J686,RECATALOGANDO!A:C,2,0)</f>
        <v>HONORARIOS MEDICOS</v>
      </c>
      <c r="N686" s="12" t="str">
        <f aca="false">VLOOKUP(M686,RECATALOGANDO!B:C,2,0)</f>
        <v>VENTA DE SERVICIO</v>
      </c>
      <c r="O686" s="2" t="s">
        <v>78</v>
      </c>
    </row>
    <row r="687" customFormat="false" ht="13.8" hidden="false" customHeight="false" outlineLevel="0" collapsed="false">
      <c r="A687" s="8" t="n">
        <v>45253</v>
      </c>
      <c r="B687" s="9" t="n">
        <f aca="false">DAY(A687)</f>
        <v>23</v>
      </c>
      <c r="C687" s="9" t="n">
        <f aca="false">MONTH(A687)</f>
        <v>11</v>
      </c>
      <c r="D687" s="9" t="n">
        <f aca="false">YEAR(A687)</f>
        <v>2023</v>
      </c>
      <c r="E687" s="9" t="n">
        <f aca="false">WEEKDAY(A687,2)</f>
        <v>4</v>
      </c>
      <c r="F687" s="10" t="n">
        <f aca="false">WEEKNUM(A687,2) - WEEKNUM(DATE(YEAR(A687),MONTH(A687),1),2) + 1</f>
        <v>4</v>
      </c>
      <c r="G687" s="10"/>
      <c r="H687" s="11" t="n">
        <v>1945</v>
      </c>
      <c r="I687" s="12" t="s">
        <v>20</v>
      </c>
      <c r="J687" s="22" t="s">
        <v>44</v>
      </c>
      <c r="K687" s="12"/>
      <c r="L687" s="9" t="n">
        <f aca="false">L686+H687</f>
        <v>34492</v>
      </c>
      <c r="M687" s="10" t="str">
        <f aca="false">VLOOKUP(J687,RECATALOGANDO!A:C,2,0)</f>
        <v>HONORARIOS MEDICOS</v>
      </c>
      <c r="N687" s="12" t="str">
        <f aca="false">VLOOKUP(M687,RECATALOGANDO!B:C,2,0)</f>
        <v>VENTA DE SERVICIO</v>
      </c>
      <c r="O687" s="2" t="s">
        <v>78</v>
      </c>
    </row>
    <row r="688" customFormat="false" ht="13.8" hidden="false" customHeight="false" outlineLevel="0" collapsed="false">
      <c r="A688" s="8" t="n">
        <v>45254</v>
      </c>
      <c r="B688" s="9" t="n">
        <f aca="false">DAY(A688)</f>
        <v>24</v>
      </c>
      <c r="C688" s="9" t="n">
        <f aca="false">MONTH(A688)</f>
        <v>11</v>
      </c>
      <c r="D688" s="9" t="n">
        <f aca="false">YEAR(A688)</f>
        <v>2023</v>
      </c>
      <c r="E688" s="9" t="n">
        <f aca="false">WEEKDAY(A688,2)</f>
        <v>5</v>
      </c>
      <c r="F688" s="10" t="n">
        <f aca="false">WEEKNUM(A688,2) - WEEKNUM(DATE(YEAR(A688),MONTH(A688),1),2) + 1</f>
        <v>4</v>
      </c>
      <c r="G688" s="10"/>
      <c r="H688" s="11" t="n">
        <v>1626</v>
      </c>
      <c r="I688" s="12" t="s">
        <v>20</v>
      </c>
      <c r="J688" s="22" t="s">
        <v>45</v>
      </c>
      <c r="K688" s="12"/>
      <c r="L688" s="9" t="n">
        <f aca="false">L687+H688</f>
        <v>36118</v>
      </c>
      <c r="M688" s="10" t="str">
        <f aca="false">VLOOKUP(J688,RECATALOGANDO!A:C,2,0)</f>
        <v>VENTA DE MEDICAMENTO</v>
      </c>
      <c r="N688" s="12" t="str">
        <f aca="false">VLOOKUP(M688,RECATALOGANDO!B:C,2,0)</f>
        <v>VENTA DE PRODUCTO</v>
      </c>
      <c r="O688" s="2" t="s">
        <v>78</v>
      </c>
    </row>
    <row r="689" customFormat="false" ht="13.8" hidden="false" customHeight="false" outlineLevel="0" collapsed="false">
      <c r="A689" s="8" t="n">
        <v>45255</v>
      </c>
      <c r="B689" s="9" t="n">
        <f aca="false">DAY(A689)</f>
        <v>25</v>
      </c>
      <c r="C689" s="9" t="n">
        <f aca="false">MONTH(A689)</f>
        <v>11</v>
      </c>
      <c r="D689" s="9" t="n">
        <f aca="false">YEAR(A689)</f>
        <v>2023</v>
      </c>
      <c r="E689" s="9" t="n">
        <f aca="false">WEEKDAY(A689,2)</f>
        <v>6</v>
      </c>
      <c r="F689" s="10" t="n">
        <f aca="false">WEEKNUM(A689,2) - WEEKNUM(DATE(YEAR(A689),MONTH(A689),1),2) + 1</f>
        <v>4</v>
      </c>
      <c r="G689" s="10"/>
      <c r="H689" s="11" t="n">
        <v>598</v>
      </c>
      <c r="I689" s="12" t="s">
        <v>15</v>
      </c>
      <c r="J689" s="22" t="s">
        <v>59</v>
      </c>
      <c r="K689" s="12"/>
      <c r="L689" s="9" t="n">
        <f aca="false">L688+H689</f>
        <v>36716</v>
      </c>
      <c r="M689" s="10" t="str">
        <f aca="false">VLOOKUP(J689,RECATALOGANDO!A:C,2,0)</f>
        <v>SERVICIO DE PENSION</v>
      </c>
      <c r="N689" s="12" t="str">
        <f aca="false">VLOOKUP(M689,RECATALOGANDO!B:C,2,0)</f>
        <v>VENTA DE SERVICIO</v>
      </c>
      <c r="O689" s="2" t="s">
        <v>78</v>
      </c>
    </row>
    <row r="690" customFormat="false" ht="13.8" hidden="false" customHeight="false" outlineLevel="0" collapsed="false">
      <c r="A690" s="8" t="n">
        <v>45256</v>
      </c>
      <c r="B690" s="9" t="n">
        <f aca="false">DAY(A690)</f>
        <v>26</v>
      </c>
      <c r="C690" s="9" t="n">
        <f aca="false">MONTH(A690)</f>
        <v>11</v>
      </c>
      <c r="D690" s="9" t="n">
        <f aca="false">YEAR(A690)</f>
        <v>2023</v>
      </c>
      <c r="E690" s="9" t="n">
        <f aca="false">WEEKDAY(A690,2)</f>
        <v>7</v>
      </c>
      <c r="F690" s="10" t="n">
        <f aca="false">WEEKNUM(A690,2) - WEEKNUM(DATE(YEAR(A690),MONTH(A690),1),2) + 1</f>
        <v>4</v>
      </c>
      <c r="G690" s="10"/>
      <c r="H690" s="11" t="n">
        <v>119</v>
      </c>
      <c r="I690" s="12" t="s">
        <v>15</v>
      </c>
      <c r="J690" s="12" t="s">
        <v>53</v>
      </c>
      <c r="K690" s="12"/>
      <c r="L690" s="9" t="n">
        <f aca="false">L689+H690</f>
        <v>36835</v>
      </c>
      <c r="M690" s="10" t="str">
        <f aca="false">VLOOKUP(J690,RECATALOGANDO!A:C,2,0)</f>
        <v>SERVICIO DE GROOMING</v>
      </c>
      <c r="N690" s="12" t="str">
        <f aca="false">VLOOKUP(M690,RECATALOGANDO!B:C,2,0)</f>
        <v>VENTA DE SERVICIO</v>
      </c>
      <c r="O690" s="2" t="s">
        <v>78</v>
      </c>
    </row>
    <row r="691" customFormat="false" ht="13.8" hidden="false" customHeight="false" outlineLevel="0" collapsed="false">
      <c r="A691" s="8" t="n">
        <v>45258</v>
      </c>
      <c r="B691" s="9" t="n">
        <f aca="false">DAY(A691)</f>
        <v>28</v>
      </c>
      <c r="C691" s="9" t="n">
        <f aca="false">MONTH(A691)</f>
        <v>11</v>
      </c>
      <c r="D691" s="9" t="n">
        <f aca="false">YEAR(A691)</f>
        <v>2023</v>
      </c>
      <c r="E691" s="9" t="n">
        <f aca="false">WEEKDAY(A691,2)</f>
        <v>2</v>
      </c>
      <c r="F691" s="10" t="n">
        <f aca="false">WEEKNUM(A691,2) - WEEKNUM(DATE(YEAR(A691),MONTH(A691),1),2) + 1</f>
        <v>5</v>
      </c>
      <c r="G691" s="10"/>
      <c r="H691" s="11" t="n">
        <v>863</v>
      </c>
      <c r="I691" s="12" t="s">
        <v>15</v>
      </c>
      <c r="J691" s="22" t="s">
        <v>59</v>
      </c>
      <c r="K691" s="12"/>
      <c r="L691" s="9" t="n">
        <f aca="false">L690+H691</f>
        <v>37698</v>
      </c>
      <c r="M691" s="10" t="str">
        <f aca="false">VLOOKUP(J691,RECATALOGANDO!A:C,2,0)</f>
        <v>SERVICIO DE PENSION</v>
      </c>
      <c r="N691" s="12" t="str">
        <f aca="false">VLOOKUP(M691,RECATALOGANDO!B:C,2,0)</f>
        <v>VENTA DE SERVICIO</v>
      </c>
      <c r="O691" s="2" t="s">
        <v>78</v>
      </c>
    </row>
    <row r="692" customFormat="false" ht="13.8" hidden="false" customHeight="false" outlineLevel="0" collapsed="false">
      <c r="A692" s="8" t="n">
        <v>45258</v>
      </c>
      <c r="B692" s="9" t="n">
        <f aca="false">DAY(A692)</f>
        <v>28</v>
      </c>
      <c r="C692" s="9" t="n">
        <f aca="false">MONTH(A692)</f>
        <v>11</v>
      </c>
      <c r="D692" s="9" t="n">
        <f aca="false">YEAR(A692)</f>
        <v>2023</v>
      </c>
      <c r="E692" s="9" t="n">
        <f aca="false">WEEKDAY(A692,2)</f>
        <v>2</v>
      </c>
      <c r="F692" s="10" t="n">
        <f aca="false">WEEKNUM(A692,2) - WEEKNUM(DATE(YEAR(A692),MONTH(A692),1),2) + 1</f>
        <v>5</v>
      </c>
      <c r="G692" s="10"/>
      <c r="H692" s="11" t="n">
        <v>1000</v>
      </c>
      <c r="I692" s="12" t="s">
        <v>15</v>
      </c>
      <c r="J692" s="22" t="s">
        <v>44</v>
      </c>
      <c r="K692" s="12"/>
      <c r="L692" s="9" t="n">
        <f aca="false">L691+H692</f>
        <v>38698</v>
      </c>
      <c r="M692" s="10" t="str">
        <f aca="false">VLOOKUP(J692,RECATALOGANDO!A:C,2,0)</f>
        <v>HONORARIOS MEDICOS</v>
      </c>
      <c r="N692" s="12" t="str">
        <f aca="false">VLOOKUP(M692,RECATALOGANDO!B:C,2,0)</f>
        <v>VENTA DE SERVICIO</v>
      </c>
      <c r="O692" s="2" t="s">
        <v>78</v>
      </c>
    </row>
    <row r="693" customFormat="false" ht="13.8" hidden="false" customHeight="false" outlineLevel="0" collapsed="false">
      <c r="A693" s="8" t="n">
        <v>45260</v>
      </c>
      <c r="B693" s="9" t="n">
        <f aca="false">DAY(A693)</f>
        <v>30</v>
      </c>
      <c r="C693" s="9" t="n">
        <f aca="false">MONTH(A693)</f>
        <v>11</v>
      </c>
      <c r="D693" s="9" t="n">
        <f aca="false">YEAR(A693)</f>
        <v>2023</v>
      </c>
      <c r="E693" s="9" t="n">
        <f aca="false">WEEKDAY(A693,2)</f>
        <v>4</v>
      </c>
      <c r="F693" s="10" t="n">
        <f aca="false">WEEKNUM(A693,2) - WEEKNUM(DATE(YEAR(A693),MONTH(A693),1),2) + 1</f>
        <v>5</v>
      </c>
      <c r="G693" s="10" t="n">
        <v>2</v>
      </c>
      <c r="H693" s="11" t="n">
        <v>680</v>
      </c>
      <c r="I693" s="12" t="s">
        <v>15</v>
      </c>
      <c r="J693" s="12" t="s">
        <v>51</v>
      </c>
      <c r="K693" s="12"/>
      <c r="L693" s="9" t="n">
        <f aca="false">L692+H693</f>
        <v>39378</v>
      </c>
      <c r="M693" s="10" t="str">
        <f aca="false">VLOOKUP(J693,RECATALOGANDO!A:C,2,0)</f>
        <v>VENTA DE ALIMENTO</v>
      </c>
      <c r="N693" s="12" t="str">
        <f aca="false">VLOOKUP(M693,RECATALOGANDO!B:C,2,0)</f>
        <v>VENTA DE PRODUCTO</v>
      </c>
      <c r="O693" s="2" t="s">
        <v>78</v>
      </c>
    </row>
    <row r="694" customFormat="false" ht="13.8" hidden="false" customHeight="false" outlineLevel="0" collapsed="false">
      <c r="A694" s="8" t="n">
        <v>45260</v>
      </c>
      <c r="B694" s="9" t="n">
        <f aca="false">DAY(A694)</f>
        <v>30</v>
      </c>
      <c r="C694" s="9" t="n">
        <f aca="false">MONTH(A694)</f>
        <v>11</v>
      </c>
      <c r="D694" s="9" t="n">
        <f aca="false">YEAR(A694)</f>
        <v>2023</v>
      </c>
      <c r="E694" s="9" t="n">
        <f aca="false">WEEKDAY(A694,2)</f>
        <v>4</v>
      </c>
      <c r="F694" s="10" t="n">
        <f aca="false">WEEKNUM(A694,2) - WEEKNUM(DATE(YEAR(A694),MONTH(A694),1),2) + 1</f>
        <v>5</v>
      </c>
      <c r="G694" s="10" t="n">
        <v>2</v>
      </c>
      <c r="H694" s="11" t="n">
        <v>191</v>
      </c>
      <c r="I694" s="12" t="s">
        <v>15</v>
      </c>
      <c r="J694" s="12" t="s">
        <v>53</v>
      </c>
      <c r="K694" s="12"/>
      <c r="L694" s="9" t="n">
        <f aca="false">L693+H694</f>
        <v>39569</v>
      </c>
      <c r="M694" s="10" t="str">
        <f aca="false">VLOOKUP(J694,RECATALOGANDO!A:C,2,0)</f>
        <v>SERVICIO DE GROOMING</v>
      </c>
      <c r="N694" s="12" t="str">
        <f aca="false">VLOOKUP(M694,RECATALOGANDO!B:C,2,0)</f>
        <v>VENTA DE SERVICIO</v>
      </c>
      <c r="O694" s="2" t="s">
        <v>78</v>
      </c>
    </row>
    <row r="695" customFormat="false" ht="13.8" hidden="false" customHeight="false" outlineLevel="0" collapsed="false">
      <c r="A695" s="8" t="n">
        <v>45261</v>
      </c>
      <c r="B695" s="9" t="n">
        <f aca="false">DAY(A695)</f>
        <v>1</v>
      </c>
      <c r="C695" s="9" t="n">
        <f aca="false">MONTH(A695)</f>
        <v>12</v>
      </c>
      <c r="D695" s="9" t="n">
        <f aca="false">YEAR(A695)</f>
        <v>2023</v>
      </c>
      <c r="E695" s="9" t="n">
        <f aca="false">WEEKDAY(A695,2)</f>
        <v>5</v>
      </c>
      <c r="F695" s="10" t="n">
        <f aca="false">WEEKNUM(A695,2) - WEEKNUM(DATE(YEAR(A695),MONTH(A695),1),2) + 1</f>
        <v>1</v>
      </c>
      <c r="G695" s="10"/>
      <c r="H695" s="11" t="n">
        <v>496.37</v>
      </c>
      <c r="I695" s="12" t="s">
        <v>15</v>
      </c>
      <c r="J695" s="12" t="s">
        <v>44</v>
      </c>
      <c r="K695" s="12"/>
      <c r="L695" s="9" t="n">
        <f aca="false">H695</f>
        <v>496.37</v>
      </c>
      <c r="M695" s="10" t="str">
        <f aca="false">VLOOKUP(J695,RECATALOGANDO!A:C,2,0)</f>
        <v>HONORARIOS MEDICOS</v>
      </c>
      <c r="N695" s="12" t="str">
        <f aca="false">VLOOKUP(M695,RECATALOGANDO!B:C,2,0)</f>
        <v>VENTA DE SERVICIO</v>
      </c>
      <c r="O695" s="2" t="s">
        <v>78</v>
      </c>
    </row>
    <row r="696" customFormat="false" ht="13.8" hidden="false" customHeight="false" outlineLevel="0" collapsed="false">
      <c r="A696" s="8" t="n">
        <v>45261</v>
      </c>
      <c r="B696" s="9" t="n">
        <f aca="false">DAY(A696)</f>
        <v>1</v>
      </c>
      <c r="C696" s="9" t="n">
        <f aca="false">MONTH(A696)</f>
        <v>12</v>
      </c>
      <c r="D696" s="9" t="n">
        <f aca="false">YEAR(A696)</f>
        <v>2023</v>
      </c>
      <c r="E696" s="9" t="n">
        <f aca="false">WEEKDAY(A696,2)</f>
        <v>5</v>
      </c>
      <c r="F696" s="10" t="n">
        <f aca="false">WEEKNUM(A696,2) - WEEKNUM(DATE(YEAR(A696),MONTH(A696),1),2) + 1</f>
        <v>1</v>
      </c>
      <c r="G696" s="10"/>
      <c r="H696" s="11" t="n">
        <v>980</v>
      </c>
      <c r="I696" s="12" t="s">
        <v>20</v>
      </c>
      <c r="J696" s="12" t="s">
        <v>44</v>
      </c>
      <c r="K696" s="12"/>
      <c r="L696" s="9" t="n">
        <f aca="false">L695+H696</f>
        <v>1476.37</v>
      </c>
      <c r="M696" s="10" t="str">
        <f aca="false">VLOOKUP(J696,RECATALOGANDO!A:C,2,0)</f>
        <v>HONORARIOS MEDICOS</v>
      </c>
      <c r="N696" s="12" t="str">
        <f aca="false">VLOOKUP(M696,RECATALOGANDO!B:C,2,0)</f>
        <v>VENTA DE SERVICIO</v>
      </c>
      <c r="O696" s="2" t="s">
        <v>78</v>
      </c>
    </row>
    <row r="697" customFormat="false" ht="13.8" hidden="false" customHeight="false" outlineLevel="0" collapsed="false">
      <c r="A697" s="8" t="n">
        <v>45261</v>
      </c>
      <c r="B697" s="9" t="n">
        <f aca="false">DAY(A697)</f>
        <v>1</v>
      </c>
      <c r="C697" s="9" t="n">
        <f aca="false">MONTH(A697)</f>
        <v>12</v>
      </c>
      <c r="D697" s="9" t="n">
        <f aca="false">YEAR(A697)</f>
        <v>2023</v>
      </c>
      <c r="E697" s="9" t="n">
        <f aca="false">WEEKDAY(A697,2)</f>
        <v>5</v>
      </c>
      <c r="F697" s="10" t="n">
        <f aca="false">WEEKNUM(A697,2) - WEEKNUM(DATE(YEAR(A697),MONTH(A697),1),2) + 1</f>
        <v>1</v>
      </c>
      <c r="G697" s="10"/>
      <c r="H697" s="11" t="n">
        <v>9350</v>
      </c>
      <c r="I697" s="12" t="s">
        <v>15</v>
      </c>
      <c r="J697" s="12" t="s">
        <v>64</v>
      </c>
      <c r="K697" s="12"/>
      <c r="L697" s="9" t="n">
        <f aca="false">L696+H697</f>
        <v>10826.37</v>
      </c>
      <c r="M697" s="10" t="str">
        <f aca="false">VLOOKUP(J697,RECATALOGANDO!A:C,2,0)</f>
        <v>HONORARIOS QUIRURGICOS</v>
      </c>
      <c r="N697" s="12" t="str">
        <f aca="false">VLOOKUP(M697,RECATALOGANDO!B:C,2,0)</f>
        <v>VENTA DE SERVICIO</v>
      </c>
      <c r="O697" s="2" t="s">
        <v>78</v>
      </c>
    </row>
    <row r="698" customFormat="false" ht="13.8" hidden="false" customHeight="false" outlineLevel="0" collapsed="false">
      <c r="A698" s="8" t="n">
        <v>45264</v>
      </c>
      <c r="B698" s="9" t="n">
        <f aca="false">DAY(A698)</f>
        <v>4</v>
      </c>
      <c r="C698" s="9" t="n">
        <f aca="false">MONTH(A698)</f>
        <v>12</v>
      </c>
      <c r="D698" s="9" t="n">
        <f aca="false">YEAR(A698)</f>
        <v>2023</v>
      </c>
      <c r="E698" s="9" t="n">
        <f aca="false">WEEKDAY(A698,2)</f>
        <v>1</v>
      </c>
      <c r="F698" s="10" t="n">
        <f aca="false">WEEKNUM(A698,2) - WEEKNUM(DATE(YEAR(A698),MONTH(A698),1),2) + 1</f>
        <v>2</v>
      </c>
      <c r="G698" s="10"/>
      <c r="H698" s="11" t="n">
        <v>1290</v>
      </c>
      <c r="I698" s="12" t="s">
        <v>20</v>
      </c>
      <c r="J698" s="12" t="s">
        <v>45</v>
      </c>
      <c r="K698" s="12"/>
      <c r="L698" s="9" t="n">
        <f aca="false">L697+H698</f>
        <v>12116.37</v>
      </c>
      <c r="M698" s="10" t="str">
        <f aca="false">VLOOKUP(J698,RECATALOGANDO!A:C,2,0)</f>
        <v>VENTA DE MEDICAMENTO</v>
      </c>
      <c r="N698" s="12" t="str">
        <f aca="false">VLOOKUP(M698,RECATALOGANDO!B:C,2,0)</f>
        <v>VENTA DE PRODUCTO</v>
      </c>
      <c r="O698" s="2" t="s">
        <v>78</v>
      </c>
    </row>
    <row r="699" customFormat="false" ht="13.8" hidden="false" customHeight="false" outlineLevel="0" collapsed="false">
      <c r="A699" s="8" t="n">
        <v>45264</v>
      </c>
      <c r="B699" s="9" t="n">
        <f aca="false">DAY(A699)</f>
        <v>4</v>
      </c>
      <c r="C699" s="9" t="n">
        <f aca="false">MONTH(A699)</f>
        <v>12</v>
      </c>
      <c r="D699" s="9" t="n">
        <f aca="false">YEAR(A699)</f>
        <v>2023</v>
      </c>
      <c r="E699" s="9" t="n">
        <f aca="false">WEEKDAY(A699,2)</f>
        <v>1</v>
      </c>
      <c r="F699" s="10" t="n">
        <f aca="false">WEEKNUM(A699,2) - WEEKNUM(DATE(YEAR(A699),MONTH(A699),1),2) + 1</f>
        <v>2</v>
      </c>
      <c r="G699" s="10"/>
      <c r="H699" s="11" t="n">
        <v>1320</v>
      </c>
      <c r="I699" s="12" t="s">
        <v>20</v>
      </c>
      <c r="J699" s="22" t="s">
        <v>45</v>
      </c>
      <c r="K699" s="12"/>
      <c r="L699" s="9" t="n">
        <f aca="false">L698+H699</f>
        <v>13436.37</v>
      </c>
      <c r="M699" s="10" t="str">
        <f aca="false">VLOOKUP(J699,RECATALOGANDO!A:C,2,0)</f>
        <v>VENTA DE MEDICAMENTO</v>
      </c>
      <c r="N699" s="12" t="str">
        <f aca="false">VLOOKUP(M699,RECATALOGANDO!B:C,2,0)</f>
        <v>VENTA DE PRODUCTO</v>
      </c>
      <c r="O699" s="2" t="s">
        <v>78</v>
      </c>
    </row>
    <row r="700" customFormat="false" ht="13.8" hidden="false" customHeight="false" outlineLevel="0" collapsed="false">
      <c r="A700" s="8" t="n">
        <v>45264</v>
      </c>
      <c r="B700" s="9" t="n">
        <f aca="false">DAY(A700)</f>
        <v>4</v>
      </c>
      <c r="C700" s="9" t="n">
        <f aca="false">MONTH(A700)</f>
        <v>12</v>
      </c>
      <c r="D700" s="9" t="n">
        <f aca="false">YEAR(A700)</f>
        <v>2023</v>
      </c>
      <c r="E700" s="9" t="n">
        <f aca="false">WEEKDAY(A700,2)</f>
        <v>1</v>
      </c>
      <c r="F700" s="10" t="n">
        <f aca="false">WEEKNUM(A700,2) - WEEKNUM(DATE(YEAR(A700),MONTH(A700),1),2) + 1</f>
        <v>2</v>
      </c>
      <c r="G700" s="10"/>
      <c r="H700" s="11" t="n">
        <v>3670</v>
      </c>
      <c r="I700" s="12" t="s">
        <v>20</v>
      </c>
      <c r="J700" s="12" t="s">
        <v>51</v>
      </c>
      <c r="K700" s="12"/>
      <c r="L700" s="9" t="n">
        <f aca="false">L699+H700</f>
        <v>17106.37</v>
      </c>
      <c r="M700" s="10" t="str">
        <f aca="false">VLOOKUP(J700,RECATALOGANDO!A:C,2,0)</f>
        <v>VENTA DE ALIMENTO</v>
      </c>
      <c r="N700" s="12" t="str">
        <f aca="false">VLOOKUP(M700,RECATALOGANDO!B:C,2,0)</f>
        <v>VENTA DE PRODUCTO</v>
      </c>
      <c r="O700" s="2" t="s">
        <v>78</v>
      </c>
    </row>
    <row r="701" customFormat="false" ht="13.8" hidden="false" customHeight="false" outlineLevel="0" collapsed="false">
      <c r="A701" s="8" t="n">
        <v>45265</v>
      </c>
      <c r="B701" s="9" t="n">
        <f aca="false">DAY(A701)</f>
        <v>5</v>
      </c>
      <c r="C701" s="9" t="n">
        <f aca="false">MONTH(A701)</f>
        <v>12</v>
      </c>
      <c r="D701" s="9" t="n">
        <f aca="false">YEAR(A701)</f>
        <v>2023</v>
      </c>
      <c r="E701" s="9" t="n">
        <f aca="false">WEEKDAY(A701,2)</f>
        <v>2</v>
      </c>
      <c r="F701" s="10" t="n">
        <f aca="false">WEEKNUM(A701,2) - WEEKNUM(DATE(YEAR(A701),MONTH(A701),1),2) + 1</f>
        <v>2</v>
      </c>
      <c r="G701" s="10"/>
      <c r="H701" s="11" t="n">
        <v>337.3</v>
      </c>
      <c r="I701" s="12" t="s">
        <v>15</v>
      </c>
      <c r="J701" s="12" t="s">
        <v>51</v>
      </c>
      <c r="K701" s="12"/>
      <c r="L701" s="9" t="n">
        <f aca="false">L700+H701</f>
        <v>17443.67</v>
      </c>
      <c r="M701" s="10" t="str">
        <f aca="false">VLOOKUP(J701,RECATALOGANDO!A:C,2,0)</f>
        <v>VENTA DE ALIMENTO</v>
      </c>
      <c r="N701" s="12" t="str">
        <f aca="false">VLOOKUP(M701,RECATALOGANDO!B:C,2,0)</f>
        <v>VENTA DE PRODUCTO</v>
      </c>
      <c r="O701" s="2" t="s">
        <v>78</v>
      </c>
    </row>
    <row r="702" customFormat="false" ht="13.8" hidden="false" customHeight="false" outlineLevel="0" collapsed="false">
      <c r="A702" s="8" t="n">
        <v>45265</v>
      </c>
      <c r="B702" s="9" t="n">
        <f aca="false">DAY(A702)</f>
        <v>5</v>
      </c>
      <c r="C702" s="9" t="n">
        <f aca="false">MONTH(A702)</f>
        <v>12</v>
      </c>
      <c r="D702" s="9" t="n">
        <f aca="false">YEAR(A702)</f>
        <v>2023</v>
      </c>
      <c r="E702" s="9" t="n">
        <f aca="false">WEEKDAY(A702,2)</f>
        <v>2</v>
      </c>
      <c r="F702" s="10" t="n">
        <f aca="false">WEEKNUM(A702,2) - WEEKNUM(DATE(YEAR(A702),MONTH(A702),1),2) + 1</f>
        <v>2</v>
      </c>
      <c r="G702" s="10"/>
      <c r="H702" s="11" t="n">
        <v>248</v>
      </c>
      <c r="I702" s="12" t="s">
        <v>20</v>
      </c>
      <c r="J702" s="12" t="s">
        <v>44</v>
      </c>
      <c r="K702" s="12"/>
      <c r="L702" s="9" t="n">
        <f aca="false">L701+H702</f>
        <v>17691.67</v>
      </c>
      <c r="M702" s="10" t="str">
        <f aca="false">VLOOKUP(J702,RECATALOGANDO!A:C,2,0)</f>
        <v>HONORARIOS MEDICOS</v>
      </c>
      <c r="N702" s="12" t="str">
        <f aca="false">VLOOKUP(M702,RECATALOGANDO!B:C,2,0)</f>
        <v>VENTA DE SERVICIO</v>
      </c>
      <c r="O702" s="2" t="s">
        <v>78</v>
      </c>
    </row>
    <row r="703" customFormat="false" ht="13.8" hidden="false" customHeight="false" outlineLevel="0" collapsed="false">
      <c r="A703" s="8" t="n">
        <v>45266</v>
      </c>
      <c r="B703" s="9" t="n">
        <f aca="false">DAY(A703)</f>
        <v>6</v>
      </c>
      <c r="C703" s="9" t="n">
        <f aca="false">MONTH(A703)</f>
        <v>12</v>
      </c>
      <c r="D703" s="9" t="n">
        <f aca="false">YEAR(A703)</f>
        <v>2023</v>
      </c>
      <c r="E703" s="9" t="n">
        <f aca="false">WEEKDAY(A703,2)</f>
        <v>3</v>
      </c>
      <c r="F703" s="10" t="n">
        <f aca="false">WEEKNUM(A703,2) - WEEKNUM(DATE(YEAR(A703),MONTH(A703),1),2) + 1</f>
        <v>2</v>
      </c>
      <c r="G703" s="10"/>
      <c r="H703" s="11" t="n">
        <v>996.57</v>
      </c>
      <c r="I703" s="12" t="s">
        <v>15</v>
      </c>
      <c r="J703" s="12" t="s">
        <v>65</v>
      </c>
      <c r="K703" s="12"/>
      <c r="L703" s="9" t="n">
        <f aca="false">L702+H703</f>
        <v>18688.24</v>
      </c>
      <c r="M703" s="10" t="str">
        <f aca="false">VLOOKUP(J703,RECATALOGANDO!A:C,2,0)</f>
        <v>SERVICIO DE LABORATORIO</v>
      </c>
      <c r="N703" s="12" t="str">
        <f aca="false">VLOOKUP(M703,RECATALOGANDO!B:C,2,0)</f>
        <v>VENTA DE SERVICIO</v>
      </c>
      <c r="O703" s="2" t="s">
        <v>78</v>
      </c>
    </row>
    <row r="704" customFormat="false" ht="13.8" hidden="false" customHeight="false" outlineLevel="0" collapsed="false">
      <c r="A704" s="8" t="n">
        <v>45267</v>
      </c>
      <c r="B704" s="9" t="n">
        <f aca="false">DAY(A704)</f>
        <v>7</v>
      </c>
      <c r="C704" s="9" t="n">
        <f aca="false">MONTH(A704)</f>
        <v>12</v>
      </c>
      <c r="D704" s="9" t="n">
        <f aca="false">YEAR(A704)</f>
        <v>2023</v>
      </c>
      <c r="E704" s="9" t="n">
        <f aca="false">WEEKDAY(A704,2)</f>
        <v>4</v>
      </c>
      <c r="F704" s="10" t="n">
        <f aca="false">WEEKNUM(A704,2) - WEEKNUM(DATE(YEAR(A704),MONTH(A704),1),2) + 1</f>
        <v>2</v>
      </c>
      <c r="G704" s="10"/>
      <c r="H704" s="11" t="n">
        <v>877</v>
      </c>
      <c r="I704" s="12" t="s">
        <v>20</v>
      </c>
      <c r="J704" s="12" t="s">
        <v>45</v>
      </c>
      <c r="K704" s="12"/>
      <c r="L704" s="9" t="n">
        <f aca="false">L703+H704</f>
        <v>19565.24</v>
      </c>
      <c r="M704" s="10" t="str">
        <f aca="false">VLOOKUP(J704,RECATALOGANDO!A:C,2,0)</f>
        <v>VENTA DE MEDICAMENTO</v>
      </c>
      <c r="N704" s="12" t="str">
        <f aca="false">VLOOKUP(M704,RECATALOGANDO!B:C,2,0)</f>
        <v>VENTA DE PRODUCTO</v>
      </c>
      <c r="O704" s="2" t="s">
        <v>78</v>
      </c>
    </row>
    <row r="705" customFormat="false" ht="13.8" hidden="false" customHeight="false" outlineLevel="0" collapsed="false">
      <c r="A705" s="8" t="n">
        <v>45268</v>
      </c>
      <c r="B705" s="9" t="n">
        <f aca="false">DAY(A705)</f>
        <v>8</v>
      </c>
      <c r="C705" s="9" t="n">
        <f aca="false">MONTH(A705)</f>
        <v>12</v>
      </c>
      <c r="D705" s="9" t="n">
        <f aca="false">YEAR(A705)</f>
        <v>2023</v>
      </c>
      <c r="E705" s="9" t="n">
        <f aca="false">WEEKDAY(A705,2)</f>
        <v>5</v>
      </c>
      <c r="F705" s="10" t="n">
        <f aca="false">WEEKNUM(A705,2) - WEEKNUM(DATE(YEAR(A705),MONTH(A705),1),2) + 1</f>
        <v>2</v>
      </c>
      <c r="G705" s="10"/>
      <c r="H705" s="11" t="n">
        <v>160</v>
      </c>
      <c r="I705" s="12" t="s">
        <v>20</v>
      </c>
      <c r="J705" s="12" t="s">
        <v>49</v>
      </c>
      <c r="K705" s="12"/>
      <c r="L705" s="9" t="n">
        <f aca="false">L704+H705</f>
        <v>19725.24</v>
      </c>
      <c r="M705" s="10" t="str">
        <f aca="false">VLOOKUP(J705,RECATALOGANDO!A:C,2,0)</f>
        <v>SERVICIO DE GROOMING</v>
      </c>
      <c r="N705" s="12" t="str">
        <f aca="false">VLOOKUP(M705,RECATALOGANDO!B:C,2,0)</f>
        <v>VENTA DE SERVICIO</v>
      </c>
      <c r="O705" s="2" t="s">
        <v>78</v>
      </c>
    </row>
    <row r="706" customFormat="false" ht="13.8" hidden="false" customHeight="false" outlineLevel="0" collapsed="false">
      <c r="A706" s="8" t="n">
        <v>45268</v>
      </c>
      <c r="B706" s="9" t="n">
        <f aca="false">DAY(A706)</f>
        <v>8</v>
      </c>
      <c r="C706" s="9" t="n">
        <f aca="false">MONTH(A706)</f>
        <v>12</v>
      </c>
      <c r="D706" s="9" t="n">
        <f aca="false">YEAR(A706)</f>
        <v>2023</v>
      </c>
      <c r="E706" s="9" t="n">
        <f aca="false">WEEKDAY(A706,2)</f>
        <v>5</v>
      </c>
      <c r="F706" s="10" t="n">
        <f aca="false">WEEKNUM(A706,2) - WEEKNUM(DATE(YEAR(A706),MONTH(A706),1),2) + 1</f>
        <v>2</v>
      </c>
      <c r="G706" s="10"/>
      <c r="H706" s="11" t="n">
        <v>1620</v>
      </c>
      <c r="I706" s="12" t="s">
        <v>15</v>
      </c>
      <c r="J706" s="12" t="s">
        <v>56</v>
      </c>
      <c r="K706" s="12"/>
      <c r="L706" s="9" t="n">
        <f aca="false">L705+H706</f>
        <v>21345.24</v>
      </c>
      <c r="M706" s="10" t="str">
        <f aca="false">VLOOKUP(J706,RECATALOGANDO!A:C,2,0)</f>
        <v>SERVICIO DE IMAGEN</v>
      </c>
      <c r="N706" s="12" t="str">
        <f aca="false">VLOOKUP(M706,RECATALOGANDO!B:C,2,0)</f>
        <v>VENTA DE SERVICIO</v>
      </c>
      <c r="O706" s="2" t="s">
        <v>78</v>
      </c>
    </row>
    <row r="707" customFormat="false" ht="13.8" hidden="false" customHeight="false" outlineLevel="0" collapsed="false">
      <c r="A707" s="8" t="n">
        <v>45269</v>
      </c>
      <c r="B707" s="9" t="n">
        <f aca="false">DAY(A707)</f>
        <v>9</v>
      </c>
      <c r="C707" s="9" t="n">
        <f aca="false">MONTH(A707)</f>
        <v>12</v>
      </c>
      <c r="D707" s="9" t="n">
        <f aca="false">YEAR(A707)</f>
        <v>2023</v>
      </c>
      <c r="E707" s="9" t="n">
        <f aca="false">WEEKDAY(A707,2)</f>
        <v>6</v>
      </c>
      <c r="F707" s="10" t="n">
        <f aca="false">WEEKNUM(A707,2) - WEEKNUM(DATE(YEAR(A707),MONTH(A707),1),2) + 1</f>
        <v>2</v>
      </c>
      <c r="G707" s="10"/>
      <c r="H707" s="11" t="n">
        <v>1073.23</v>
      </c>
      <c r="I707" s="12" t="s">
        <v>15</v>
      </c>
      <c r="J707" s="12" t="s">
        <v>51</v>
      </c>
      <c r="K707" s="12"/>
      <c r="L707" s="9" t="n">
        <f aca="false">L706+H707</f>
        <v>22418.47</v>
      </c>
      <c r="M707" s="10" t="str">
        <f aca="false">VLOOKUP(J707,RECATALOGANDO!A:C,2,0)</f>
        <v>VENTA DE ALIMENTO</v>
      </c>
      <c r="N707" s="12" t="str">
        <f aca="false">VLOOKUP(M707,RECATALOGANDO!B:C,2,0)</f>
        <v>VENTA DE PRODUCTO</v>
      </c>
      <c r="O707" s="2" t="s">
        <v>78</v>
      </c>
    </row>
    <row r="708" customFormat="false" ht="13.8" hidden="false" customHeight="false" outlineLevel="0" collapsed="false">
      <c r="A708" s="8" t="n">
        <v>45270</v>
      </c>
      <c r="B708" s="9" t="n">
        <f aca="false">DAY(A708)</f>
        <v>10</v>
      </c>
      <c r="C708" s="9" t="n">
        <f aca="false">MONTH(A708)</f>
        <v>12</v>
      </c>
      <c r="D708" s="9" t="n">
        <f aca="false">YEAR(A708)</f>
        <v>2023</v>
      </c>
      <c r="E708" s="9" t="n">
        <f aca="false">WEEKDAY(A708,2)</f>
        <v>7</v>
      </c>
      <c r="F708" s="10" t="n">
        <f aca="false">WEEKNUM(A708,2) - WEEKNUM(DATE(YEAR(A708),MONTH(A708),1),2) + 1</f>
        <v>2</v>
      </c>
      <c r="G708" s="10"/>
      <c r="H708" s="11" t="n">
        <v>400</v>
      </c>
      <c r="I708" s="12" t="s">
        <v>15</v>
      </c>
      <c r="J708" s="12" t="s">
        <v>45</v>
      </c>
      <c r="K708" s="12"/>
      <c r="L708" s="9" t="n">
        <f aca="false">L707+H708</f>
        <v>22818.47</v>
      </c>
      <c r="M708" s="10" t="str">
        <f aca="false">VLOOKUP(J708,RECATALOGANDO!A:C,2,0)</f>
        <v>VENTA DE MEDICAMENTO</v>
      </c>
      <c r="N708" s="12" t="str">
        <f aca="false">VLOOKUP(M708,RECATALOGANDO!B:C,2,0)</f>
        <v>VENTA DE PRODUCTO</v>
      </c>
      <c r="O708" s="2" t="s">
        <v>78</v>
      </c>
    </row>
    <row r="709" customFormat="false" ht="13.8" hidden="false" customHeight="false" outlineLevel="0" collapsed="false">
      <c r="A709" s="8" t="n">
        <v>45271</v>
      </c>
      <c r="B709" s="9" t="n">
        <f aca="false">DAY(A709)</f>
        <v>11</v>
      </c>
      <c r="C709" s="9" t="n">
        <f aca="false">MONTH(A709)</f>
        <v>12</v>
      </c>
      <c r="D709" s="9" t="n">
        <f aca="false">YEAR(A709)</f>
        <v>2023</v>
      </c>
      <c r="E709" s="9" t="n">
        <f aca="false">WEEKDAY(A709,2)</f>
        <v>1</v>
      </c>
      <c r="F709" s="10" t="n">
        <f aca="false">WEEKNUM(A709,2) - WEEKNUM(DATE(YEAR(A709),MONTH(A709),1),2) + 1</f>
        <v>3</v>
      </c>
      <c r="G709" s="10"/>
      <c r="H709" s="11" t="n">
        <v>20</v>
      </c>
      <c r="I709" s="12" t="s">
        <v>20</v>
      </c>
      <c r="J709" s="12" t="s">
        <v>45</v>
      </c>
      <c r="K709" s="12"/>
      <c r="L709" s="9" t="n">
        <f aca="false">L708+H709</f>
        <v>22838.47</v>
      </c>
      <c r="M709" s="10" t="str">
        <f aca="false">VLOOKUP(J709,RECATALOGANDO!A:C,2,0)</f>
        <v>VENTA DE MEDICAMENTO</v>
      </c>
      <c r="N709" s="12" t="str">
        <f aca="false">VLOOKUP(M709,RECATALOGANDO!B:C,2,0)</f>
        <v>VENTA DE PRODUCTO</v>
      </c>
      <c r="O709" s="2" t="s">
        <v>78</v>
      </c>
    </row>
    <row r="710" customFormat="false" ht="13.8" hidden="false" customHeight="false" outlineLevel="0" collapsed="false">
      <c r="A710" s="8" t="n">
        <v>45271</v>
      </c>
      <c r="B710" s="9" t="n">
        <f aca="false">DAY(A710)</f>
        <v>11</v>
      </c>
      <c r="C710" s="9" t="n">
        <f aca="false">MONTH(A710)</f>
        <v>12</v>
      </c>
      <c r="D710" s="9" t="n">
        <f aca="false">YEAR(A710)</f>
        <v>2023</v>
      </c>
      <c r="E710" s="9" t="n">
        <f aca="false">WEEKDAY(A710,2)</f>
        <v>1</v>
      </c>
      <c r="F710" s="10" t="n">
        <f aca="false">WEEKNUM(A710,2) - WEEKNUM(DATE(YEAR(A710),MONTH(A710),1),2) + 1</f>
        <v>3</v>
      </c>
      <c r="G710" s="10"/>
      <c r="H710" s="11" t="n">
        <v>1470</v>
      </c>
      <c r="I710" s="12" t="s">
        <v>20</v>
      </c>
      <c r="J710" s="12" t="s">
        <v>45</v>
      </c>
      <c r="K710" s="12"/>
      <c r="L710" s="9" t="n">
        <f aca="false">L709+H710</f>
        <v>24308.47</v>
      </c>
      <c r="M710" s="10" t="str">
        <f aca="false">VLOOKUP(J710,RECATALOGANDO!A:C,2,0)</f>
        <v>VENTA DE MEDICAMENTO</v>
      </c>
      <c r="N710" s="12" t="str">
        <f aca="false">VLOOKUP(M710,RECATALOGANDO!B:C,2,0)</f>
        <v>VENTA DE PRODUCTO</v>
      </c>
      <c r="O710" s="2" t="s">
        <v>78</v>
      </c>
    </row>
    <row r="711" customFormat="false" ht="13.8" hidden="false" customHeight="false" outlineLevel="0" collapsed="false">
      <c r="A711" s="8" t="n">
        <v>45271</v>
      </c>
      <c r="B711" s="9" t="n">
        <f aca="false">DAY(A711)</f>
        <v>11</v>
      </c>
      <c r="C711" s="9" t="n">
        <f aca="false">MONTH(A711)</f>
        <v>12</v>
      </c>
      <c r="D711" s="9" t="n">
        <f aca="false">YEAR(A711)</f>
        <v>2023</v>
      </c>
      <c r="E711" s="9" t="n">
        <f aca="false">WEEKDAY(A711,2)</f>
        <v>1</v>
      </c>
      <c r="F711" s="10" t="n">
        <f aca="false">WEEKNUM(A711,2) - WEEKNUM(DATE(YEAR(A711),MONTH(A711),1),2) + 1</f>
        <v>3</v>
      </c>
      <c r="G711" s="10"/>
      <c r="H711" s="11" t="n">
        <v>170</v>
      </c>
      <c r="I711" s="12" t="s">
        <v>20</v>
      </c>
      <c r="J711" s="12" t="s">
        <v>49</v>
      </c>
      <c r="K711" s="12"/>
      <c r="L711" s="9" t="n">
        <f aca="false">L710+H711</f>
        <v>24478.47</v>
      </c>
      <c r="M711" s="10" t="str">
        <f aca="false">VLOOKUP(J711,RECATALOGANDO!A:C,2,0)</f>
        <v>SERVICIO DE GROOMING</v>
      </c>
      <c r="N711" s="12" t="str">
        <f aca="false">VLOOKUP(M711,RECATALOGANDO!B:C,2,0)</f>
        <v>VENTA DE SERVICIO</v>
      </c>
      <c r="O711" s="2" t="s">
        <v>78</v>
      </c>
    </row>
    <row r="712" customFormat="false" ht="13.8" hidden="false" customHeight="false" outlineLevel="0" collapsed="false">
      <c r="A712" s="8" t="n">
        <v>45271</v>
      </c>
      <c r="B712" s="9" t="n">
        <f aca="false">DAY(A712)</f>
        <v>11</v>
      </c>
      <c r="C712" s="9" t="n">
        <f aca="false">MONTH(A712)</f>
        <v>12</v>
      </c>
      <c r="D712" s="9" t="n">
        <f aca="false">YEAR(A712)</f>
        <v>2023</v>
      </c>
      <c r="E712" s="9" t="n">
        <f aca="false">WEEKDAY(A712,2)</f>
        <v>1</v>
      </c>
      <c r="F712" s="10" t="n">
        <f aca="false">WEEKNUM(A712,2) - WEEKNUM(DATE(YEAR(A712),MONTH(A712),1),2) + 1</f>
        <v>3</v>
      </c>
      <c r="G712" s="10"/>
      <c r="H712" s="11" t="n">
        <v>900</v>
      </c>
      <c r="I712" s="12" t="s">
        <v>20</v>
      </c>
      <c r="J712" s="12" t="s">
        <v>44</v>
      </c>
      <c r="K712" s="12"/>
      <c r="L712" s="9" t="n">
        <f aca="false">L711+H712</f>
        <v>25378.47</v>
      </c>
      <c r="M712" s="10" t="str">
        <f aca="false">VLOOKUP(J712,RECATALOGANDO!A:C,2,0)</f>
        <v>HONORARIOS MEDICOS</v>
      </c>
      <c r="N712" s="12" t="str">
        <f aca="false">VLOOKUP(M712,RECATALOGANDO!B:C,2,0)</f>
        <v>VENTA DE SERVICIO</v>
      </c>
      <c r="O712" s="2" t="s">
        <v>78</v>
      </c>
    </row>
    <row r="713" customFormat="false" ht="13.8" hidden="false" customHeight="false" outlineLevel="0" collapsed="false">
      <c r="A713" s="8" t="n">
        <v>45275</v>
      </c>
      <c r="B713" s="9" t="n">
        <f aca="false">DAY(A713)</f>
        <v>15</v>
      </c>
      <c r="C713" s="9" t="n">
        <f aca="false">MONTH(A713)</f>
        <v>12</v>
      </c>
      <c r="D713" s="9" t="n">
        <f aca="false">YEAR(A713)</f>
        <v>2023</v>
      </c>
      <c r="E713" s="9" t="n">
        <f aca="false">WEEKDAY(A713,2)</f>
        <v>5</v>
      </c>
      <c r="F713" s="10" t="n">
        <f aca="false">WEEKNUM(A713,2) - WEEKNUM(DATE(YEAR(A713),MONTH(A713),1),2) + 1</f>
        <v>3</v>
      </c>
      <c r="G713" s="10" t="n">
        <v>1</v>
      </c>
      <c r="H713" s="11" t="n">
        <v>300</v>
      </c>
      <c r="I713" s="12" t="s">
        <v>20</v>
      </c>
      <c r="J713" s="12" t="s">
        <v>44</v>
      </c>
      <c r="K713" s="12"/>
      <c r="L713" s="9" t="n">
        <f aca="false">L712+H713</f>
        <v>25678.47</v>
      </c>
      <c r="M713" s="10" t="str">
        <f aca="false">VLOOKUP(J713,RECATALOGANDO!A:C,2,0)</f>
        <v>HONORARIOS MEDICOS</v>
      </c>
      <c r="N713" s="12" t="str">
        <f aca="false">VLOOKUP(M713,RECATALOGANDO!B:C,2,0)</f>
        <v>VENTA DE SERVICIO</v>
      </c>
      <c r="O713" s="2" t="s">
        <v>78</v>
      </c>
    </row>
    <row r="714" customFormat="false" ht="13.8" hidden="false" customHeight="false" outlineLevel="0" collapsed="false">
      <c r="A714" s="8" t="n">
        <v>45275</v>
      </c>
      <c r="B714" s="9" t="n">
        <f aca="false">DAY(A714)</f>
        <v>15</v>
      </c>
      <c r="C714" s="9" t="n">
        <f aca="false">MONTH(A714)</f>
        <v>12</v>
      </c>
      <c r="D714" s="9" t="n">
        <f aca="false">YEAR(A714)</f>
        <v>2023</v>
      </c>
      <c r="E714" s="9" t="n">
        <f aca="false">WEEKDAY(A714,2)</f>
        <v>5</v>
      </c>
      <c r="F714" s="10" t="n">
        <f aca="false">WEEKNUM(A714,2) - WEEKNUM(DATE(YEAR(A714),MONTH(A714),1),2) + 1</f>
        <v>3</v>
      </c>
      <c r="G714" s="10" t="n">
        <v>1</v>
      </c>
      <c r="H714" s="11" t="n">
        <v>400</v>
      </c>
      <c r="I714" s="12" t="s">
        <v>15</v>
      </c>
      <c r="J714" s="12" t="s">
        <v>54</v>
      </c>
      <c r="K714" s="12"/>
      <c r="L714" s="9" t="n">
        <f aca="false">L713+H714</f>
        <v>26078.47</v>
      </c>
      <c r="M714" s="10" t="str">
        <f aca="false">VLOOKUP(J714,RECATALOGANDO!A:C,2,0)</f>
        <v>SERVICIO DE LABORATORIO</v>
      </c>
      <c r="N714" s="12" t="str">
        <f aca="false">VLOOKUP(M714,RECATALOGANDO!B:C,2,0)</f>
        <v>VENTA DE SERVICIO</v>
      </c>
      <c r="O714" s="2" t="s">
        <v>78</v>
      </c>
    </row>
    <row r="715" customFormat="false" ht="13.8" hidden="false" customHeight="false" outlineLevel="0" collapsed="false">
      <c r="A715" s="8" t="n">
        <v>45279</v>
      </c>
      <c r="B715" s="9" t="n">
        <f aca="false">DAY(A715)</f>
        <v>19</v>
      </c>
      <c r="C715" s="9" t="n">
        <f aca="false">MONTH(A715)</f>
        <v>12</v>
      </c>
      <c r="D715" s="9" t="n">
        <f aca="false">YEAR(A715)</f>
        <v>2023</v>
      </c>
      <c r="E715" s="9" t="n">
        <f aca="false">WEEKDAY(A715,2)</f>
        <v>2</v>
      </c>
      <c r="F715" s="10" t="n">
        <f aca="false">WEEKNUM(A715,2) - WEEKNUM(DATE(YEAR(A715),MONTH(A715),1),2) + 1</f>
        <v>4</v>
      </c>
      <c r="G715" s="10"/>
      <c r="H715" s="11" t="n">
        <v>490</v>
      </c>
      <c r="I715" s="12" t="s">
        <v>20</v>
      </c>
      <c r="J715" s="12" t="s">
        <v>45</v>
      </c>
      <c r="K715" s="12"/>
      <c r="L715" s="9" t="n">
        <f aca="false">L714+H715</f>
        <v>26568.47</v>
      </c>
      <c r="M715" s="10" t="str">
        <f aca="false">VLOOKUP(J715,RECATALOGANDO!A:C,2,0)</f>
        <v>VENTA DE MEDICAMENTO</v>
      </c>
      <c r="N715" s="12" t="str">
        <f aca="false">VLOOKUP(M715,RECATALOGANDO!B:C,2,0)</f>
        <v>VENTA DE PRODUCTO</v>
      </c>
      <c r="O715" s="2" t="s">
        <v>78</v>
      </c>
    </row>
    <row r="716" customFormat="false" ht="13.8" hidden="false" customHeight="false" outlineLevel="0" collapsed="false">
      <c r="A716" s="8" t="n">
        <v>45279</v>
      </c>
      <c r="B716" s="9" t="n">
        <f aca="false">DAY(A716)</f>
        <v>19</v>
      </c>
      <c r="C716" s="9" t="n">
        <f aca="false">MONTH(A716)</f>
        <v>12</v>
      </c>
      <c r="D716" s="9" t="n">
        <f aca="false">YEAR(A716)</f>
        <v>2023</v>
      </c>
      <c r="E716" s="9" t="n">
        <f aca="false">WEEKDAY(A716,2)</f>
        <v>2</v>
      </c>
      <c r="F716" s="10" t="n">
        <f aca="false">WEEKNUM(A716,2) - WEEKNUM(DATE(YEAR(A716),MONTH(A716),1),2) + 1</f>
        <v>4</v>
      </c>
      <c r="G716" s="10"/>
      <c r="H716" s="11" t="n">
        <v>1080</v>
      </c>
      <c r="I716" s="12" t="s">
        <v>20</v>
      </c>
      <c r="J716" s="12" t="s">
        <v>51</v>
      </c>
      <c r="K716" s="12"/>
      <c r="L716" s="9" t="n">
        <f aca="false">L715+H716</f>
        <v>27648.47</v>
      </c>
      <c r="M716" s="10" t="str">
        <f aca="false">VLOOKUP(J716,RECATALOGANDO!A:C,2,0)</f>
        <v>VENTA DE ALIMENTO</v>
      </c>
      <c r="N716" s="12" t="str">
        <f aca="false">VLOOKUP(M716,RECATALOGANDO!B:C,2,0)</f>
        <v>VENTA DE PRODUCTO</v>
      </c>
      <c r="O716" s="2" t="s">
        <v>78</v>
      </c>
    </row>
    <row r="717" customFormat="false" ht="13.8" hidden="false" customHeight="false" outlineLevel="0" collapsed="false">
      <c r="A717" s="8" t="n">
        <v>45279</v>
      </c>
      <c r="B717" s="9" t="n">
        <f aca="false">DAY(A717)</f>
        <v>19</v>
      </c>
      <c r="C717" s="9" t="n">
        <f aca="false">MONTH(A717)</f>
        <v>12</v>
      </c>
      <c r="D717" s="9" t="n">
        <f aca="false">YEAR(A717)</f>
        <v>2023</v>
      </c>
      <c r="E717" s="9" t="n">
        <f aca="false">WEEKDAY(A717,2)</f>
        <v>2</v>
      </c>
      <c r="F717" s="10" t="n">
        <f aca="false">WEEKNUM(A717,2) - WEEKNUM(DATE(YEAR(A717),MONTH(A717),1),2) + 1</f>
        <v>4</v>
      </c>
      <c r="G717" s="10"/>
      <c r="H717" s="11" t="n">
        <v>2432</v>
      </c>
      <c r="I717" s="12" t="s">
        <v>15</v>
      </c>
      <c r="J717" s="12" t="s">
        <v>51</v>
      </c>
      <c r="K717" s="12"/>
      <c r="L717" s="9" t="n">
        <f aca="false">L716+H717</f>
        <v>30080.47</v>
      </c>
      <c r="M717" s="10" t="str">
        <f aca="false">VLOOKUP(J717,RECATALOGANDO!A:C,2,0)</f>
        <v>VENTA DE ALIMENTO</v>
      </c>
      <c r="N717" s="12" t="str">
        <f aca="false">VLOOKUP(M717,RECATALOGANDO!B:C,2,0)</f>
        <v>VENTA DE PRODUCTO</v>
      </c>
      <c r="O717" s="2" t="s">
        <v>78</v>
      </c>
    </row>
    <row r="718" customFormat="false" ht="13.8" hidden="false" customHeight="false" outlineLevel="0" collapsed="false">
      <c r="A718" s="8" t="n">
        <v>45279</v>
      </c>
      <c r="B718" s="9" t="n">
        <f aca="false">DAY(A718)</f>
        <v>19</v>
      </c>
      <c r="C718" s="9" t="n">
        <f aca="false">MONTH(A718)</f>
        <v>12</v>
      </c>
      <c r="D718" s="9" t="n">
        <f aca="false">YEAR(A718)</f>
        <v>2023</v>
      </c>
      <c r="E718" s="9" t="n">
        <f aca="false">WEEKDAY(A718,2)</f>
        <v>2</v>
      </c>
      <c r="F718" s="10" t="n">
        <f aca="false">WEEKNUM(A718,2) - WEEKNUM(DATE(YEAR(A718),MONTH(A718),1),2) + 1</f>
        <v>4</v>
      </c>
      <c r="G718" s="10"/>
      <c r="H718" s="11" t="n">
        <v>1080</v>
      </c>
      <c r="I718" s="12" t="s">
        <v>20</v>
      </c>
      <c r="J718" s="12" t="s">
        <v>44</v>
      </c>
      <c r="K718" s="12"/>
      <c r="L718" s="9" t="n">
        <f aca="false">L717+H718</f>
        <v>31160.47</v>
      </c>
      <c r="M718" s="10" t="str">
        <f aca="false">VLOOKUP(J718,RECATALOGANDO!A:C,2,0)</f>
        <v>HONORARIOS MEDICOS</v>
      </c>
      <c r="N718" s="12" t="str">
        <f aca="false">VLOOKUP(M718,RECATALOGANDO!B:C,2,0)</f>
        <v>VENTA DE SERVICIO</v>
      </c>
      <c r="O718" s="2" t="s">
        <v>78</v>
      </c>
    </row>
    <row r="719" customFormat="false" ht="13.8" hidden="false" customHeight="false" outlineLevel="0" collapsed="false">
      <c r="A719" s="8" t="n">
        <v>45279</v>
      </c>
      <c r="B719" s="9" t="n">
        <f aca="false">DAY(A719)</f>
        <v>19</v>
      </c>
      <c r="C719" s="9" t="n">
        <f aca="false">MONTH(A719)</f>
        <v>12</v>
      </c>
      <c r="D719" s="9" t="n">
        <f aca="false">YEAR(A719)</f>
        <v>2023</v>
      </c>
      <c r="E719" s="9" t="n">
        <f aca="false">WEEKDAY(A719,2)</f>
        <v>2</v>
      </c>
      <c r="F719" s="10" t="n">
        <f aca="false">WEEKNUM(A719,2) - WEEKNUM(DATE(YEAR(A719),MONTH(A719),1),2) + 1</f>
        <v>4</v>
      </c>
      <c r="G719" s="10"/>
      <c r="H719" s="11" t="n">
        <v>1200</v>
      </c>
      <c r="I719" s="12" t="s">
        <v>15</v>
      </c>
      <c r="J719" s="12" t="s">
        <v>44</v>
      </c>
      <c r="K719" s="12"/>
      <c r="L719" s="9" t="n">
        <f aca="false">L718+H719</f>
        <v>32360.47</v>
      </c>
      <c r="M719" s="10" t="str">
        <f aca="false">VLOOKUP(J719,RECATALOGANDO!A:C,2,0)</f>
        <v>HONORARIOS MEDICOS</v>
      </c>
      <c r="N719" s="12" t="str">
        <f aca="false">VLOOKUP(M719,RECATALOGANDO!B:C,2,0)</f>
        <v>VENTA DE SERVICIO</v>
      </c>
      <c r="O719" s="2" t="s">
        <v>78</v>
      </c>
    </row>
    <row r="720" customFormat="false" ht="13.8" hidden="false" customHeight="false" outlineLevel="0" collapsed="false">
      <c r="A720" s="8" t="n">
        <v>45279</v>
      </c>
      <c r="B720" s="9" t="n">
        <f aca="false">DAY(A720)</f>
        <v>19</v>
      </c>
      <c r="C720" s="9" t="n">
        <f aca="false">MONTH(A720)</f>
        <v>12</v>
      </c>
      <c r="D720" s="9" t="n">
        <f aca="false">YEAR(A720)</f>
        <v>2023</v>
      </c>
      <c r="E720" s="9" t="n">
        <f aca="false">WEEKDAY(A720,2)</f>
        <v>2</v>
      </c>
      <c r="F720" s="10" t="n">
        <f aca="false">WEEKNUM(A720,2) - WEEKNUM(DATE(YEAR(A720),MONTH(A720),1),2) + 1</f>
        <v>4</v>
      </c>
      <c r="G720" s="10"/>
      <c r="H720" s="11" t="n">
        <v>3787.92</v>
      </c>
      <c r="I720" s="12" t="s">
        <v>15</v>
      </c>
      <c r="J720" s="12" t="s">
        <v>66</v>
      </c>
      <c r="K720" s="12"/>
      <c r="L720" s="9" t="n">
        <f aca="false">L719+H720</f>
        <v>36148.39</v>
      </c>
      <c r="M720" s="10" t="str">
        <f aca="false">VLOOKUP(J720,RECATALOGANDO!A:C,2,0)</f>
        <v>SERVICIO DE IMAGEN</v>
      </c>
      <c r="N720" s="12" t="str">
        <f aca="false">VLOOKUP(M720,RECATALOGANDO!B:C,2,0)</f>
        <v>VENTA DE SERVICIO</v>
      </c>
      <c r="O720" s="2" t="s">
        <v>78</v>
      </c>
    </row>
    <row r="721" customFormat="false" ht="13.8" hidden="false" customHeight="false" outlineLevel="0" collapsed="false">
      <c r="A721" s="8" t="n">
        <v>45280</v>
      </c>
      <c r="B721" s="9" t="n">
        <f aca="false">DAY(A721)</f>
        <v>20</v>
      </c>
      <c r="C721" s="9" t="n">
        <f aca="false">MONTH(A721)</f>
        <v>12</v>
      </c>
      <c r="D721" s="9" t="n">
        <f aca="false">YEAR(A721)</f>
        <v>2023</v>
      </c>
      <c r="E721" s="9" t="n">
        <f aca="false">WEEKDAY(A721,2)</f>
        <v>3</v>
      </c>
      <c r="F721" s="10" t="n">
        <f aca="false">WEEKNUM(A721,2) - WEEKNUM(DATE(YEAR(A721),MONTH(A721),1),2) + 1</f>
        <v>4</v>
      </c>
      <c r="G721" s="10"/>
      <c r="H721" s="11" t="n">
        <v>1160</v>
      </c>
      <c r="I721" s="12" t="s">
        <v>15</v>
      </c>
      <c r="J721" s="22" t="s">
        <v>45</v>
      </c>
      <c r="K721" s="12"/>
      <c r="L721" s="9" t="n">
        <f aca="false">L720+H721</f>
        <v>37308.39</v>
      </c>
      <c r="M721" s="10" t="str">
        <f aca="false">VLOOKUP(J721,RECATALOGANDO!A:C,2,0)</f>
        <v>VENTA DE MEDICAMENTO</v>
      </c>
      <c r="N721" s="12" t="str">
        <f aca="false">VLOOKUP(M721,RECATALOGANDO!B:C,2,0)</f>
        <v>VENTA DE PRODUCTO</v>
      </c>
      <c r="O721" s="2" t="s">
        <v>78</v>
      </c>
    </row>
    <row r="722" customFormat="false" ht="13.8" hidden="false" customHeight="false" outlineLevel="0" collapsed="false">
      <c r="A722" s="8" t="n">
        <v>45280</v>
      </c>
      <c r="B722" s="9" t="n">
        <f aca="false">DAY(A722)</f>
        <v>20</v>
      </c>
      <c r="C722" s="9" t="n">
        <f aca="false">MONTH(A722)</f>
        <v>12</v>
      </c>
      <c r="D722" s="9" t="n">
        <f aca="false">YEAR(A722)</f>
        <v>2023</v>
      </c>
      <c r="E722" s="9" t="n">
        <f aca="false">WEEKDAY(A722,2)</f>
        <v>3</v>
      </c>
      <c r="F722" s="10" t="n">
        <f aca="false">WEEKNUM(A722,2) - WEEKNUM(DATE(YEAR(A722),MONTH(A722),1),2) + 1</f>
        <v>4</v>
      </c>
      <c r="G722" s="10"/>
      <c r="H722" s="11" t="n">
        <v>1190</v>
      </c>
      <c r="I722" s="12" t="s">
        <v>20</v>
      </c>
      <c r="J722" s="12" t="s">
        <v>45</v>
      </c>
      <c r="K722" s="12"/>
      <c r="L722" s="9" t="n">
        <f aca="false">L721+H722</f>
        <v>38498.39</v>
      </c>
      <c r="M722" s="10" t="str">
        <f aca="false">VLOOKUP(J722,RECATALOGANDO!A:C,2,0)</f>
        <v>VENTA DE MEDICAMENTO</v>
      </c>
      <c r="N722" s="12" t="str">
        <f aca="false">VLOOKUP(M722,RECATALOGANDO!B:C,2,0)</f>
        <v>VENTA DE PRODUCTO</v>
      </c>
      <c r="O722" s="2" t="s">
        <v>78</v>
      </c>
    </row>
    <row r="723" customFormat="false" ht="13.8" hidden="false" customHeight="false" outlineLevel="0" collapsed="false">
      <c r="A723" s="8" t="n">
        <v>45280</v>
      </c>
      <c r="B723" s="9" t="n">
        <f aca="false">DAY(A723)</f>
        <v>20</v>
      </c>
      <c r="C723" s="9" t="n">
        <f aca="false">MONTH(A723)</f>
        <v>12</v>
      </c>
      <c r="D723" s="9" t="n">
        <f aca="false">YEAR(A723)</f>
        <v>2023</v>
      </c>
      <c r="E723" s="9" t="n">
        <f aca="false">WEEKDAY(A723,2)</f>
        <v>3</v>
      </c>
      <c r="F723" s="10" t="n">
        <f aca="false">WEEKNUM(A723,2) - WEEKNUM(DATE(YEAR(A723),MONTH(A723),1),2) + 1</f>
        <v>4</v>
      </c>
      <c r="G723" s="10"/>
      <c r="H723" s="11" t="n">
        <v>1280</v>
      </c>
      <c r="I723" s="12" t="s">
        <v>20</v>
      </c>
      <c r="J723" s="22" t="s">
        <v>58</v>
      </c>
      <c r="K723" s="12"/>
      <c r="L723" s="9" t="n">
        <f aca="false">L722+H723</f>
        <v>39778.39</v>
      </c>
      <c r="M723" s="10" t="str">
        <f aca="false">VLOOKUP(J723,RECATALOGANDO!A:C,2,0)</f>
        <v>SERVICIO DE LABORATORIO</v>
      </c>
      <c r="N723" s="12" t="str">
        <f aca="false">VLOOKUP(M723,RECATALOGANDO!B:C,2,0)</f>
        <v>VENTA DE SERVICIO</v>
      </c>
      <c r="O723" s="2" t="s">
        <v>78</v>
      </c>
    </row>
    <row r="724" customFormat="false" ht="13.8" hidden="false" customHeight="false" outlineLevel="0" collapsed="false">
      <c r="A724" s="8" t="n">
        <v>45280</v>
      </c>
      <c r="B724" s="9" t="n">
        <f aca="false">DAY(A724)</f>
        <v>20</v>
      </c>
      <c r="C724" s="9" t="n">
        <f aca="false">MONTH(A724)</f>
        <v>12</v>
      </c>
      <c r="D724" s="9" t="n">
        <f aca="false">YEAR(A724)</f>
        <v>2023</v>
      </c>
      <c r="E724" s="9" t="n">
        <f aca="false">WEEKDAY(A724,2)</f>
        <v>3</v>
      </c>
      <c r="F724" s="10" t="n">
        <f aca="false">WEEKNUM(A724,2) - WEEKNUM(DATE(YEAR(A724),MONTH(A724),1),2) + 1</f>
        <v>4</v>
      </c>
      <c r="G724" s="10"/>
      <c r="H724" s="11" t="n">
        <v>3279</v>
      </c>
      <c r="I724" s="12" t="s">
        <v>20</v>
      </c>
      <c r="J724" s="12" t="s">
        <v>67</v>
      </c>
      <c r="K724" s="12"/>
      <c r="L724" s="9" t="n">
        <f aca="false">L723+H724</f>
        <v>43057.39</v>
      </c>
      <c r="M724" s="10" t="str">
        <f aca="false">VLOOKUP(J724,RECATALOGANDO!A:C,2,0)</f>
        <v>SERVICIO DE PENSION</v>
      </c>
      <c r="N724" s="12" t="str">
        <f aca="false">VLOOKUP(M724,RECATALOGANDO!B:C,2,0)</f>
        <v>VENTA DE SERVICIO</v>
      </c>
      <c r="O724" s="2" t="s">
        <v>78</v>
      </c>
    </row>
    <row r="725" customFormat="false" ht="13.8" hidden="false" customHeight="false" outlineLevel="0" collapsed="false">
      <c r="A725" s="8" t="n">
        <v>45281</v>
      </c>
      <c r="B725" s="9" t="n">
        <f aca="false">DAY(A725)</f>
        <v>21</v>
      </c>
      <c r="C725" s="9" t="n">
        <f aca="false">MONTH(A725)</f>
        <v>12</v>
      </c>
      <c r="D725" s="9" t="n">
        <f aca="false">YEAR(A725)</f>
        <v>2023</v>
      </c>
      <c r="E725" s="9" t="n">
        <f aca="false">WEEKDAY(A725,2)</f>
        <v>4</v>
      </c>
      <c r="F725" s="10" t="n">
        <f aca="false">WEEKNUM(A725,2) - WEEKNUM(DATE(YEAR(A725),MONTH(A725),1),2) + 1</f>
        <v>4</v>
      </c>
      <c r="G725" s="10"/>
      <c r="H725" s="11" t="n">
        <v>200</v>
      </c>
      <c r="I725" s="12" t="s">
        <v>20</v>
      </c>
      <c r="J725" s="12" t="s">
        <v>49</v>
      </c>
      <c r="K725" s="12"/>
      <c r="L725" s="9" t="n">
        <f aca="false">L724+H725</f>
        <v>43257.39</v>
      </c>
      <c r="M725" s="10" t="str">
        <f aca="false">VLOOKUP(J725,RECATALOGANDO!A:C,2,0)</f>
        <v>SERVICIO DE GROOMING</v>
      </c>
      <c r="N725" s="12" t="str">
        <f aca="false">VLOOKUP(M725,RECATALOGANDO!B:C,2,0)</f>
        <v>VENTA DE SERVICIO</v>
      </c>
      <c r="O725" s="2" t="s">
        <v>78</v>
      </c>
    </row>
    <row r="726" customFormat="false" ht="13.8" hidden="false" customHeight="false" outlineLevel="0" collapsed="false">
      <c r="A726" s="8" t="n">
        <v>45281</v>
      </c>
      <c r="B726" s="9" t="n">
        <f aca="false">DAY(A726)</f>
        <v>21</v>
      </c>
      <c r="C726" s="9" t="n">
        <f aca="false">MONTH(A726)</f>
        <v>12</v>
      </c>
      <c r="D726" s="9" t="n">
        <f aca="false">YEAR(A726)</f>
        <v>2023</v>
      </c>
      <c r="E726" s="9" t="n">
        <f aca="false">WEEKDAY(A726,2)</f>
        <v>4</v>
      </c>
      <c r="F726" s="10" t="n">
        <f aca="false">WEEKNUM(A726,2) - WEEKNUM(DATE(YEAR(A726),MONTH(A726),1),2) + 1</f>
        <v>4</v>
      </c>
      <c r="G726" s="10"/>
      <c r="H726" s="11" t="n">
        <v>289.39</v>
      </c>
      <c r="I726" s="12" t="s">
        <v>15</v>
      </c>
      <c r="J726" s="12" t="s">
        <v>49</v>
      </c>
      <c r="K726" s="12"/>
      <c r="L726" s="9" t="n">
        <f aca="false">L725+H726</f>
        <v>43546.78</v>
      </c>
      <c r="M726" s="10" t="str">
        <f aca="false">VLOOKUP(J726,RECATALOGANDO!A:C,2,0)</f>
        <v>SERVICIO DE GROOMING</v>
      </c>
      <c r="N726" s="12" t="str">
        <f aca="false">VLOOKUP(M726,RECATALOGANDO!B:C,2,0)</f>
        <v>VENTA DE SERVICIO</v>
      </c>
      <c r="O726" s="2" t="s">
        <v>78</v>
      </c>
    </row>
    <row r="727" customFormat="false" ht="13.8" hidden="false" customHeight="false" outlineLevel="0" collapsed="false">
      <c r="A727" s="8" t="n">
        <v>45282</v>
      </c>
      <c r="B727" s="9" t="n">
        <f aca="false">DAY(A727)</f>
        <v>22</v>
      </c>
      <c r="C727" s="9" t="n">
        <f aca="false">MONTH(A727)</f>
        <v>12</v>
      </c>
      <c r="D727" s="9" t="n">
        <f aca="false">YEAR(A727)</f>
        <v>2023</v>
      </c>
      <c r="E727" s="9" t="n">
        <f aca="false">WEEKDAY(A727,2)</f>
        <v>5</v>
      </c>
      <c r="F727" s="10" t="n">
        <f aca="false">WEEKNUM(A727,2) - WEEKNUM(DATE(YEAR(A727),MONTH(A727),1),2) + 1</f>
        <v>4</v>
      </c>
      <c r="G727" s="10"/>
      <c r="H727" s="11" t="n">
        <v>370</v>
      </c>
      <c r="I727" s="12" t="s">
        <v>20</v>
      </c>
      <c r="J727" s="12" t="s">
        <v>49</v>
      </c>
      <c r="K727" s="12"/>
      <c r="L727" s="9" t="n">
        <f aca="false">L726+H727</f>
        <v>43916.78</v>
      </c>
      <c r="M727" s="10" t="str">
        <f aca="false">VLOOKUP(J727,RECATALOGANDO!A:C,2,0)</f>
        <v>SERVICIO DE GROOMING</v>
      </c>
      <c r="N727" s="12" t="str">
        <f aca="false">VLOOKUP(M727,RECATALOGANDO!B:C,2,0)</f>
        <v>VENTA DE SERVICIO</v>
      </c>
      <c r="O727" s="2" t="s">
        <v>78</v>
      </c>
    </row>
    <row r="728" customFormat="false" ht="13.8" hidden="false" customHeight="false" outlineLevel="0" collapsed="false">
      <c r="A728" s="8" t="n">
        <v>45282</v>
      </c>
      <c r="B728" s="9" t="n">
        <f aca="false">DAY(A728)</f>
        <v>22</v>
      </c>
      <c r="C728" s="9" t="n">
        <f aca="false">MONTH(A728)</f>
        <v>12</v>
      </c>
      <c r="D728" s="9" t="n">
        <f aca="false">YEAR(A728)</f>
        <v>2023</v>
      </c>
      <c r="E728" s="9" t="n">
        <f aca="false">WEEKDAY(A728,2)</f>
        <v>5</v>
      </c>
      <c r="F728" s="10" t="n">
        <f aca="false">WEEKNUM(A728,2) - WEEKNUM(DATE(YEAR(A728),MONTH(A728),1),2) + 1</f>
        <v>4</v>
      </c>
      <c r="G728" s="10"/>
      <c r="H728" s="11" t="n">
        <v>460</v>
      </c>
      <c r="I728" s="12" t="s">
        <v>20</v>
      </c>
      <c r="J728" s="12" t="s">
        <v>67</v>
      </c>
      <c r="K728" s="12"/>
      <c r="L728" s="9" t="n">
        <f aca="false">L727+H728</f>
        <v>44376.78</v>
      </c>
      <c r="M728" s="10" t="str">
        <f aca="false">VLOOKUP(J728,RECATALOGANDO!A:C,2,0)</f>
        <v>SERVICIO DE PENSION</v>
      </c>
      <c r="N728" s="12" t="str">
        <f aca="false">VLOOKUP(M728,RECATALOGANDO!B:C,2,0)</f>
        <v>VENTA DE SERVICIO</v>
      </c>
      <c r="O728" s="2" t="s">
        <v>78</v>
      </c>
    </row>
    <row r="729" customFormat="false" ht="13.8" hidden="false" customHeight="false" outlineLevel="0" collapsed="false">
      <c r="A729" s="8" t="n">
        <v>45283</v>
      </c>
      <c r="B729" s="9" t="n">
        <f aca="false">DAY(A729)</f>
        <v>23</v>
      </c>
      <c r="C729" s="9" t="n">
        <f aca="false">MONTH(A729)</f>
        <v>12</v>
      </c>
      <c r="D729" s="9" t="n">
        <f aca="false">YEAR(A729)</f>
        <v>2023</v>
      </c>
      <c r="E729" s="9" t="n">
        <f aca="false">WEEKDAY(A729,2)</f>
        <v>6</v>
      </c>
      <c r="F729" s="10" t="n">
        <f aca="false">WEEKNUM(A729,2) - WEEKNUM(DATE(YEAR(A729),MONTH(A729),1),2) + 1</f>
        <v>4</v>
      </c>
      <c r="G729" s="10"/>
      <c r="H729" s="11" t="n">
        <v>1421.07</v>
      </c>
      <c r="I729" s="12" t="s">
        <v>15</v>
      </c>
      <c r="J729" s="12" t="s">
        <v>45</v>
      </c>
      <c r="K729" s="12"/>
      <c r="L729" s="9" t="n">
        <f aca="false">L728+H729</f>
        <v>45797.85</v>
      </c>
      <c r="M729" s="10" t="str">
        <f aca="false">VLOOKUP(J729,RECATALOGANDO!A:C,2,0)</f>
        <v>VENTA DE MEDICAMENTO</v>
      </c>
      <c r="N729" s="12" t="str">
        <f aca="false">VLOOKUP(M729,RECATALOGANDO!B:C,2,0)</f>
        <v>VENTA DE PRODUCTO</v>
      </c>
      <c r="O729" s="2" t="s">
        <v>78</v>
      </c>
    </row>
    <row r="730" customFormat="false" ht="13.8" hidden="false" customHeight="false" outlineLevel="0" collapsed="false">
      <c r="A730" s="8" t="n">
        <v>45291</v>
      </c>
      <c r="B730" s="9" t="n">
        <f aca="false">DAY(A730)</f>
        <v>31</v>
      </c>
      <c r="C730" s="9" t="n">
        <f aca="false">MONTH(A730)</f>
        <v>12</v>
      </c>
      <c r="D730" s="9" t="n">
        <f aca="false">YEAR(A730)</f>
        <v>2023</v>
      </c>
      <c r="E730" s="9" t="n">
        <f aca="false">WEEKDAY(A730,2)</f>
        <v>7</v>
      </c>
      <c r="F730" s="10" t="n">
        <f aca="false">WEEKNUM(A730,2) - WEEKNUM(DATE(YEAR(A730),MONTH(A730),1),2) + 1</f>
        <v>5</v>
      </c>
      <c r="G730" s="10"/>
      <c r="H730" s="11" t="n">
        <v>257</v>
      </c>
      <c r="I730" s="12" t="s">
        <v>15</v>
      </c>
      <c r="J730" s="12" t="s">
        <v>49</v>
      </c>
      <c r="K730" s="12"/>
      <c r="L730" s="9" t="n">
        <f aca="false">L729+H730</f>
        <v>46054.85</v>
      </c>
      <c r="M730" s="10" t="str">
        <f aca="false">VLOOKUP(J730,RECATALOGANDO!A:C,2,0)</f>
        <v>SERVICIO DE GROOMING</v>
      </c>
      <c r="N730" s="12" t="str">
        <f aca="false">VLOOKUP(M730,RECATALOGANDO!B:C,2,0)</f>
        <v>VENTA DE SERVICIO</v>
      </c>
      <c r="O730" s="2" t="s">
        <v>78</v>
      </c>
    </row>
    <row r="731" customFormat="false" ht="13.8" hidden="false" customHeight="false" outlineLevel="0" collapsed="false">
      <c r="A731" s="8" t="n">
        <v>45301</v>
      </c>
      <c r="B731" s="9" t="n">
        <f aca="false">DAY(A731)</f>
        <v>10</v>
      </c>
      <c r="C731" s="9" t="n">
        <f aca="false">MONTH(A731)</f>
        <v>1</v>
      </c>
      <c r="D731" s="9" t="n">
        <f aca="false">YEAR(A731)</f>
        <v>2024</v>
      </c>
      <c r="E731" s="9" t="n">
        <f aca="false">WEEKDAY(A731,2)</f>
        <v>3</v>
      </c>
      <c r="F731" s="10" t="n">
        <f aca="false">WEEKNUM(A731,2) - WEEKNUM(DATE(YEAR(A731),MONTH(A731),1),2) + 1</f>
        <v>2</v>
      </c>
      <c r="G731" s="10"/>
      <c r="H731" s="11" t="n">
        <v>1300</v>
      </c>
      <c r="I731" s="12" t="s">
        <v>20</v>
      </c>
      <c r="J731" s="12" t="s">
        <v>51</v>
      </c>
      <c r="K731" s="12"/>
      <c r="L731" s="9" t="n">
        <f aca="false">SUMIFS(H:H,C:C,C731,D:D,D731,N:N,N731)</f>
        <v>1300</v>
      </c>
      <c r="M731" s="10" t="str">
        <f aca="false">VLOOKUP(J731,RECATALOGANDO!A:C,2,0)</f>
        <v>VENTA DE ALIMENTO</v>
      </c>
      <c r="N731" s="12" t="str">
        <f aca="false">VLOOKUP(M731,RECATALOGANDO!B:C,2,0)</f>
        <v>VENTA DE PRODUCTO</v>
      </c>
      <c r="O731" s="2" t="s">
        <v>78</v>
      </c>
    </row>
    <row r="732" customFormat="false" ht="13.8" hidden="false" customHeight="false" outlineLevel="0" collapsed="false">
      <c r="A732" s="8" t="n">
        <v>45323</v>
      </c>
      <c r="B732" s="9" t="n">
        <f aca="false">DAY(A732)</f>
        <v>1</v>
      </c>
      <c r="C732" s="9" t="n">
        <f aca="false">MONTH(A732)</f>
        <v>2</v>
      </c>
      <c r="D732" s="9" t="n">
        <f aca="false">YEAR(A732)</f>
        <v>2024</v>
      </c>
      <c r="E732" s="9" t="n">
        <f aca="false">WEEKDAY(A732,2)</f>
        <v>4</v>
      </c>
      <c r="F732" s="10" t="n">
        <f aca="false">WEEKNUM(A732,2) - WEEKNUM(DATE(YEAR(A732),MONTH(A732),1),2) + 1</f>
        <v>1</v>
      </c>
      <c r="G732" s="10"/>
      <c r="H732" s="11" t="n">
        <v>1310</v>
      </c>
      <c r="I732" s="12" t="s">
        <v>15</v>
      </c>
      <c r="J732" s="12" t="s">
        <v>45</v>
      </c>
      <c r="K732" s="12"/>
      <c r="L732" s="9" t="n">
        <f aca="false">H732</f>
        <v>1310</v>
      </c>
      <c r="M732" s="10" t="str">
        <f aca="false">VLOOKUP(J732,RECATALOGANDO!A:C,2,0)</f>
        <v>VENTA DE MEDICAMENTO</v>
      </c>
      <c r="N732" s="12" t="str">
        <f aca="false">VLOOKUP(M732,RECATALOGANDO!B:C,2,0)</f>
        <v>VENTA DE PRODUCTO</v>
      </c>
      <c r="O732" s="2" t="s">
        <v>78</v>
      </c>
    </row>
    <row r="733" customFormat="false" ht="13.8" hidden="false" customHeight="false" outlineLevel="0" collapsed="false">
      <c r="A733" s="8" t="n">
        <v>45324</v>
      </c>
      <c r="B733" s="9" t="n">
        <f aca="false">DAY(A733)</f>
        <v>2</v>
      </c>
      <c r="C733" s="9" t="n">
        <f aca="false">MONTH(A733)</f>
        <v>2</v>
      </c>
      <c r="D733" s="9" t="n">
        <f aca="false">YEAR(A733)</f>
        <v>2024</v>
      </c>
      <c r="E733" s="9" t="n">
        <f aca="false">WEEKDAY(A733,2)</f>
        <v>5</v>
      </c>
      <c r="F733" s="10" t="n">
        <f aca="false">WEEKNUM(A733,2) - WEEKNUM(DATE(YEAR(A733),MONTH(A733),1),2) + 1</f>
        <v>1</v>
      </c>
      <c r="G733" s="10"/>
      <c r="H733" s="11" t="n">
        <v>490</v>
      </c>
      <c r="I733" s="12" t="s">
        <v>20</v>
      </c>
      <c r="J733" s="12" t="s">
        <v>45</v>
      </c>
      <c r="K733" s="12"/>
      <c r="L733" s="9" t="n">
        <f aca="false">L732+H733</f>
        <v>1800</v>
      </c>
      <c r="M733" s="10" t="str">
        <f aca="false">VLOOKUP(J733,RECATALOGANDO!A:C,2,0)</f>
        <v>VENTA DE MEDICAMENTO</v>
      </c>
      <c r="N733" s="12" t="str">
        <f aca="false">VLOOKUP(M733,RECATALOGANDO!B:C,2,0)</f>
        <v>VENTA DE PRODUCTO</v>
      </c>
      <c r="O733" s="2" t="s">
        <v>78</v>
      </c>
    </row>
    <row r="734" customFormat="false" ht="13.8" hidden="false" customHeight="false" outlineLevel="0" collapsed="false">
      <c r="A734" s="8" t="n">
        <v>45324</v>
      </c>
      <c r="B734" s="9" t="n">
        <f aca="false">DAY(A734)</f>
        <v>2</v>
      </c>
      <c r="C734" s="9" t="n">
        <f aca="false">MONTH(A734)</f>
        <v>2</v>
      </c>
      <c r="D734" s="9" t="n">
        <f aca="false">YEAR(A734)</f>
        <v>2024</v>
      </c>
      <c r="E734" s="9" t="n">
        <f aca="false">WEEKDAY(A734,2)</f>
        <v>5</v>
      </c>
      <c r="F734" s="10" t="n">
        <f aca="false">WEEKNUM(A734,2) - WEEKNUM(DATE(YEAR(A734),MONTH(A734),1),2) + 1</f>
        <v>1</v>
      </c>
      <c r="G734" s="10"/>
      <c r="H734" s="11" t="n">
        <v>1119</v>
      </c>
      <c r="I734" s="12" t="s">
        <v>20</v>
      </c>
      <c r="J734" s="12" t="s">
        <v>51</v>
      </c>
      <c r="K734" s="12"/>
      <c r="L734" s="9" t="n">
        <f aca="false">SUMIFS(H:H,C:C,C734,D:D,D734,N:N,N734)</f>
        <v>19556.99</v>
      </c>
      <c r="M734" s="10" t="str">
        <f aca="false">VLOOKUP(J734,RECATALOGANDO!A:C,2,0)</f>
        <v>VENTA DE ALIMENTO</v>
      </c>
      <c r="N734" s="12" t="str">
        <f aca="false">VLOOKUP(M734,RECATALOGANDO!B:C,2,0)</f>
        <v>VENTA DE PRODUCTO</v>
      </c>
      <c r="O734" s="2" t="s">
        <v>78</v>
      </c>
    </row>
    <row r="735" customFormat="false" ht="13.8" hidden="false" customHeight="false" outlineLevel="0" collapsed="false">
      <c r="A735" s="8" t="n">
        <v>45324</v>
      </c>
      <c r="B735" s="9" t="n">
        <f aca="false">DAY(A735)</f>
        <v>2</v>
      </c>
      <c r="C735" s="9" t="n">
        <f aca="false">MONTH(A735)</f>
        <v>2</v>
      </c>
      <c r="D735" s="9" t="n">
        <f aca="false">YEAR(A735)</f>
        <v>2024</v>
      </c>
      <c r="E735" s="9" t="n">
        <f aca="false">WEEKDAY(A735,2)</f>
        <v>5</v>
      </c>
      <c r="F735" s="10" t="n">
        <f aca="false">WEEKNUM(A735,2) - WEEKNUM(DATE(YEAR(A735),MONTH(A735),1),2) + 1</f>
        <v>1</v>
      </c>
      <c r="G735" s="10"/>
      <c r="H735" s="11" t="n">
        <v>350</v>
      </c>
      <c r="I735" s="12" t="s">
        <v>20</v>
      </c>
      <c r="J735" s="12" t="s">
        <v>49</v>
      </c>
      <c r="K735" s="12"/>
      <c r="L735" s="9" t="n">
        <f aca="false">SUMIFS(H:H,C:C,C735,D:D,D735,N:N,N735)</f>
        <v>24183</v>
      </c>
      <c r="M735" s="10" t="str">
        <f aca="false">VLOOKUP(J735,RECATALOGANDO!A:C,2,0)</f>
        <v>SERVICIO DE GROOMING</v>
      </c>
      <c r="N735" s="12" t="str">
        <f aca="false">VLOOKUP(M735,RECATALOGANDO!B:C,2,0)</f>
        <v>VENTA DE SERVICIO</v>
      </c>
      <c r="O735" s="2" t="s">
        <v>78</v>
      </c>
    </row>
    <row r="736" customFormat="false" ht="13.8" hidden="false" customHeight="false" outlineLevel="0" collapsed="false">
      <c r="A736" s="8" t="n">
        <v>45325</v>
      </c>
      <c r="B736" s="9" t="n">
        <f aca="false">DAY(A736)</f>
        <v>3</v>
      </c>
      <c r="C736" s="9" t="n">
        <f aca="false">MONTH(A736)</f>
        <v>2</v>
      </c>
      <c r="D736" s="9" t="n">
        <f aca="false">YEAR(A736)</f>
        <v>2024</v>
      </c>
      <c r="E736" s="9" t="n">
        <f aca="false">WEEKDAY(A736,2)</f>
        <v>6</v>
      </c>
      <c r="F736" s="10" t="n">
        <f aca="false">WEEKNUM(A736,2) - WEEKNUM(DATE(YEAR(A736),MONTH(A736),1),2) + 1</f>
        <v>1</v>
      </c>
      <c r="G736" s="10"/>
      <c r="H736" s="11" t="n">
        <v>647.77</v>
      </c>
      <c r="I736" s="12" t="s">
        <v>15</v>
      </c>
      <c r="J736" s="12" t="s">
        <v>51</v>
      </c>
      <c r="K736" s="12"/>
      <c r="L736" s="9" t="n">
        <f aca="false">SUMIFS(H:H,C:C,C736,D:D,D736,N:N,N736)</f>
        <v>19556.99</v>
      </c>
      <c r="M736" s="10" t="str">
        <f aca="false">VLOOKUP(J736,RECATALOGANDO!A:C,2,0)</f>
        <v>VENTA DE ALIMENTO</v>
      </c>
      <c r="N736" s="12" t="str">
        <f aca="false">VLOOKUP(M736,RECATALOGANDO!B:C,2,0)</f>
        <v>VENTA DE PRODUCTO</v>
      </c>
      <c r="O736" s="2" t="s">
        <v>78</v>
      </c>
    </row>
    <row r="737" customFormat="false" ht="13.8" hidden="false" customHeight="false" outlineLevel="0" collapsed="false">
      <c r="A737" s="8" t="n">
        <v>45325</v>
      </c>
      <c r="B737" s="9" t="n">
        <f aca="false">DAY(A737)</f>
        <v>3</v>
      </c>
      <c r="C737" s="9" t="n">
        <f aca="false">MONTH(A737)</f>
        <v>2</v>
      </c>
      <c r="D737" s="9" t="n">
        <f aca="false">YEAR(A737)</f>
        <v>2024</v>
      </c>
      <c r="E737" s="9" t="n">
        <f aca="false">WEEKDAY(A737,2)</f>
        <v>6</v>
      </c>
      <c r="F737" s="10" t="n">
        <f aca="false">WEEKNUM(A737,2) - WEEKNUM(DATE(YEAR(A737),MONTH(A737),1),2) + 1</f>
        <v>1</v>
      </c>
      <c r="G737" s="10"/>
      <c r="H737" s="11" t="n">
        <v>150</v>
      </c>
      <c r="I737" s="12" t="s">
        <v>15</v>
      </c>
      <c r="J737" s="12" t="s">
        <v>49</v>
      </c>
      <c r="K737" s="12"/>
      <c r="L737" s="9" t="n">
        <f aca="false">SUMIFS(H:H,C:C,C737,D:D,D737,N:N,N737)</f>
        <v>24183</v>
      </c>
      <c r="M737" s="10" t="str">
        <f aca="false">VLOOKUP(J737,RECATALOGANDO!A:C,2,0)</f>
        <v>SERVICIO DE GROOMING</v>
      </c>
      <c r="N737" s="12" t="str">
        <f aca="false">VLOOKUP(M737,RECATALOGANDO!B:C,2,0)</f>
        <v>VENTA DE SERVICIO</v>
      </c>
      <c r="O737" s="2" t="s">
        <v>78</v>
      </c>
    </row>
    <row r="738" customFormat="false" ht="13.8" hidden="false" customHeight="false" outlineLevel="0" collapsed="false">
      <c r="A738" s="8" t="n">
        <v>45325</v>
      </c>
      <c r="B738" s="9" t="n">
        <f aca="false">DAY(A738)</f>
        <v>3</v>
      </c>
      <c r="C738" s="9" t="n">
        <f aca="false">MONTH(A738)</f>
        <v>2</v>
      </c>
      <c r="D738" s="9" t="n">
        <f aca="false">YEAR(A738)</f>
        <v>2024</v>
      </c>
      <c r="E738" s="9" t="n">
        <f aca="false">WEEKDAY(A738,2)</f>
        <v>6</v>
      </c>
      <c r="F738" s="10" t="n">
        <f aca="false">WEEKNUM(A738,2) - WEEKNUM(DATE(YEAR(A738),MONTH(A738),1),2) + 1</f>
        <v>1</v>
      </c>
      <c r="G738" s="10"/>
      <c r="H738" s="11" t="n">
        <v>5170</v>
      </c>
      <c r="I738" s="12" t="s">
        <v>15</v>
      </c>
      <c r="J738" s="12" t="s">
        <v>64</v>
      </c>
      <c r="K738" s="12"/>
      <c r="L738" s="9" t="n">
        <f aca="false">SUMIFS(H:H,C:C,C738,D:D,D738,N:N,N738)</f>
        <v>24183</v>
      </c>
      <c r="M738" s="10" t="str">
        <f aca="false">VLOOKUP(J738,RECATALOGANDO!A:C,2,0)</f>
        <v>HONORARIOS QUIRURGICOS</v>
      </c>
      <c r="N738" s="12" t="str">
        <f aca="false">VLOOKUP(M738,RECATALOGANDO!B:C,2,0)</f>
        <v>VENTA DE SERVICIO</v>
      </c>
      <c r="O738" s="2" t="s">
        <v>78</v>
      </c>
    </row>
    <row r="739" customFormat="false" ht="13.8" hidden="false" customHeight="false" outlineLevel="0" collapsed="false">
      <c r="A739" s="8" t="n">
        <v>45326</v>
      </c>
      <c r="B739" s="9" t="n">
        <f aca="false">DAY(A739)</f>
        <v>4</v>
      </c>
      <c r="C739" s="9" t="n">
        <f aca="false">MONTH(A739)</f>
        <v>2</v>
      </c>
      <c r="D739" s="9" t="n">
        <f aca="false">YEAR(A739)</f>
        <v>2024</v>
      </c>
      <c r="E739" s="9" t="n">
        <f aca="false">WEEKDAY(A739,2)</f>
        <v>7</v>
      </c>
      <c r="F739" s="10" t="n">
        <f aca="false">WEEKNUM(A739,2) - WEEKNUM(DATE(YEAR(A739),MONTH(A739),1),2) + 1</f>
        <v>1</v>
      </c>
      <c r="G739" s="10"/>
      <c r="H739" s="11" t="n">
        <v>740</v>
      </c>
      <c r="I739" s="12" t="s">
        <v>15</v>
      </c>
      <c r="J739" s="12" t="s">
        <v>49</v>
      </c>
      <c r="K739" s="12"/>
      <c r="L739" s="9" t="n">
        <f aca="false">SUMIFS(H:H,C:C,C739,D:D,D739,N:N,N739)</f>
        <v>24183</v>
      </c>
      <c r="M739" s="10" t="str">
        <f aca="false">VLOOKUP(J739,RECATALOGANDO!A:C,2,0)</f>
        <v>SERVICIO DE GROOMING</v>
      </c>
      <c r="N739" s="12" t="str">
        <f aca="false">VLOOKUP(M739,RECATALOGANDO!B:C,2,0)</f>
        <v>VENTA DE SERVICIO</v>
      </c>
      <c r="O739" s="2" t="s">
        <v>78</v>
      </c>
    </row>
    <row r="740" customFormat="false" ht="13.8" hidden="false" customHeight="false" outlineLevel="0" collapsed="false">
      <c r="A740" s="8" t="n">
        <v>45328</v>
      </c>
      <c r="B740" s="9" t="n">
        <f aca="false">DAY(A740)</f>
        <v>6</v>
      </c>
      <c r="C740" s="9" t="n">
        <f aca="false">MONTH(A740)</f>
        <v>2</v>
      </c>
      <c r="D740" s="9" t="n">
        <f aca="false">YEAR(A740)</f>
        <v>2024</v>
      </c>
      <c r="E740" s="9" t="n">
        <f aca="false">WEEKDAY(A740,2)</f>
        <v>2</v>
      </c>
      <c r="F740" s="10" t="n">
        <f aca="false">WEEKNUM(A740,2) - WEEKNUM(DATE(YEAR(A740),MONTH(A740),1),2) + 1</f>
        <v>2</v>
      </c>
      <c r="G740" s="10"/>
      <c r="H740" s="11" t="n">
        <v>1460</v>
      </c>
      <c r="I740" s="12" t="s">
        <v>20</v>
      </c>
      <c r="J740" s="12" t="s">
        <v>45</v>
      </c>
      <c r="K740" s="12"/>
      <c r="L740" s="9" t="n">
        <f aca="false">SUMIFS(H:H,C:C,C740,D:D,D740,N:N,N740)</f>
        <v>19556.99</v>
      </c>
      <c r="M740" s="10" t="str">
        <f aca="false">VLOOKUP(J740,RECATALOGANDO!A:C,2,0)</f>
        <v>VENTA DE MEDICAMENTO</v>
      </c>
      <c r="N740" s="12" t="str">
        <f aca="false">VLOOKUP(M740,RECATALOGANDO!B:C,2,0)</f>
        <v>VENTA DE PRODUCTO</v>
      </c>
      <c r="O740" s="2" t="s">
        <v>78</v>
      </c>
    </row>
    <row r="741" customFormat="false" ht="13.8" hidden="false" customHeight="false" outlineLevel="0" collapsed="false">
      <c r="A741" s="8" t="n">
        <v>45328</v>
      </c>
      <c r="B741" s="9" t="n">
        <f aca="false">DAY(A741)</f>
        <v>6</v>
      </c>
      <c r="C741" s="9" t="n">
        <f aca="false">MONTH(A741)</f>
        <v>2</v>
      </c>
      <c r="D741" s="9" t="n">
        <f aca="false">YEAR(A741)</f>
        <v>2024</v>
      </c>
      <c r="E741" s="9" t="n">
        <f aca="false">WEEKDAY(A741,2)</f>
        <v>2</v>
      </c>
      <c r="F741" s="10" t="n">
        <f aca="false">WEEKNUM(A741,2) - WEEKNUM(DATE(YEAR(A741),MONTH(A741),1),2) + 1</f>
        <v>2</v>
      </c>
      <c r="G741" s="10"/>
      <c r="H741" s="11" t="n">
        <v>280</v>
      </c>
      <c r="I741" s="12" t="s">
        <v>15</v>
      </c>
      <c r="J741" s="12" t="s">
        <v>49</v>
      </c>
      <c r="K741" s="12"/>
      <c r="L741" s="9" t="n">
        <f aca="false">SUMIFS(H:H,C:C,C741,D:D,D741,N:N,N741)</f>
        <v>24183</v>
      </c>
      <c r="M741" s="10" t="str">
        <f aca="false">VLOOKUP(J741,RECATALOGANDO!A:C,2,0)</f>
        <v>SERVICIO DE GROOMING</v>
      </c>
      <c r="N741" s="12" t="str">
        <f aca="false">VLOOKUP(M741,RECATALOGANDO!B:C,2,0)</f>
        <v>VENTA DE SERVICIO</v>
      </c>
      <c r="O741" s="2" t="s">
        <v>78</v>
      </c>
    </row>
    <row r="742" customFormat="false" ht="13.8" hidden="false" customHeight="false" outlineLevel="0" collapsed="false">
      <c r="A742" s="8" t="n">
        <v>45328</v>
      </c>
      <c r="B742" s="9" t="n">
        <f aca="false">DAY(A742)</f>
        <v>6</v>
      </c>
      <c r="C742" s="9" t="n">
        <f aca="false">MONTH(A742)</f>
        <v>2</v>
      </c>
      <c r="D742" s="9" t="n">
        <f aca="false">YEAR(A742)</f>
        <v>2024</v>
      </c>
      <c r="E742" s="9" t="n">
        <f aca="false">WEEKDAY(A742,2)</f>
        <v>2</v>
      </c>
      <c r="F742" s="10" t="n">
        <f aca="false">WEEKNUM(A742,2) - WEEKNUM(DATE(YEAR(A742),MONTH(A742),1),2) + 1</f>
        <v>2</v>
      </c>
      <c r="G742" s="10"/>
      <c r="H742" s="11" t="n">
        <v>390</v>
      </c>
      <c r="I742" s="12" t="s">
        <v>20</v>
      </c>
      <c r="J742" s="12" t="s">
        <v>44</v>
      </c>
      <c r="K742" s="12"/>
      <c r="L742" s="9" t="n">
        <f aca="false">SUMIFS(H:H,C:C,C742,D:D,D742,N:N,N742)</f>
        <v>24183</v>
      </c>
      <c r="M742" s="10" t="str">
        <f aca="false">VLOOKUP(J742,RECATALOGANDO!A:C,2,0)</f>
        <v>HONORARIOS MEDICOS</v>
      </c>
      <c r="N742" s="12" t="str">
        <f aca="false">VLOOKUP(M742,RECATALOGANDO!B:C,2,0)</f>
        <v>VENTA DE SERVICIO</v>
      </c>
      <c r="O742" s="2" t="s">
        <v>78</v>
      </c>
    </row>
    <row r="743" customFormat="false" ht="13.8" hidden="false" customHeight="false" outlineLevel="0" collapsed="false">
      <c r="A743" s="8" t="n">
        <v>45328</v>
      </c>
      <c r="B743" s="9" t="n">
        <f aca="false">DAY(A743)</f>
        <v>6</v>
      </c>
      <c r="C743" s="9" t="n">
        <f aca="false">MONTH(A743)</f>
        <v>2</v>
      </c>
      <c r="D743" s="9" t="n">
        <f aca="false">YEAR(A743)</f>
        <v>2024</v>
      </c>
      <c r="E743" s="9" t="n">
        <f aca="false">WEEKDAY(A743,2)</f>
        <v>2</v>
      </c>
      <c r="F743" s="10" t="n">
        <f aca="false">WEEKNUM(A743,2) - WEEKNUM(DATE(YEAR(A743),MONTH(A743),1),2) + 1</f>
        <v>2</v>
      </c>
      <c r="G743" s="10"/>
      <c r="H743" s="11" t="n">
        <v>527</v>
      </c>
      <c r="I743" s="12" t="s">
        <v>20</v>
      </c>
      <c r="J743" s="12" t="s">
        <v>49</v>
      </c>
      <c r="K743" s="12"/>
      <c r="L743" s="9" t="n">
        <f aca="false">SUMIFS(H:H,C:C,C743,D:D,D743,N:N,N743)</f>
        <v>24183</v>
      </c>
      <c r="M743" s="10" t="str">
        <f aca="false">VLOOKUP(J743,RECATALOGANDO!A:C,2,0)</f>
        <v>SERVICIO DE GROOMING</v>
      </c>
      <c r="N743" s="12" t="str">
        <f aca="false">VLOOKUP(M743,RECATALOGANDO!B:C,2,0)</f>
        <v>VENTA DE SERVICIO</v>
      </c>
      <c r="O743" s="2" t="s">
        <v>78</v>
      </c>
    </row>
    <row r="744" customFormat="false" ht="13.8" hidden="false" customHeight="false" outlineLevel="0" collapsed="false">
      <c r="A744" s="8" t="n">
        <v>45328</v>
      </c>
      <c r="B744" s="9" t="n">
        <f aca="false">DAY(A744)</f>
        <v>6</v>
      </c>
      <c r="C744" s="9" t="n">
        <f aca="false">MONTH(A744)</f>
        <v>2</v>
      </c>
      <c r="D744" s="9" t="n">
        <f aca="false">YEAR(A744)</f>
        <v>2024</v>
      </c>
      <c r="E744" s="9" t="n">
        <f aca="false">WEEKDAY(A744,2)</f>
        <v>2</v>
      </c>
      <c r="F744" s="10" t="n">
        <f aca="false">WEEKNUM(A744,2) - WEEKNUM(DATE(YEAR(A744),MONTH(A744),1),2) + 1</f>
        <v>2</v>
      </c>
      <c r="G744" s="10"/>
      <c r="H744" s="11" t="n">
        <v>960</v>
      </c>
      <c r="I744" s="12" t="s">
        <v>20</v>
      </c>
      <c r="J744" s="12" t="s">
        <v>44</v>
      </c>
      <c r="K744" s="12"/>
      <c r="L744" s="9" t="n">
        <f aca="false">SUMIFS(H:H,C:C,C744,D:D,D744,N:N,N744)</f>
        <v>24183</v>
      </c>
      <c r="M744" s="10" t="str">
        <f aca="false">VLOOKUP(J744,RECATALOGANDO!A:C,2,0)</f>
        <v>HONORARIOS MEDICOS</v>
      </c>
      <c r="N744" s="12" t="str">
        <f aca="false">VLOOKUP(M744,RECATALOGANDO!B:C,2,0)</f>
        <v>VENTA DE SERVICIO</v>
      </c>
      <c r="O744" s="2" t="s">
        <v>78</v>
      </c>
    </row>
    <row r="745" customFormat="false" ht="13.8" hidden="false" customHeight="false" outlineLevel="0" collapsed="false">
      <c r="A745" s="8" t="n">
        <v>45328</v>
      </c>
      <c r="B745" s="9" t="n">
        <f aca="false">DAY(A745)</f>
        <v>6</v>
      </c>
      <c r="C745" s="9" t="n">
        <f aca="false">MONTH(A745)</f>
        <v>2</v>
      </c>
      <c r="D745" s="9" t="n">
        <f aca="false">YEAR(A745)</f>
        <v>2024</v>
      </c>
      <c r="E745" s="9" t="n">
        <f aca="false">WEEKDAY(A745,2)</f>
        <v>2</v>
      </c>
      <c r="F745" s="10" t="n">
        <f aca="false">WEEKNUM(A745,2) - WEEKNUM(DATE(YEAR(A745),MONTH(A745),1),2) + 1</f>
        <v>2</v>
      </c>
      <c r="G745" s="10"/>
      <c r="H745" s="11" t="n">
        <v>1100</v>
      </c>
      <c r="I745" s="12" t="s">
        <v>20</v>
      </c>
      <c r="J745" s="12" t="s">
        <v>68</v>
      </c>
      <c r="K745" s="12"/>
      <c r="L745" s="9" t="n">
        <f aca="false">SUMIFS(H:H,C:C,C745,D:D,D745,N:N,N745)</f>
        <v>24183</v>
      </c>
      <c r="M745" s="10" t="str">
        <f aca="false">VLOOKUP(J745,RECATALOGANDO!A:C,2,0)</f>
        <v>SERVICIO DE IMAGEN</v>
      </c>
      <c r="N745" s="12" t="str">
        <f aca="false">VLOOKUP(M745,RECATALOGANDO!B:C,2,0)</f>
        <v>VENTA DE SERVICIO</v>
      </c>
      <c r="O745" s="2" t="s">
        <v>78</v>
      </c>
    </row>
    <row r="746" customFormat="false" ht="13.8" hidden="false" customHeight="false" outlineLevel="0" collapsed="false">
      <c r="A746" s="8" t="n">
        <v>45329</v>
      </c>
      <c r="B746" s="9" t="n">
        <f aca="false">DAY(A746)</f>
        <v>7</v>
      </c>
      <c r="C746" s="9" t="n">
        <f aca="false">MONTH(A746)</f>
        <v>2</v>
      </c>
      <c r="D746" s="9" t="n">
        <f aca="false">YEAR(A746)</f>
        <v>2024</v>
      </c>
      <c r="E746" s="9" t="n">
        <f aca="false">WEEKDAY(A746,2)</f>
        <v>3</v>
      </c>
      <c r="F746" s="10" t="n">
        <f aca="false">WEEKNUM(A746,2) - WEEKNUM(DATE(YEAR(A746),MONTH(A746),1),2) + 1</f>
        <v>2</v>
      </c>
      <c r="G746" s="10"/>
      <c r="H746" s="11" t="n">
        <v>140</v>
      </c>
      <c r="I746" s="12" t="s">
        <v>20</v>
      </c>
      <c r="J746" s="12" t="s">
        <v>49</v>
      </c>
      <c r="K746" s="12"/>
      <c r="L746" s="9" t="n">
        <f aca="false">SUMIFS(H:H,C:C,C746,D:D,D746,N:N,N746)</f>
        <v>24183</v>
      </c>
      <c r="M746" s="10" t="str">
        <f aca="false">VLOOKUP(J746,RECATALOGANDO!A:C,2,0)</f>
        <v>SERVICIO DE GROOMING</v>
      </c>
      <c r="N746" s="12" t="str">
        <f aca="false">VLOOKUP(M746,RECATALOGANDO!B:C,2,0)</f>
        <v>VENTA DE SERVICIO</v>
      </c>
      <c r="O746" s="2" t="s">
        <v>78</v>
      </c>
    </row>
    <row r="747" customFormat="false" ht="13.8" hidden="false" customHeight="false" outlineLevel="0" collapsed="false">
      <c r="A747" s="8" t="n">
        <v>45330</v>
      </c>
      <c r="B747" s="9" t="n">
        <f aca="false">DAY(A747)</f>
        <v>8</v>
      </c>
      <c r="C747" s="9" t="n">
        <f aca="false">MONTH(A747)</f>
        <v>2</v>
      </c>
      <c r="D747" s="9" t="n">
        <f aca="false">YEAR(A747)</f>
        <v>2024</v>
      </c>
      <c r="E747" s="9" t="n">
        <f aca="false">WEEKDAY(A747,2)</f>
        <v>4</v>
      </c>
      <c r="F747" s="10" t="n">
        <f aca="false">WEEKNUM(A747,2) - WEEKNUM(DATE(YEAR(A747),MONTH(A747),1),2) + 1</f>
        <v>2</v>
      </c>
      <c r="G747" s="10"/>
      <c r="H747" s="11" t="n">
        <v>630</v>
      </c>
      <c r="I747" s="12" t="s">
        <v>15</v>
      </c>
      <c r="J747" s="12" t="s">
        <v>59</v>
      </c>
      <c r="K747" s="12"/>
      <c r="L747" s="9" t="n">
        <f aca="false">SUMIFS(H:H,C:C,C747,D:D,D747,N:N,N747)</f>
        <v>24183</v>
      </c>
      <c r="M747" s="10" t="str">
        <f aca="false">VLOOKUP(J747,RECATALOGANDO!A:C,2,0)</f>
        <v>SERVICIO DE PENSION</v>
      </c>
      <c r="N747" s="12" t="str">
        <f aca="false">VLOOKUP(M747,RECATALOGANDO!B:C,2,0)</f>
        <v>VENTA DE SERVICIO</v>
      </c>
      <c r="O747" s="2" t="s">
        <v>78</v>
      </c>
    </row>
    <row r="748" customFormat="false" ht="13.8" hidden="false" customHeight="false" outlineLevel="0" collapsed="false">
      <c r="A748" s="8" t="n">
        <v>45331</v>
      </c>
      <c r="B748" s="9" t="n">
        <f aca="false">DAY(A748)</f>
        <v>9</v>
      </c>
      <c r="C748" s="9" t="n">
        <f aca="false">MONTH(A748)</f>
        <v>2</v>
      </c>
      <c r="D748" s="9" t="n">
        <f aca="false">YEAR(A748)</f>
        <v>2024</v>
      </c>
      <c r="E748" s="9" t="n">
        <f aca="false">WEEKDAY(A748,2)</f>
        <v>5</v>
      </c>
      <c r="F748" s="10" t="n">
        <f aca="false">WEEKNUM(A748,2) - WEEKNUM(DATE(YEAR(A748),MONTH(A748),1),2) + 1</f>
        <v>2</v>
      </c>
      <c r="G748" s="10"/>
      <c r="H748" s="11" t="n">
        <v>560</v>
      </c>
      <c r="I748" s="12" t="s">
        <v>20</v>
      </c>
      <c r="J748" s="12" t="s">
        <v>49</v>
      </c>
      <c r="K748" s="12"/>
      <c r="L748" s="9" t="n">
        <f aca="false">SUMIFS(H:H,C:C,C748,D:D,D748,N:N,N748)</f>
        <v>24183</v>
      </c>
      <c r="M748" s="10" t="str">
        <f aca="false">VLOOKUP(J748,RECATALOGANDO!A:C,2,0)</f>
        <v>SERVICIO DE GROOMING</v>
      </c>
      <c r="N748" s="12" t="str">
        <f aca="false">VLOOKUP(M748,RECATALOGANDO!B:C,2,0)</f>
        <v>VENTA DE SERVICIO</v>
      </c>
      <c r="O748" s="2" t="s">
        <v>78</v>
      </c>
    </row>
    <row r="749" customFormat="false" ht="13.8" hidden="false" customHeight="false" outlineLevel="0" collapsed="false">
      <c r="A749" s="8" t="n">
        <v>45332</v>
      </c>
      <c r="B749" s="9" t="n">
        <f aca="false">DAY(A749)</f>
        <v>10</v>
      </c>
      <c r="C749" s="9" t="n">
        <f aca="false">MONTH(A749)</f>
        <v>2</v>
      </c>
      <c r="D749" s="9" t="n">
        <f aca="false">YEAR(A749)</f>
        <v>2024</v>
      </c>
      <c r="E749" s="9" t="n">
        <f aca="false">WEEKDAY(A749,2)</f>
        <v>6</v>
      </c>
      <c r="F749" s="10" t="n">
        <f aca="false">WEEKNUM(A749,2) - WEEKNUM(DATE(YEAR(A749),MONTH(A749),1),2) + 1</f>
        <v>2</v>
      </c>
      <c r="G749" s="10"/>
      <c r="H749" s="11" t="n">
        <v>1404</v>
      </c>
      <c r="I749" s="12" t="s">
        <v>15</v>
      </c>
      <c r="J749" s="12" t="s">
        <v>45</v>
      </c>
      <c r="K749" s="12"/>
      <c r="L749" s="9" t="n">
        <f aca="false">SUMIFS(H:H,C:C,C749,D:D,D749,N:N,N749)</f>
        <v>19556.99</v>
      </c>
      <c r="M749" s="10" t="str">
        <f aca="false">VLOOKUP(J749,RECATALOGANDO!A:C,2,0)</f>
        <v>VENTA DE MEDICAMENTO</v>
      </c>
      <c r="N749" s="12" t="str">
        <f aca="false">VLOOKUP(M749,RECATALOGANDO!B:C,2,0)</f>
        <v>VENTA DE PRODUCTO</v>
      </c>
      <c r="O749" s="2" t="s">
        <v>78</v>
      </c>
    </row>
    <row r="750" customFormat="false" ht="13.8" hidden="false" customHeight="false" outlineLevel="0" collapsed="false">
      <c r="A750" s="8" t="n">
        <v>45334</v>
      </c>
      <c r="B750" s="9" t="n">
        <f aca="false">DAY(A750)</f>
        <v>12</v>
      </c>
      <c r="C750" s="9" t="n">
        <f aca="false">MONTH(A750)</f>
        <v>2</v>
      </c>
      <c r="D750" s="9" t="n">
        <f aca="false">YEAR(A750)</f>
        <v>2024</v>
      </c>
      <c r="E750" s="9" t="n">
        <f aca="false">WEEKDAY(A750,2)</f>
        <v>1</v>
      </c>
      <c r="F750" s="10" t="n">
        <f aca="false">WEEKNUM(A750,2) - WEEKNUM(DATE(YEAR(A750),MONTH(A750),1),2) + 1</f>
        <v>3</v>
      </c>
      <c r="G750" s="10"/>
      <c r="H750" s="11" t="n">
        <v>470</v>
      </c>
      <c r="I750" s="12" t="s">
        <v>20</v>
      </c>
      <c r="J750" s="12" t="s">
        <v>45</v>
      </c>
      <c r="K750" s="12"/>
      <c r="L750" s="9" t="n">
        <f aca="false">SUMIFS(H:H,C:C,C750,D:D,D750,N:N,N750)</f>
        <v>19556.99</v>
      </c>
      <c r="M750" s="10" t="str">
        <f aca="false">VLOOKUP(J750,RECATALOGANDO!A:C,2,0)</f>
        <v>VENTA DE MEDICAMENTO</v>
      </c>
      <c r="N750" s="12" t="str">
        <f aca="false">VLOOKUP(M750,RECATALOGANDO!B:C,2,0)</f>
        <v>VENTA DE PRODUCTO</v>
      </c>
      <c r="O750" s="2" t="s">
        <v>78</v>
      </c>
    </row>
    <row r="751" customFormat="false" ht="13.8" hidden="false" customHeight="false" outlineLevel="0" collapsed="false">
      <c r="A751" s="8" t="n">
        <v>45334</v>
      </c>
      <c r="B751" s="9" t="n">
        <f aca="false">DAY(A751)</f>
        <v>12</v>
      </c>
      <c r="C751" s="9" t="n">
        <f aca="false">MONTH(A751)</f>
        <v>2</v>
      </c>
      <c r="D751" s="9" t="n">
        <f aca="false">YEAR(A751)</f>
        <v>2024</v>
      </c>
      <c r="E751" s="9" t="n">
        <f aca="false">WEEKDAY(A751,2)</f>
        <v>1</v>
      </c>
      <c r="F751" s="10" t="n">
        <f aca="false">WEEKNUM(A751,2) - WEEKNUM(DATE(YEAR(A751),MONTH(A751),1),2) + 1</f>
        <v>3</v>
      </c>
      <c r="G751" s="10"/>
      <c r="H751" s="11" t="n">
        <v>480</v>
      </c>
      <c r="I751" s="12" t="s">
        <v>20</v>
      </c>
      <c r="J751" s="12" t="s">
        <v>45</v>
      </c>
      <c r="K751" s="12"/>
      <c r="L751" s="9" t="n">
        <f aca="false">SUMIFS(H:H,C:C,C751,D:D,D751,N:N,N751)</f>
        <v>19556.99</v>
      </c>
      <c r="M751" s="10" t="str">
        <f aca="false">VLOOKUP(J751,RECATALOGANDO!A:C,2,0)</f>
        <v>VENTA DE MEDICAMENTO</v>
      </c>
      <c r="N751" s="12" t="str">
        <f aca="false">VLOOKUP(M751,RECATALOGANDO!B:C,2,0)</f>
        <v>VENTA DE PRODUCTO</v>
      </c>
      <c r="O751" s="2" t="s">
        <v>78</v>
      </c>
    </row>
    <row r="752" customFormat="false" ht="13.8" hidden="false" customHeight="false" outlineLevel="0" collapsed="false">
      <c r="A752" s="8" t="n">
        <v>45334</v>
      </c>
      <c r="B752" s="9" t="n">
        <f aca="false">DAY(A752)</f>
        <v>12</v>
      </c>
      <c r="C752" s="9" t="n">
        <f aca="false">MONTH(A752)</f>
        <v>2</v>
      </c>
      <c r="D752" s="9" t="n">
        <f aca="false">YEAR(A752)</f>
        <v>2024</v>
      </c>
      <c r="E752" s="9" t="n">
        <f aca="false">WEEKDAY(A752,2)</f>
        <v>1</v>
      </c>
      <c r="F752" s="10" t="n">
        <f aca="false">WEEKNUM(A752,2) - WEEKNUM(DATE(YEAR(A752),MONTH(A752),1),2) + 1</f>
        <v>3</v>
      </c>
      <c r="G752" s="10"/>
      <c r="H752" s="11" t="n">
        <v>1400</v>
      </c>
      <c r="I752" s="12" t="s">
        <v>20</v>
      </c>
      <c r="J752" s="12" t="s">
        <v>45</v>
      </c>
      <c r="K752" s="12"/>
      <c r="L752" s="9" t="n">
        <f aca="false">SUMIFS(H:H,C:C,C752,D:D,D752,N:N,N752)</f>
        <v>19556.99</v>
      </c>
      <c r="M752" s="10" t="str">
        <f aca="false">VLOOKUP(J752,RECATALOGANDO!A:C,2,0)</f>
        <v>VENTA DE MEDICAMENTO</v>
      </c>
      <c r="N752" s="12" t="str">
        <f aca="false">VLOOKUP(M752,RECATALOGANDO!B:C,2,0)</f>
        <v>VENTA DE PRODUCTO</v>
      </c>
      <c r="O752" s="2" t="s">
        <v>78</v>
      </c>
    </row>
    <row r="753" customFormat="false" ht="13.8" hidden="false" customHeight="false" outlineLevel="0" collapsed="false">
      <c r="A753" s="8" t="n">
        <v>45334</v>
      </c>
      <c r="B753" s="9" t="n">
        <f aca="false">DAY(A753)</f>
        <v>12</v>
      </c>
      <c r="C753" s="9" t="n">
        <f aca="false">MONTH(A753)</f>
        <v>2</v>
      </c>
      <c r="D753" s="9" t="n">
        <f aca="false">YEAR(A753)</f>
        <v>2024</v>
      </c>
      <c r="E753" s="9" t="n">
        <f aca="false">WEEKDAY(A753,2)</f>
        <v>1</v>
      </c>
      <c r="F753" s="10" t="n">
        <f aca="false">WEEKNUM(A753,2) - WEEKNUM(DATE(YEAR(A753),MONTH(A753),1),2) + 1</f>
        <v>3</v>
      </c>
      <c r="G753" s="10"/>
      <c r="H753" s="11" t="n">
        <v>190</v>
      </c>
      <c r="I753" s="12" t="s">
        <v>20</v>
      </c>
      <c r="J753" s="12" t="s">
        <v>49</v>
      </c>
      <c r="K753" s="12"/>
      <c r="L753" s="9" t="n">
        <f aca="false">SUMIFS(H:H,C:C,C753,D:D,D753,N:N,N753)</f>
        <v>24183</v>
      </c>
      <c r="M753" s="10" t="str">
        <f aca="false">VLOOKUP(J753,RECATALOGANDO!A:C,2,0)</f>
        <v>SERVICIO DE GROOMING</v>
      </c>
      <c r="N753" s="12" t="str">
        <f aca="false">VLOOKUP(M753,RECATALOGANDO!B:C,2,0)</f>
        <v>VENTA DE SERVICIO</v>
      </c>
      <c r="O753" s="2" t="s">
        <v>78</v>
      </c>
    </row>
    <row r="754" customFormat="false" ht="13.8" hidden="false" customHeight="false" outlineLevel="0" collapsed="false">
      <c r="A754" s="8" t="n">
        <v>45335</v>
      </c>
      <c r="B754" s="9" t="n">
        <f aca="false">DAY(A754)</f>
        <v>13</v>
      </c>
      <c r="C754" s="9" t="n">
        <f aca="false">MONTH(A754)</f>
        <v>2</v>
      </c>
      <c r="D754" s="9" t="n">
        <f aca="false">YEAR(A754)</f>
        <v>2024</v>
      </c>
      <c r="E754" s="9" t="n">
        <f aca="false">WEEKDAY(A754,2)</f>
        <v>2</v>
      </c>
      <c r="F754" s="10" t="n">
        <f aca="false">WEEKNUM(A754,2) - WEEKNUM(DATE(YEAR(A754),MONTH(A754),1),2) + 1</f>
        <v>3</v>
      </c>
      <c r="G754" s="10"/>
      <c r="H754" s="11" t="n">
        <v>719</v>
      </c>
      <c r="I754" s="12" t="s">
        <v>15</v>
      </c>
      <c r="J754" s="12" t="s">
        <v>44</v>
      </c>
      <c r="K754" s="12"/>
      <c r="L754" s="9" t="n">
        <f aca="false">SUMIFS(H:H,C:C,C754,D:D,D754,N:N,N754)</f>
        <v>24183</v>
      </c>
      <c r="M754" s="10" t="str">
        <f aca="false">VLOOKUP(J754,RECATALOGANDO!A:C,2,0)</f>
        <v>HONORARIOS MEDICOS</v>
      </c>
      <c r="N754" s="12" t="str">
        <f aca="false">VLOOKUP(M754,RECATALOGANDO!B:C,2,0)</f>
        <v>VENTA DE SERVICIO</v>
      </c>
      <c r="O754" s="2" t="s">
        <v>78</v>
      </c>
    </row>
    <row r="755" customFormat="false" ht="13.8" hidden="false" customHeight="false" outlineLevel="0" collapsed="false">
      <c r="A755" s="8" t="n">
        <v>45336</v>
      </c>
      <c r="B755" s="9" t="n">
        <f aca="false">DAY(A755)</f>
        <v>14</v>
      </c>
      <c r="C755" s="9" t="n">
        <f aca="false">MONTH(A755)</f>
        <v>2</v>
      </c>
      <c r="D755" s="9" t="n">
        <f aca="false">YEAR(A755)</f>
        <v>2024</v>
      </c>
      <c r="E755" s="9" t="n">
        <f aca="false">WEEKDAY(A755,2)</f>
        <v>3</v>
      </c>
      <c r="F755" s="10" t="n">
        <f aca="false">WEEKNUM(A755,2) - WEEKNUM(DATE(YEAR(A755),MONTH(A755),1),2) + 1</f>
        <v>3</v>
      </c>
      <c r="G755" s="10"/>
      <c r="H755" s="11" t="n">
        <v>280</v>
      </c>
      <c r="I755" s="12" t="s">
        <v>15</v>
      </c>
      <c r="J755" s="12" t="s">
        <v>45</v>
      </c>
      <c r="K755" s="12"/>
      <c r="L755" s="9" t="n">
        <f aca="false">SUMIFS(H:H,C:C,C755,D:D,D755,N:N,N755)</f>
        <v>19556.99</v>
      </c>
      <c r="M755" s="10" t="str">
        <f aca="false">VLOOKUP(J755,RECATALOGANDO!A:C,2,0)</f>
        <v>VENTA DE MEDICAMENTO</v>
      </c>
      <c r="N755" s="12" t="str">
        <f aca="false">VLOOKUP(M755,RECATALOGANDO!B:C,2,0)</f>
        <v>VENTA DE PRODUCTO</v>
      </c>
      <c r="O755" s="2" t="s">
        <v>78</v>
      </c>
    </row>
    <row r="756" customFormat="false" ht="13.8" hidden="false" customHeight="false" outlineLevel="0" collapsed="false">
      <c r="A756" s="8" t="n">
        <v>45336</v>
      </c>
      <c r="B756" s="9" t="n">
        <f aca="false">DAY(A756)</f>
        <v>14</v>
      </c>
      <c r="C756" s="9" t="n">
        <f aca="false">MONTH(A756)</f>
        <v>2</v>
      </c>
      <c r="D756" s="9" t="n">
        <f aca="false">YEAR(A756)</f>
        <v>2024</v>
      </c>
      <c r="E756" s="9" t="n">
        <f aca="false">WEEKDAY(A756,2)</f>
        <v>3</v>
      </c>
      <c r="F756" s="10" t="n">
        <f aca="false">WEEKNUM(A756,2) - WEEKNUM(DATE(YEAR(A756),MONTH(A756),1),2) + 1</f>
        <v>3</v>
      </c>
      <c r="G756" s="10"/>
      <c r="H756" s="11" t="n">
        <v>1460</v>
      </c>
      <c r="I756" s="12" t="s">
        <v>20</v>
      </c>
      <c r="J756" s="12" t="s">
        <v>51</v>
      </c>
      <c r="K756" s="12"/>
      <c r="L756" s="9" t="n">
        <f aca="false">SUMIFS(H:H,C:C,C756,D:D,D756,N:N,N756)</f>
        <v>19556.99</v>
      </c>
      <c r="M756" s="10" t="str">
        <f aca="false">VLOOKUP(J756,RECATALOGANDO!A:C,2,0)</f>
        <v>VENTA DE ALIMENTO</v>
      </c>
      <c r="N756" s="12" t="str">
        <f aca="false">VLOOKUP(M756,RECATALOGANDO!B:C,2,0)</f>
        <v>VENTA DE PRODUCTO</v>
      </c>
      <c r="O756" s="2" t="s">
        <v>78</v>
      </c>
    </row>
    <row r="757" customFormat="false" ht="13.8" hidden="false" customHeight="false" outlineLevel="0" collapsed="false">
      <c r="A757" s="8" t="n">
        <v>45337</v>
      </c>
      <c r="B757" s="9" t="n">
        <f aca="false">DAY(A757)</f>
        <v>15</v>
      </c>
      <c r="C757" s="9" t="n">
        <f aca="false">MONTH(A757)</f>
        <v>2</v>
      </c>
      <c r="D757" s="9" t="n">
        <f aca="false">YEAR(A757)</f>
        <v>2024</v>
      </c>
      <c r="E757" s="9" t="n">
        <f aca="false">WEEKDAY(A757,2)</f>
        <v>4</v>
      </c>
      <c r="F757" s="10" t="n">
        <f aca="false">WEEKNUM(A757,2) - WEEKNUM(DATE(YEAR(A757),MONTH(A757),1),2) + 1</f>
        <v>3</v>
      </c>
      <c r="G757" s="10" t="n">
        <v>1</v>
      </c>
      <c r="H757" s="11" t="n">
        <v>400</v>
      </c>
      <c r="I757" s="12" t="s">
        <v>20</v>
      </c>
      <c r="J757" s="12" t="s">
        <v>49</v>
      </c>
      <c r="K757" s="12"/>
      <c r="L757" s="9" t="n">
        <f aca="false">SUMIFS(H:H,C:C,C757,D:D,D757,N:N,N757)</f>
        <v>24183</v>
      </c>
      <c r="M757" s="10" t="str">
        <f aca="false">VLOOKUP(J757,RECATALOGANDO!A:C,2,0)</f>
        <v>SERVICIO DE GROOMING</v>
      </c>
      <c r="N757" s="12" t="str">
        <f aca="false">VLOOKUP(M757,RECATALOGANDO!B:C,2,0)</f>
        <v>VENTA DE SERVICIO</v>
      </c>
      <c r="O757" s="2" t="s">
        <v>78</v>
      </c>
    </row>
    <row r="758" customFormat="false" ht="13.8" hidden="false" customHeight="false" outlineLevel="0" collapsed="false">
      <c r="A758" s="8" t="n">
        <v>45337</v>
      </c>
      <c r="B758" s="9" t="n">
        <f aca="false">DAY(A758)</f>
        <v>15</v>
      </c>
      <c r="C758" s="9" t="n">
        <f aca="false">MONTH(A758)</f>
        <v>2</v>
      </c>
      <c r="D758" s="9" t="n">
        <f aca="false">YEAR(A758)</f>
        <v>2024</v>
      </c>
      <c r="E758" s="9" t="n">
        <f aca="false">WEEKDAY(A758,2)</f>
        <v>4</v>
      </c>
      <c r="F758" s="10" t="n">
        <f aca="false">WEEKNUM(A758,2) - WEEKNUM(DATE(YEAR(A758),MONTH(A758),1),2) + 1</f>
        <v>3</v>
      </c>
      <c r="G758" s="10" t="n">
        <v>1</v>
      </c>
      <c r="H758" s="11" t="n">
        <v>877</v>
      </c>
      <c r="I758" s="12" t="s">
        <v>20</v>
      </c>
      <c r="J758" s="12" t="s">
        <v>44</v>
      </c>
      <c r="K758" s="12"/>
      <c r="L758" s="9" t="n">
        <f aca="false">SUMIFS(H:H,C:C,C758,D:D,D758,N:N,N758)</f>
        <v>24183</v>
      </c>
      <c r="M758" s="10" t="str">
        <f aca="false">VLOOKUP(J758,RECATALOGANDO!A:C,2,0)</f>
        <v>HONORARIOS MEDICOS</v>
      </c>
      <c r="N758" s="12" t="str">
        <f aca="false">VLOOKUP(M758,RECATALOGANDO!B:C,2,0)</f>
        <v>VENTA DE SERVICIO</v>
      </c>
      <c r="O758" s="2" t="s">
        <v>78</v>
      </c>
    </row>
    <row r="759" customFormat="false" ht="13.8" hidden="false" customHeight="false" outlineLevel="0" collapsed="false">
      <c r="A759" s="8" t="n">
        <v>45338</v>
      </c>
      <c r="B759" s="9" t="n">
        <f aca="false">DAY(A759)</f>
        <v>16</v>
      </c>
      <c r="C759" s="9" t="n">
        <f aca="false">MONTH(A759)</f>
        <v>2</v>
      </c>
      <c r="D759" s="9" t="n">
        <f aca="false">YEAR(A759)</f>
        <v>2024</v>
      </c>
      <c r="E759" s="9" t="n">
        <f aca="false">WEEKDAY(A759,2)</f>
        <v>5</v>
      </c>
      <c r="F759" s="10" t="n">
        <f aca="false">WEEKNUM(A759,2) - WEEKNUM(DATE(YEAR(A759),MONTH(A759),1),2) + 1</f>
        <v>3</v>
      </c>
      <c r="G759" s="10"/>
      <c r="H759" s="11" t="n">
        <v>330</v>
      </c>
      <c r="I759" s="12" t="s">
        <v>20</v>
      </c>
      <c r="J759" s="12" t="s">
        <v>45</v>
      </c>
      <c r="K759" s="12"/>
      <c r="L759" s="9" t="n">
        <f aca="false">SUMIFS(H:H,C:C,C759,D:D,D759,N:N,N759)</f>
        <v>19556.99</v>
      </c>
      <c r="M759" s="10" t="str">
        <f aca="false">VLOOKUP(J759,RECATALOGANDO!A:C,2,0)</f>
        <v>VENTA DE MEDICAMENTO</v>
      </c>
      <c r="N759" s="12" t="str">
        <f aca="false">VLOOKUP(M759,RECATALOGANDO!B:C,2,0)</f>
        <v>VENTA DE PRODUCTO</v>
      </c>
      <c r="O759" s="2" t="s">
        <v>78</v>
      </c>
    </row>
    <row r="760" customFormat="false" ht="13.8" hidden="false" customHeight="false" outlineLevel="0" collapsed="false">
      <c r="A760" s="8" t="n">
        <v>45341</v>
      </c>
      <c r="B760" s="9" t="n">
        <f aca="false">DAY(A760)</f>
        <v>19</v>
      </c>
      <c r="C760" s="9" t="n">
        <f aca="false">MONTH(A760)</f>
        <v>2</v>
      </c>
      <c r="D760" s="9" t="n">
        <f aca="false">YEAR(A760)</f>
        <v>2024</v>
      </c>
      <c r="E760" s="9" t="n">
        <f aca="false">WEEKDAY(A760,2)</f>
        <v>1</v>
      </c>
      <c r="F760" s="10" t="n">
        <f aca="false">WEEKNUM(A760,2) - WEEKNUM(DATE(YEAR(A760),MONTH(A760),1),2) + 1</f>
        <v>4</v>
      </c>
      <c r="G760" s="10"/>
      <c r="H760" s="11" t="n">
        <v>150</v>
      </c>
      <c r="I760" s="12" t="s">
        <v>20</v>
      </c>
      <c r="J760" s="12" t="s">
        <v>45</v>
      </c>
      <c r="K760" s="12"/>
      <c r="L760" s="9" t="n">
        <f aca="false">SUMIFS(H:H,C:C,C760,D:D,D760,N:N,N760)</f>
        <v>19556.99</v>
      </c>
      <c r="M760" s="10" t="str">
        <f aca="false">VLOOKUP(J760,RECATALOGANDO!A:C,2,0)</f>
        <v>VENTA DE MEDICAMENTO</v>
      </c>
      <c r="N760" s="12" t="str">
        <f aca="false">VLOOKUP(M760,RECATALOGANDO!B:C,2,0)</f>
        <v>VENTA DE PRODUCTO</v>
      </c>
      <c r="O760" s="2" t="s">
        <v>78</v>
      </c>
    </row>
    <row r="761" customFormat="false" ht="13.8" hidden="false" customHeight="false" outlineLevel="0" collapsed="false">
      <c r="A761" s="8" t="n">
        <v>45341</v>
      </c>
      <c r="B761" s="9" t="n">
        <f aca="false">DAY(A761)</f>
        <v>19</v>
      </c>
      <c r="C761" s="9" t="n">
        <f aca="false">MONTH(A761)</f>
        <v>2</v>
      </c>
      <c r="D761" s="9" t="n">
        <f aca="false">YEAR(A761)</f>
        <v>2024</v>
      </c>
      <c r="E761" s="9" t="n">
        <f aca="false">WEEKDAY(A761,2)</f>
        <v>1</v>
      </c>
      <c r="F761" s="10" t="n">
        <f aca="false">WEEKNUM(A761,2) - WEEKNUM(DATE(YEAR(A761),MONTH(A761),1),2) + 1</f>
        <v>4</v>
      </c>
      <c r="G761" s="10"/>
      <c r="H761" s="11" t="n">
        <v>4000</v>
      </c>
      <c r="I761" s="12" t="s">
        <v>15</v>
      </c>
      <c r="J761" s="12" t="s">
        <v>51</v>
      </c>
      <c r="K761" s="12"/>
      <c r="L761" s="9" t="n">
        <f aca="false">SUMIFS(H:H,C:C,C761,D:D,D761,N:N,N761)</f>
        <v>19556.99</v>
      </c>
      <c r="M761" s="10" t="str">
        <f aca="false">VLOOKUP(J761,RECATALOGANDO!A:C,2,0)</f>
        <v>VENTA DE ALIMENTO</v>
      </c>
      <c r="N761" s="12" t="str">
        <f aca="false">VLOOKUP(M761,RECATALOGANDO!B:C,2,0)</f>
        <v>VENTA DE PRODUCTO</v>
      </c>
      <c r="O761" s="2" t="s">
        <v>78</v>
      </c>
    </row>
    <row r="762" customFormat="false" ht="13.8" hidden="false" customHeight="false" outlineLevel="0" collapsed="false">
      <c r="A762" s="8" t="n">
        <v>45343</v>
      </c>
      <c r="B762" s="9" t="n">
        <f aca="false">DAY(A762)</f>
        <v>21</v>
      </c>
      <c r="C762" s="9" t="n">
        <f aca="false">MONTH(A762)</f>
        <v>2</v>
      </c>
      <c r="D762" s="9" t="n">
        <f aca="false">YEAR(A762)</f>
        <v>2024</v>
      </c>
      <c r="E762" s="9" t="n">
        <f aca="false">WEEKDAY(A762,2)</f>
        <v>3</v>
      </c>
      <c r="F762" s="10" t="n">
        <f aca="false">WEEKNUM(A762,2) - WEEKNUM(DATE(YEAR(A762),MONTH(A762),1),2) + 1</f>
        <v>4</v>
      </c>
      <c r="G762" s="10"/>
      <c r="H762" s="11" t="n">
        <v>170</v>
      </c>
      <c r="I762" s="12" t="s">
        <v>20</v>
      </c>
      <c r="J762" s="12" t="s">
        <v>49</v>
      </c>
      <c r="K762" s="12"/>
      <c r="L762" s="9" t="n">
        <f aca="false">SUMIFS(H:H,C:C,C762,D:D,D762,N:N,N762)</f>
        <v>24183</v>
      </c>
      <c r="M762" s="10" t="str">
        <f aca="false">VLOOKUP(J762,RECATALOGANDO!A:C,2,0)</f>
        <v>SERVICIO DE GROOMING</v>
      </c>
      <c r="N762" s="12" t="str">
        <f aca="false">VLOOKUP(M762,RECATALOGANDO!B:C,2,0)</f>
        <v>VENTA DE SERVICIO</v>
      </c>
      <c r="O762" s="2" t="s">
        <v>78</v>
      </c>
    </row>
    <row r="763" customFormat="false" ht="13.8" hidden="false" customHeight="false" outlineLevel="0" collapsed="false">
      <c r="A763" s="8" t="n">
        <v>45343</v>
      </c>
      <c r="B763" s="9" t="n">
        <f aca="false">DAY(A763)</f>
        <v>21</v>
      </c>
      <c r="C763" s="9" t="n">
        <f aca="false">MONTH(A763)</f>
        <v>2</v>
      </c>
      <c r="D763" s="9" t="n">
        <f aca="false">YEAR(A763)</f>
        <v>2024</v>
      </c>
      <c r="E763" s="9" t="n">
        <f aca="false">WEEKDAY(A763,2)</f>
        <v>3</v>
      </c>
      <c r="F763" s="10" t="n">
        <f aca="false">WEEKNUM(A763,2) - WEEKNUM(DATE(YEAR(A763),MONTH(A763),1),2) + 1</f>
        <v>4</v>
      </c>
      <c r="G763" s="10"/>
      <c r="H763" s="11" t="n">
        <v>330</v>
      </c>
      <c r="I763" s="12" t="s">
        <v>15</v>
      </c>
      <c r="J763" s="12" t="s">
        <v>49</v>
      </c>
      <c r="K763" s="12"/>
      <c r="L763" s="9" t="n">
        <f aca="false">SUMIFS(H:H,C:C,C763,D:D,D763,N:N,N763)</f>
        <v>24183</v>
      </c>
      <c r="M763" s="10" t="str">
        <f aca="false">VLOOKUP(J763,RECATALOGANDO!A:C,2,0)</f>
        <v>SERVICIO DE GROOMING</v>
      </c>
      <c r="N763" s="12" t="str">
        <f aca="false">VLOOKUP(M763,RECATALOGANDO!B:C,2,0)</f>
        <v>VENTA DE SERVICIO</v>
      </c>
      <c r="O763" s="2" t="s">
        <v>78</v>
      </c>
    </row>
    <row r="764" customFormat="false" ht="13.8" hidden="false" customHeight="false" outlineLevel="0" collapsed="false">
      <c r="A764" s="8" t="n">
        <v>45343</v>
      </c>
      <c r="B764" s="9" t="n">
        <f aca="false">DAY(A764)</f>
        <v>21</v>
      </c>
      <c r="C764" s="9" t="n">
        <f aca="false">MONTH(A764)</f>
        <v>2</v>
      </c>
      <c r="D764" s="9" t="n">
        <f aca="false">YEAR(A764)</f>
        <v>2024</v>
      </c>
      <c r="E764" s="9" t="n">
        <f aca="false">WEEKDAY(A764,2)</f>
        <v>3</v>
      </c>
      <c r="F764" s="10" t="n">
        <f aca="false">WEEKNUM(A764,2) - WEEKNUM(DATE(YEAR(A764),MONTH(A764),1),2) + 1</f>
        <v>4</v>
      </c>
      <c r="G764" s="10"/>
      <c r="H764" s="11" t="n">
        <v>330</v>
      </c>
      <c r="I764" s="12" t="s">
        <v>20</v>
      </c>
      <c r="J764" s="12" t="s">
        <v>49</v>
      </c>
      <c r="K764" s="12"/>
      <c r="L764" s="9" t="n">
        <f aca="false">SUMIFS(H:H,C:C,C764,D:D,D764,N:N,N764)</f>
        <v>24183</v>
      </c>
      <c r="M764" s="10" t="str">
        <f aca="false">VLOOKUP(J764,RECATALOGANDO!A:C,2,0)</f>
        <v>SERVICIO DE GROOMING</v>
      </c>
      <c r="N764" s="12" t="str">
        <f aca="false">VLOOKUP(M764,RECATALOGANDO!B:C,2,0)</f>
        <v>VENTA DE SERVICIO</v>
      </c>
      <c r="O764" s="2" t="s">
        <v>78</v>
      </c>
    </row>
    <row r="765" customFormat="false" ht="13.8" hidden="false" customHeight="false" outlineLevel="0" collapsed="false">
      <c r="A765" s="8" t="n">
        <v>45343</v>
      </c>
      <c r="B765" s="9" t="n">
        <f aca="false">DAY(A765)</f>
        <v>21</v>
      </c>
      <c r="C765" s="9" t="n">
        <f aca="false">MONTH(A765)</f>
        <v>2</v>
      </c>
      <c r="D765" s="9" t="n">
        <f aca="false">YEAR(A765)</f>
        <v>2024</v>
      </c>
      <c r="E765" s="9" t="n">
        <f aca="false">WEEKDAY(A765,2)</f>
        <v>3</v>
      </c>
      <c r="F765" s="10" t="n">
        <f aca="false">WEEKNUM(A765,2) - WEEKNUM(DATE(YEAR(A765),MONTH(A765),1),2) + 1</f>
        <v>4</v>
      </c>
      <c r="G765" s="10"/>
      <c r="H765" s="11" t="n">
        <v>360</v>
      </c>
      <c r="I765" s="12" t="s">
        <v>20</v>
      </c>
      <c r="J765" s="12" t="s">
        <v>49</v>
      </c>
      <c r="K765" s="12"/>
      <c r="L765" s="9" t="n">
        <f aca="false">SUMIFS(H:H,C:C,C765,D:D,D765,N:N,N765)</f>
        <v>24183</v>
      </c>
      <c r="M765" s="10" t="str">
        <f aca="false">VLOOKUP(J765,RECATALOGANDO!A:C,2,0)</f>
        <v>SERVICIO DE GROOMING</v>
      </c>
      <c r="N765" s="12" t="str">
        <f aca="false">VLOOKUP(M765,RECATALOGANDO!B:C,2,0)</f>
        <v>VENTA DE SERVICIO</v>
      </c>
      <c r="O765" s="2" t="s">
        <v>78</v>
      </c>
    </row>
    <row r="766" customFormat="false" ht="13.8" hidden="false" customHeight="false" outlineLevel="0" collapsed="false">
      <c r="A766" s="8" t="n">
        <v>45344</v>
      </c>
      <c r="B766" s="9" t="n">
        <f aca="false">DAY(A766)</f>
        <v>22</v>
      </c>
      <c r="C766" s="9" t="n">
        <f aca="false">MONTH(A766)</f>
        <v>2</v>
      </c>
      <c r="D766" s="9" t="n">
        <f aca="false">YEAR(A766)</f>
        <v>2024</v>
      </c>
      <c r="E766" s="9" t="n">
        <f aca="false">WEEKDAY(A766,2)</f>
        <v>4</v>
      </c>
      <c r="F766" s="10" t="n">
        <f aca="false">WEEKNUM(A766,2) - WEEKNUM(DATE(YEAR(A766),MONTH(A766),1),2) + 1</f>
        <v>4</v>
      </c>
      <c r="G766" s="10"/>
      <c r="H766" s="11" t="n">
        <v>1080</v>
      </c>
      <c r="I766" s="12" t="s">
        <v>15</v>
      </c>
      <c r="J766" s="12" t="s">
        <v>59</v>
      </c>
      <c r="K766" s="12"/>
      <c r="L766" s="9" t="n">
        <f aca="false">SUMIFS(H:H,C:C,C766,D:D,D766,N:N,N766)</f>
        <v>24183</v>
      </c>
      <c r="M766" s="10" t="str">
        <f aca="false">VLOOKUP(J766,RECATALOGANDO!A:C,2,0)</f>
        <v>SERVICIO DE PENSION</v>
      </c>
      <c r="N766" s="12" t="str">
        <f aca="false">VLOOKUP(M766,RECATALOGANDO!B:C,2,0)</f>
        <v>VENTA DE SERVICIO</v>
      </c>
      <c r="O766" s="2" t="s">
        <v>78</v>
      </c>
    </row>
    <row r="767" customFormat="false" ht="13.8" hidden="false" customHeight="false" outlineLevel="0" collapsed="false">
      <c r="A767" s="8" t="n">
        <v>45345</v>
      </c>
      <c r="B767" s="9" t="n">
        <f aca="false">DAY(A767)</f>
        <v>23</v>
      </c>
      <c r="C767" s="9" t="n">
        <f aca="false">MONTH(A767)</f>
        <v>2</v>
      </c>
      <c r="D767" s="9" t="n">
        <f aca="false">YEAR(A767)</f>
        <v>2024</v>
      </c>
      <c r="E767" s="9" t="n">
        <f aca="false">WEEKDAY(A767,2)</f>
        <v>5</v>
      </c>
      <c r="F767" s="10" t="n">
        <f aca="false">WEEKNUM(A767,2) - WEEKNUM(DATE(YEAR(A767),MONTH(A767),1),2) + 1</f>
        <v>4</v>
      </c>
      <c r="G767" s="10"/>
      <c r="H767" s="11" t="n">
        <v>500</v>
      </c>
      <c r="I767" s="12" t="s">
        <v>15</v>
      </c>
      <c r="J767" s="12" t="s">
        <v>45</v>
      </c>
      <c r="K767" s="12"/>
      <c r="L767" s="9" t="n">
        <f aca="false">SUMIFS(H:H,C:C,C767,D:D,D767,N:N,N767)</f>
        <v>19556.99</v>
      </c>
      <c r="M767" s="10" t="str">
        <f aca="false">VLOOKUP(J767,RECATALOGANDO!A:C,2,0)</f>
        <v>VENTA DE MEDICAMENTO</v>
      </c>
      <c r="N767" s="12" t="str">
        <f aca="false">VLOOKUP(M767,RECATALOGANDO!B:C,2,0)</f>
        <v>VENTA DE PRODUCTO</v>
      </c>
      <c r="O767" s="2" t="s">
        <v>78</v>
      </c>
    </row>
    <row r="768" customFormat="false" ht="13.8" hidden="false" customHeight="false" outlineLevel="0" collapsed="false">
      <c r="A768" s="8" t="n">
        <v>45345</v>
      </c>
      <c r="B768" s="9" t="n">
        <f aca="false">DAY(A768)</f>
        <v>23</v>
      </c>
      <c r="C768" s="9" t="n">
        <f aca="false">MONTH(A768)</f>
        <v>2</v>
      </c>
      <c r="D768" s="9" t="n">
        <f aca="false">YEAR(A768)</f>
        <v>2024</v>
      </c>
      <c r="E768" s="9" t="n">
        <f aca="false">WEEKDAY(A768,2)</f>
        <v>5</v>
      </c>
      <c r="F768" s="10" t="n">
        <f aca="false">WEEKNUM(A768,2) - WEEKNUM(DATE(YEAR(A768),MONTH(A768),1),2) + 1</f>
        <v>4</v>
      </c>
      <c r="G768" s="10"/>
      <c r="H768" s="11" t="n">
        <v>390</v>
      </c>
      <c r="I768" s="12" t="s">
        <v>20</v>
      </c>
      <c r="J768" s="12" t="s">
        <v>49</v>
      </c>
      <c r="K768" s="12"/>
      <c r="L768" s="9" t="n">
        <f aca="false">SUMIFS(H:H,C:C,C768,D:D,D768,N:N,N768)</f>
        <v>24183</v>
      </c>
      <c r="M768" s="10" t="str">
        <f aca="false">VLOOKUP(J768,RECATALOGANDO!A:C,2,0)</f>
        <v>SERVICIO DE GROOMING</v>
      </c>
      <c r="N768" s="12" t="str">
        <f aca="false">VLOOKUP(M768,RECATALOGANDO!B:C,2,0)</f>
        <v>VENTA DE SERVICIO</v>
      </c>
      <c r="O768" s="2" t="s">
        <v>78</v>
      </c>
    </row>
    <row r="769" customFormat="false" ht="13.8" hidden="false" customHeight="false" outlineLevel="0" collapsed="false">
      <c r="A769" s="8" t="n">
        <v>45346</v>
      </c>
      <c r="B769" s="9" t="n">
        <f aca="false">DAY(A769)</f>
        <v>24</v>
      </c>
      <c r="C769" s="9" t="n">
        <f aca="false">MONTH(A769)</f>
        <v>2</v>
      </c>
      <c r="D769" s="9" t="n">
        <f aca="false">YEAR(A769)</f>
        <v>2024</v>
      </c>
      <c r="E769" s="9" t="n">
        <f aca="false">WEEKDAY(A769,2)</f>
        <v>6</v>
      </c>
      <c r="F769" s="10" t="n">
        <f aca="false">WEEKNUM(A769,2) - WEEKNUM(DATE(YEAR(A769),MONTH(A769),1),2) + 1</f>
        <v>4</v>
      </c>
      <c r="G769" s="10"/>
      <c r="H769" s="11" t="n">
        <v>730</v>
      </c>
      <c r="I769" s="12" t="s">
        <v>15</v>
      </c>
      <c r="J769" s="12" t="s">
        <v>51</v>
      </c>
      <c r="K769" s="12"/>
      <c r="L769" s="9" t="n">
        <f aca="false">SUMIFS(H:H,C:C,C769,D:D,D769,N:N,N769)</f>
        <v>19556.99</v>
      </c>
      <c r="M769" s="10" t="str">
        <f aca="false">VLOOKUP(J769,RECATALOGANDO!A:C,2,0)</f>
        <v>VENTA DE ALIMENTO</v>
      </c>
      <c r="N769" s="12" t="str">
        <f aca="false">VLOOKUP(M769,RECATALOGANDO!B:C,2,0)</f>
        <v>VENTA DE PRODUCTO</v>
      </c>
      <c r="O769" s="2" t="s">
        <v>78</v>
      </c>
    </row>
    <row r="770" customFormat="false" ht="13.8" hidden="false" customHeight="false" outlineLevel="0" collapsed="false">
      <c r="A770" s="8" t="n">
        <v>45346</v>
      </c>
      <c r="B770" s="9" t="n">
        <f aca="false">DAY(A770)</f>
        <v>24</v>
      </c>
      <c r="C770" s="9" t="n">
        <f aca="false">MONTH(A770)</f>
        <v>2</v>
      </c>
      <c r="D770" s="9" t="n">
        <f aca="false">YEAR(A770)</f>
        <v>2024</v>
      </c>
      <c r="E770" s="9" t="n">
        <f aca="false">WEEKDAY(A770,2)</f>
        <v>6</v>
      </c>
      <c r="F770" s="10" t="n">
        <f aca="false">WEEKNUM(A770,2) - WEEKNUM(DATE(YEAR(A770),MONTH(A770),1),2) + 1</f>
        <v>4</v>
      </c>
      <c r="G770" s="10"/>
      <c r="H770" s="11" t="n">
        <v>280</v>
      </c>
      <c r="I770" s="12" t="s">
        <v>15</v>
      </c>
      <c r="J770" s="12" t="s">
        <v>49</v>
      </c>
      <c r="K770" s="12"/>
      <c r="L770" s="9" t="n">
        <f aca="false">SUMIFS(H:H,C:C,C770,D:D,D770,N:N,N770)</f>
        <v>24183</v>
      </c>
      <c r="M770" s="10" t="str">
        <f aca="false">VLOOKUP(J770,RECATALOGANDO!A:C,2,0)</f>
        <v>SERVICIO DE GROOMING</v>
      </c>
      <c r="N770" s="12" t="str">
        <f aca="false">VLOOKUP(M770,RECATALOGANDO!B:C,2,0)</f>
        <v>VENTA DE SERVICIO</v>
      </c>
      <c r="O770" s="2" t="s">
        <v>78</v>
      </c>
    </row>
    <row r="771" customFormat="false" ht="13.8" hidden="false" customHeight="false" outlineLevel="0" collapsed="false">
      <c r="A771" s="8" t="n">
        <v>45347</v>
      </c>
      <c r="B771" s="9" t="n">
        <f aca="false">DAY(A771)</f>
        <v>25</v>
      </c>
      <c r="C771" s="9" t="n">
        <f aca="false">MONTH(A771)</f>
        <v>2</v>
      </c>
      <c r="D771" s="9" t="n">
        <f aca="false">YEAR(A771)</f>
        <v>2024</v>
      </c>
      <c r="E771" s="9" t="n">
        <f aca="false">WEEKDAY(A771,2)</f>
        <v>7</v>
      </c>
      <c r="F771" s="10" t="n">
        <f aca="false">WEEKNUM(A771,2) - WEEKNUM(DATE(YEAR(A771),MONTH(A771),1),2) + 1</f>
        <v>4</v>
      </c>
      <c r="G771" s="10"/>
      <c r="H771" s="11" t="n">
        <v>466.67</v>
      </c>
      <c r="I771" s="12" t="s">
        <v>15</v>
      </c>
      <c r="J771" s="12" t="s">
        <v>45</v>
      </c>
      <c r="K771" s="12"/>
      <c r="L771" s="9" t="n">
        <f aca="false">SUMIFS(H:H,C:C,C771,D:D,D771,N:N,N771)</f>
        <v>19556.99</v>
      </c>
      <c r="M771" s="10" t="str">
        <f aca="false">VLOOKUP(J771,RECATALOGANDO!A:C,2,0)</f>
        <v>VENTA DE MEDICAMENTO</v>
      </c>
      <c r="N771" s="12" t="str">
        <f aca="false">VLOOKUP(M771,RECATALOGANDO!B:C,2,0)</f>
        <v>VENTA DE PRODUCTO</v>
      </c>
      <c r="O771" s="2" t="s">
        <v>78</v>
      </c>
    </row>
    <row r="772" customFormat="false" ht="13.8" hidden="false" customHeight="false" outlineLevel="0" collapsed="false">
      <c r="A772" s="8" t="n">
        <v>45349</v>
      </c>
      <c r="B772" s="9" t="n">
        <f aca="false">DAY(A772)</f>
        <v>27</v>
      </c>
      <c r="C772" s="9" t="n">
        <f aca="false">MONTH(A772)</f>
        <v>2</v>
      </c>
      <c r="D772" s="9" t="n">
        <f aca="false">YEAR(A772)</f>
        <v>2024</v>
      </c>
      <c r="E772" s="9" t="n">
        <f aca="false">WEEKDAY(A772,2)</f>
        <v>2</v>
      </c>
      <c r="F772" s="10" t="n">
        <f aca="false">WEEKNUM(A772,2) - WEEKNUM(DATE(YEAR(A772),MONTH(A772),1),2) + 1</f>
        <v>5</v>
      </c>
      <c r="G772" s="10"/>
      <c r="H772" s="11" t="n">
        <v>2029.55</v>
      </c>
      <c r="I772" s="12" t="s">
        <v>15</v>
      </c>
      <c r="J772" s="12" t="s">
        <v>51</v>
      </c>
      <c r="K772" s="12"/>
      <c r="L772" s="9" t="n">
        <f aca="false">SUMIFS(H:H,C:C,C772,D:D,D772,N:N,N772)</f>
        <v>19556.99</v>
      </c>
      <c r="M772" s="10" t="str">
        <f aca="false">VLOOKUP(J772,RECATALOGANDO!A:C,2,0)</f>
        <v>VENTA DE ALIMENTO</v>
      </c>
      <c r="N772" s="12" t="str">
        <f aca="false">VLOOKUP(M772,RECATALOGANDO!B:C,2,0)</f>
        <v>VENTA DE PRODUCTO</v>
      </c>
      <c r="O772" s="2" t="s">
        <v>78</v>
      </c>
    </row>
    <row r="773" customFormat="false" ht="13.8" hidden="false" customHeight="false" outlineLevel="0" collapsed="false">
      <c r="A773" s="8" t="n">
        <v>45349</v>
      </c>
      <c r="B773" s="9" t="n">
        <f aca="false">DAY(A773)</f>
        <v>27</v>
      </c>
      <c r="C773" s="9" t="n">
        <f aca="false">MONTH(A773)</f>
        <v>2</v>
      </c>
      <c r="D773" s="9" t="n">
        <f aca="false">YEAR(A773)</f>
        <v>2024</v>
      </c>
      <c r="E773" s="9" t="n">
        <f aca="false">WEEKDAY(A773,2)</f>
        <v>2</v>
      </c>
      <c r="F773" s="10" t="n">
        <f aca="false">WEEKNUM(A773,2) - WEEKNUM(DATE(YEAR(A773),MONTH(A773),1),2) + 1</f>
        <v>5</v>
      </c>
      <c r="G773" s="10"/>
      <c r="H773" s="11" t="n">
        <v>8060</v>
      </c>
      <c r="I773" s="12" t="s">
        <v>15</v>
      </c>
      <c r="J773" s="12" t="s">
        <v>44</v>
      </c>
      <c r="K773" s="12"/>
      <c r="L773" s="9" t="n">
        <f aca="false">SUMIFS(H:H,C:C,C773,D:D,D773,N:N,N773)</f>
        <v>24183</v>
      </c>
      <c r="M773" s="10" t="str">
        <f aca="false">VLOOKUP(J773,RECATALOGANDO!A:C,2,0)</f>
        <v>HONORARIOS MEDICOS</v>
      </c>
      <c r="N773" s="12" t="str">
        <f aca="false">VLOOKUP(M773,RECATALOGANDO!B:C,2,0)</f>
        <v>VENTA DE SERVICIO</v>
      </c>
      <c r="O773" s="2" t="s">
        <v>78</v>
      </c>
    </row>
    <row r="774" customFormat="false" ht="13.8" hidden="false" customHeight="false" outlineLevel="0" collapsed="false">
      <c r="A774" s="8" t="n">
        <v>45351</v>
      </c>
      <c r="B774" s="9" t="n">
        <f aca="false">DAY(A774)</f>
        <v>29</v>
      </c>
      <c r="C774" s="9" t="n">
        <f aca="false">MONTH(A774)</f>
        <v>2</v>
      </c>
      <c r="D774" s="9" t="n">
        <f aca="false">YEAR(A774)</f>
        <v>2024</v>
      </c>
      <c r="E774" s="9" t="n">
        <f aca="false">WEEKDAY(A774,2)</f>
        <v>4</v>
      </c>
      <c r="F774" s="10" t="n">
        <f aca="false">WEEKNUM(A774,2) - WEEKNUM(DATE(YEAR(A774),MONTH(A774),1),2) + 1</f>
        <v>5</v>
      </c>
      <c r="G774" s="10"/>
      <c r="H774" s="11" t="n">
        <v>830</v>
      </c>
      <c r="I774" s="12" t="s">
        <v>15</v>
      </c>
      <c r="J774" s="12" t="s">
        <v>45</v>
      </c>
      <c r="K774" s="12"/>
      <c r="L774" s="9" t="n">
        <f aca="false">SUMIFS(H:H,C:C,C774,D:D,D774,N:N,N774)</f>
        <v>19556.99</v>
      </c>
      <c r="M774" s="10" t="str">
        <f aca="false">VLOOKUP(J774,RECATALOGANDO!A:C,2,0)</f>
        <v>VENTA DE MEDICAMENTO</v>
      </c>
      <c r="N774" s="12" t="str">
        <f aca="false">VLOOKUP(M774,RECATALOGANDO!B:C,2,0)</f>
        <v>VENTA DE PRODUCTO</v>
      </c>
      <c r="O774" s="2" t="s">
        <v>78</v>
      </c>
    </row>
    <row r="775" customFormat="false" ht="13.8" hidden="false" customHeight="false" outlineLevel="0" collapsed="false">
      <c r="A775" s="8" t="n">
        <v>45352</v>
      </c>
      <c r="B775" s="9" t="n">
        <f aca="false">DAY(A775)</f>
        <v>1</v>
      </c>
      <c r="C775" s="9" t="n">
        <f aca="false">MONTH(A775)</f>
        <v>3</v>
      </c>
      <c r="D775" s="9" t="n">
        <f aca="false">YEAR(A775)</f>
        <v>2024</v>
      </c>
      <c r="E775" s="9" t="n">
        <f aca="false">WEEKDAY(A775,2)</f>
        <v>5</v>
      </c>
      <c r="F775" s="10" t="n">
        <f aca="false">WEEKNUM(A775,2) - WEEKNUM(DATE(YEAR(A775),MONTH(A775),1),2) + 1</f>
        <v>1</v>
      </c>
      <c r="G775" s="10"/>
      <c r="H775" s="11" t="n">
        <v>430</v>
      </c>
      <c r="I775" s="12" t="s">
        <v>20</v>
      </c>
      <c r="J775" s="12" t="s">
        <v>44</v>
      </c>
      <c r="K775" s="12"/>
      <c r="L775" s="9" t="n">
        <f aca="false">H775</f>
        <v>430</v>
      </c>
      <c r="M775" s="10" t="str">
        <f aca="false">VLOOKUP(J775,RECATALOGANDO!A:C,2,0)</f>
        <v>HONORARIOS MEDICOS</v>
      </c>
      <c r="N775" s="12" t="str">
        <f aca="false">VLOOKUP(M775,RECATALOGANDO!B:C,2,0)</f>
        <v>VENTA DE SERVICIO</v>
      </c>
      <c r="O775" s="2" t="s">
        <v>78</v>
      </c>
    </row>
    <row r="776" customFormat="false" ht="13.8" hidden="false" customHeight="false" outlineLevel="0" collapsed="false">
      <c r="A776" s="8" t="n">
        <v>45353</v>
      </c>
      <c r="B776" s="9" t="n">
        <f aca="false">DAY(A776)</f>
        <v>2</v>
      </c>
      <c r="C776" s="9" t="n">
        <f aca="false">MONTH(A776)</f>
        <v>3</v>
      </c>
      <c r="D776" s="9" t="n">
        <f aca="false">YEAR(A776)</f>
        <v>2024</v>
      </c>
      <c r="E776" s="9" t="n">
        <f aca="false">WEEKDAY(A776,2)</f>
        <v>6</v>
      </c>
      <c r="F776" s="10" t="n">
        <f aca="false">WEEKNUM(A776,2) - WEEKNUM(DATE(YEAR(A776),MONTH(A776),1),2) + 1</f>
        <v>1</v>
      </c>
      <c r="G776" s="10"/>
      <c r="H776" s="11" t="n">
        <v>360</v>
      </c>
      <c r="I776" s="12" t="s">
        <v>15</v>
      </c>
      <c r="J776" s="12" t="s">
        <v>45</v>
      </c>
      <c r="K776" s="12"/>
      <c r="L776" s="9" t="n">
        <f aca="false">L775+H776</f>
        <v>790</v>
      </c>
      <c r="M776" s="10" t="str">
        <f aca="false">VLOOKUP(J776,RECATALOGANDO!A:C,2,0)</f>
        <v>VENTA DE MEDICAMENTO</v>
      </c>
      <c r="N776" s="12" t="str">
        <f aca="false">VLOOKUP(M776,RECATALOGANDO!B:C,2,0)</f>
        <v>VENTA DE PRODUCTO</v>
      </c>
      <c r="O776" s="2" t="s">
        <v>78</v>
      </c>
    </row>
    <row r="777" customFormat="false" ht="13.8" hidden="false" customHeight="false" outlineLevel="0" collapsed="false">
      <c r="A777" s="8" t="n">
        <v>45354</v>
      </c>
      <c r="B777" s="9" t="n">
        <f aca="false">DAY(A777)</f>
        <v>3</v>
      </c>
      <c r="C777" s="9" t="n">
        <f aca="false">MONTH(A777)</f>
        <v>3</v>
      </c>
      <c r="D777" s="9" t="n">
        <f aca="false">YEAR(A777)</f>
        <v>2024</v>
      </c>
      <c r="E777" s="9" t="n">
        <f aca="false">WEEKDAY(A777,2)</f>
        <v>7</v>
      </c>
      <c r="F777" s="10" t="n">
        <f aca="false">WEEKNUM(A777,2) - WEEKNUM(DATE(YEAR(A777),MONTH(A777),1),2) + 1</f>
        <v>1</v>
      </c>
      <c r="G777" s="10"/>
      <c r="H777" s="11" t="n">
        <v>330</v>
      </c>
      <c r="I777" s="12" t="s">
        <v>15</v>
      </c>
      <c r="J777" s="12" t="s">
        <v>49</v>
      </c>
      <c r="K777" s="12"/>
      <c r="L777" s="9" t="n">
        <f aca="false">L776+H777</f>
        <v>1120</v>
      </c>
      <c r="M777" s="10" t="str">
        <f aca="false">VLOOKUP(J777,RECATALOGANDO!A:C,2,0)</f>
        <v>SERVICIO DE GROOMING</v>
      </c>
      <c r="N777" s="12" t="str">
        <f aca="false">VLOOKUP(M777,RECATALOGANDO!B:C,2,0)</f>
        <v>VENTA DE SERVICIO</v>
      </c>
      <c r="O777" s="2" t="s">
        <v>78</v>
      </c>
    </row>
    <row r="778" customFormat="false" ht="13.8" hidden="false" customHeight="false" outlineLevel="0" collapsed="false">
      <c r="A778" s="8" t="n">
        <v>45355</v>
      </c>
      <c r="B778" s="9" t="n">
        <f aca="false">DAY(A778)</f>
        <v>4</v>
      </c>
      <c r="C778" s="9" t="n">
        <f aca="false">MONTH(A778)</f>
        <v>3</v>
      </c>
      <c r="D778" s="9" t="n">
        <f aca="false">YEAR(A778)</f>
        <v>2024</v>
      </c>
      <c r="E778" s="9" t="n">
        <f aca="false">WEEKDAY(A778,2)</f>
        <v>1</v>
      </c>
      <c r="F778" s="10" t="n">
        <f aca="false">WEEKNUM(A778,2) - WEEKNUM(DATE(YEAR(A778),MONTH(A778),1),2) + 1</f>
        <v>2</v>
      </c>
      <c r="G778" s="10"/>
      <c r="H778" s="11" t="n">
        <v>50</v>
      </c>
      <c r="I778" s="12" t="s">
        <v>20</v>
      </c>
      <c r="J778" s="12" t="s">
        <v>45</v>
      </c>
      <c r="K778" s="12"/>
      <c r="L778" s="9" t="n">
        <f aca="false">L777+H778</f>
        <v>1170</v>
      </c>
      <c r="M778" s="10" t="str">
        <f aca="false">VLOOKUP(J778,RECATALOGANDO!A:C,2,0)</f>
        <v>VENTA DE MEDICAMENTO</v>
      </c>
      <c r="N778" s="12" t="str">
        <f aca="false">VLOOKUP(M778,RECATALOGANDO!B:C,2,0)</f>
        <v>VENTA DE PRODUCTO</v>
      </c>
      <c r="O778" s="2" t="s">
        <v>78</v>
      </c>
    </row>
    <row r="779" customFormat="false" ht="13.8" hidden="false" customHeight="false" outlineLevel="0" collapsed="false">
      <c r="A779" s="8" t="n">
        <v>45355</v>
      </c>
      <c r="B779" s="9" t="n">
        <f aca="false">DAY(A779)</f>
        <v>4</v>
      </c>
      <c r="C779" s="9" t="n">
        <f aca="false">MONTH(A779)</f>
        <v>3</v>
      </c>
      <c r="D779" s="9" t="n">
        <f aca="false">YEAR(A779)</f>
        <v>2024</v>
      </c>
      <c r="E779" s="9" t="n">
        <f aca="false">WEEKDAY(A779,2)</f>
        <v>1</v>
      </c>
      <c r="F779" s="10" t="n">
        <f aca="false">WEEKNUM(A779,2) - WEEKNUM(DATE(YEAR(A779),MONTH(A779),1),2) + 1</f>
        <v>2</v>
      </c>
      <c r="G779" s="10"/>
      <c r="H779" s="11" t="n">
        <v>450</v>
      </c>
      <c r="I779" s="12" t="s">
        <v>20</v>
      </c>
      <c r="J779" s="12" t="s">
        <v>59</v>
      </c>
      <c r="K779" s="12"/>
      <c r="L779" s="9" t="n">
        <f aca="false">L778+H779</f>
        <v>1620</v>
      </c>
      <c r="M779" s="10" t="str">
        <f aca="false">VLOOKUP(J779,RECATALOGANDO!A:C,2,0)</f>
        <v>SERVICIO DE PENSION</v>
      </c>
      <c r="N779" s="12" t="str">
        <f aca="false">VLOOKUP(M779,RECATALOGANDO!B:C,2,0)</f>
        <v>VENTA DE SERVICIO</v>
      </c>
      <c r="O779" s="2" t="s">
        <v>78</v>
      </c>
    </row>
    <row r="780" customFormat="false" ht="13.8" hidden="false" customHeight="false" outlineLevel="0" collapsed="false">
      <c r="A780" s="8" t="n">
        <v>45356</v>
      </c>
      <c r="B780" s="9" t="n">
        <f aca="false">DAY(A780)</f>
        <v>5</v>
      </c>
      <c r="C780" s="9" t="n">
        <f aca="false">MONTH(A780)</f>
        <v>3</v>
      </c>
      <c r="D780" s="9" t="n">
        <f aca="false">YEAR(A780)</f>
        <v>2024</v>
      </c>
      <c r="E780" s="9" t="n">
        <f aca="false">WEEKDAY(A780,2)</f>
        <v>2</v>
      </c>
      <c r="F780" s="10" t="n">
        <f aca="false">WEEKNUM(A780,2) - WEEKNUM(DATE(YEAR(A780),MONTH(A780),1),2) + 1</f>
        <v>2</v>
      </c>
      <c r="G780" s="10"/>
      <c r="H780" s="11" t="n">
        <v>99</v>
      </c>
      <c r="I780" s="12" t="s">
        <v>20</v>
      </c>
      <c r="J780" s="12" t="s">
        <v>51</v>
      </c>
      <c r="K780" s="12"/>
      <c r="L780" s="9" t="n">
        <f aca="false">L779+H780</f>
        <v>1719</v>
      </c>
      <c r="M780" s="10" t="str">
        <f aca="false">VLOOKUP(J780,RECATALOGANDO!A:C,2,0)</f>
        <v>VENTA DE ALIMENTO</v>
      </c>
      <c r="N780" s="12" t="str">
        <f aca="false">VLOOKUP(M780,RECATALOGANDO!B:C,2,0)</f>
        <v>VENTA DE PRODUCTO</v>
      </c>
      <c r="O780" s="2" t="s">
        <v>78</v>
      </c>
    </row>
    <row r="781" customFormat="false" ht="13.8" hidden="false" customHeight="false" outlineLevel="0" collapsed="false">
      <c r="A781" s="8" t="n">
        <v>45356</v>
      </c>
      <c r="B781" s="9" t="n">
        <f aca="false">DAY(A781)</f>
        <v>5</v>
      </c>
      <c r="C781" s="9" t="n">
        <f aca="false">MONTH(A781)</f>
        <v>3</v>
      </c>
      <c r="D781" s="9" t="n">
        <f aca="false">YEAR(A781)</f>
        <v>2024</v>
      </c>
      <c r="E781" s="9" t="n">
        <f aca="false">WEEKDAY(A781,2)</f>
        <v>2</v>
      </c>
      <c r="F781" s="10" t="n">
        <f aca="false">WEEKNUM(A781,2) - WEEKNUM(DATE(YEAR(A781),MONTH(A781),1),2) + 1</f>
        <v>2</v>
      </c>
      <c r="G781" s="10"/>
      <c r="H781" s="11" t="n">
        <v>885</v>
      </c>
      <c r="I781" s="12" t="s">
        <v>15</v>
      </c>
      <c r="J781" s="12" t="s">
        <v>51</v>
      </c>
      <c r="K781" s="12"/>
      <c r="L781" s="9" t="n">
        <f aca="false">L780+H781</f>
        <v>2604</v>
      </c>
      <c r="M781" s="10" t="str">
        <f aca="false">VLOOKUP(J781,RECATALOGANDO!A:C,2,0)</f>
        <v>VENTA DE ALIMENTO</v>
      </c>
      <c r="N781" s="12" t="str">
        <f aca="false">VLOOKUP(M781,RECATALOGANDO!B:C,2,0)</f>
        <v>VENTA DE PRODUCTO</v>
      </c>
      <c r="O781" s="2" t="s">
        <v>78</v>
      </c>
    </row>
    <row r="782" customFormat="false" ht="13.8" hidden="false" customHeight="false" outlineLevel="0" collapsed="false">
      <c r="A782" s="8" t="n">
        <v>45357</v>
      </c>
      <c r="B782" s="9" t="n">
        <f aca="false">DAY(A782)</f>
        <v>6</v>
      </c>
      <c r="C782" s="9" t="n">
        <f aca="false">MONTH(A782)</f>
        <v>3</v>
      </c>
      <c r="D782" s="9" t="n">
        <f aca="false">YEAR(A782)</f>
        <v>2024</v>
      </c>
      <c r="E782" s="9" t="n">
        <f aca="false">WEEKDAY(A782,2)</f>
        <v>3</v>
      </c>
      <c r="F782" s="10" t="n">
        <f aca="false">WEEKNUM(A782,2) - WEEKNUM(DATE(YEAR(A782),MONTH(A782),1),2) + 1</f>
        <v>2</v>
      </c>
      <c r="G782" s="10"/>
      <c r="H782" s="11" t="n">
        <v>2188.62</v>
      </c>
      <c r="I782" s="12" t="s">
        <v>15</v>
      </c>
      <c r="J782" s="12" t="s">
        <v>51</v>
      </c>
      <c r="K782" s="12"/>
      <c r="L782" s="9" t="n">
        <f aca="false">L781+H782</f>
        <v>4792.62</v>
      </c>
      <c r="M782" s="10" t="str">
        <f aca="false">VLOOKUP(J782,RECATALOGANDO!A:C,2,0)</f>
        <v>VENTA DE ALIMENTO</v>
      </c>
      <c r="N782" s="12" t="str">
        <f aca="false">VLOOKUP(M782,RECATALOGANDO!B:C,2,0)</f>
        <v>VENTA DE PRODUCTO</v>
      </c>
      <c r="O782" s="2" t="s">
        <v>78</v>
      </c>
    </row>
    <row r="783" customFormat="false" ht="13.8" hidden="false" customHeight="false" outlineLevel="0" collapsed="false">
      <c r="A783" s="8" t="n">
        <v>45357</v>
      </c>
      <c r="B783" s="9" t="n">
        <f aca="false">DAY(A783)</f>
        <v>6</v>
      </c>
      <c r="C783" s="9" t="n">
        <f aca="false">MONTH(A783)</f>
        <v>3</v>
      </c>
      <c r="D783" s="9" t="n">
        <f aca="false">YEAR(A783)</f>
        <v>2024</v>
      </c>
      <c r="E783" s="9" t="n">
        <f aca="false">WEEKDAY(A783,2)</f>
        <v>3</v>
      </c>
      <c r="F783" s="10" t="n">
        <f aca="false">WEEKNUM(A783,2) - WEEKNUM(DATE(YEAR(A783),MONTH(A783),1),2) + 1</f>
        <v>2</v>
      </c>
      <c r="G783" s="10"/>
      <c r="H783" s="11" t="n">
        <v>1530</v>
      </c>
      <c r="I783" s="12" t="s">
        <v>15</v>
      </c>
      <c r="J783" s="12" t="s">
        <v>59</v>
      </c>
      <c r="K783" s="12"/>
      <c r="L783" s="9" t="n">
        <f aca="false">L782+H783</f>
        <v>6322.62</v>
      </c>
      <c r="M783" s="10" t="str">
        <f aca="false">VLOOKUP(J783,RECATALOGANDO!A:C,2,0)</f>
        <v>SERVICIO DE PENSION</v>
      </c>
      <c r="N783" s="12" t="str">
        <f aca="false">VLOOKUP(M783,RECATALOGANDO!B:C,2,0)</f>
        <v>VENTA DE SERVICIO</v>
      </c>
      <c r="O783" s="2" t="s">
        <v>78</v>
      </c>
    </row>
    <row r="784" customFormat="false" ht="13.8" hidden="false" customHeight="false" outlineLevel="0" collapsed="false">
      <c r="A784" s="8" t="n">
        <v>45358</v>
      </c>
      <c r="B784" s="9" t="n">
        <f aca="false">DAY(A784)</f>
        <v>7</v>
      </c>
      <c r="C784" s="9" t="n">
        <f aca="false">MONTH(A784)</f>
        <v>3</v>
      </c>
      <c r="D784" s="9" t="n">
        <f aca="false">YEAR(A784)</f>
        <v>2024</v>
      </c>
      <c r="E784" s="9" t="n">
        <f aca="false">WEEKDAY(A784,2)</f>
        <v>4</v>
      </c>
      <c r="F784" s="10" t="n">
        <f aca="false">WEEKNUM(A784,2) - WEEKNUM(DATE(YEAR(A784),MONTH(A784),1),2) + 1</f>
        <v>2</v>
      </c>
      <c r="G784" s="10"/>
      <c r="H784" s="11" t="n">
        <v>1100</v>
      </c>
      <c r="I784" s="12" t="s">
        <v>20</v>
      </c>
      <c r="J784" s="12" t="s">
        <v>64</v>
      </c>
      <c r="K784" s="12"/>
      <c r="L784" s="9" t="n">
        <f aca="false">L783+H784</f>
        <v>7422.62</v>
      </c>
      <c r="M784" s="10" t="str">
        <f aca="false">VLOOKUP(J784,RECATALOGANDO!A:C,2,0)</f>
        <v>HONORARIOS QUIRURGICOS</v>
      </c>
      <c r="N784" s="12" t="str">
        <f aca="false">VLOOKUP(M784,RECATALOGANDO!B:C,2,0)</f>
        <v>VENTA DE SERVICIO</v>
      </c>
      <c r="O784" s="2" t="s">
        <v>78</v>
      </c>
    </row>
    <row r="785" customFormat="false" ht="13.8" hidden="false" customHeight="false" outlineLevel="0" collapsed="false">
      <c r="A785" s="8" t="n">
        <v>45359</v>
      </c>
      <c r="B785" s="9" t="n">
        <f aca="false">DAY(A785)</f>
        <v>8</v>
      </c>
      <c r="C785" s="9" t="n">
        <f aca="false">MONTH(A785)</f>
        <v>3</v>
      </c>
      <c r="D785" s="9" t="n">
        <f aca="false">YEAR(A785)</f>
        <v>2024</v>
      </c>
      <c r="E785" s="9" t="n">
        <f aca="false">WEEKDAY(A785,2)</f>
        <v>5</v>
      </c>
      <c r="F785" s="10" t="n">
        <f aca="false">WEEKNUM(A785,2) - WEEKNUM(DATE(YEAR(A785),MONTH(A785),1),2) + 1</f>
        <v>2</v>
      </c>
      <c r="G785" s="10"/>
      <c r="H785" s="11" t="n">
        <v>300</v>
      </c>
      <c r="I785" s="12" t="s">
        <v>15</v>
      </c>
      <c r="J785" s="12" t="s">
        <v>49</v>
      </c>
      <c r="K785" s="12"/>
      <c r="L785" s="9" t="n">
        <f aca="false">L784+H785</f>
        <v>7722.62</v>
      </c>
      <c r="M785" s="10" t="str">
        <f aca="false">VLOOKUP(J785,RECATALOGANDO!A:C,2,0)</f>
        <v>SERVICIO DE GROOMING</v>
      </c>
      <c r="N785" s="12" t="str">
        <f aca="false">VLOOKUP(M785,RECATALOGANDO!B:C,2,0)</f>
        <v>VENTA DE SERVICIO</v>
      </c>
      <c r="O785" s="2" t="s">
        <v>78</v>
      </c>
    </row>
    <row r="786" customFormat="false" ht="13.8" hidden="false" customHeight="false" outlineLevel="0" collapsed="false">
      <c r="A786" s="8" t="n">
        <v>45360</v>
      </c>
      <c r="B786" s="9" t="n">
        <f aca="false">DAY(A786)</f>
        <v>9</v>
      </c>
      <c r="C786" s="9" t="n">
        <f aca="false">MONTH(A786)</f>
        <v>3</v>
      </c>
      <c r="D786" s="9" t="n">
        <f aca="false">YEAR(A786)</f>
        <v>2024</v>
      </c>
      <c r="E786" s="9" t="n">
        <f aca="false">WEEKDAY(A786,2)</f>
        <v>6</v>
      </c>
      <c r="F786" s="10" t="n">
        <f aca="false">WEEKNUM(A786,2) - WEEKNUM(DATE(YEAR(A786),MONTH(A786),1),2) + 1</f>
        <v>2</v>
      </c>
      <c r="G786" s="10"/>
      <c r="H786" s="11" t="n">
        <v>333.47</v>
      </c>
      <c r="I786" s="12" t="s">
        <v>15</v>
      </c>
      <c r="J786" s="12" t="s">
        <v>45</v>
      </c>
      <c r="K786" s="12"/>
      <c r="L786" s="9" t="n">
        <f aca="false">L785+H786</f>
        <v>8056.09</v>
      </c>
      <c r="M786" s="10" t="str">
        <f aca="false">VLOOKUP(J786,RECATALOGANDO!A:C,2,0)</f>
        <v>VENTA DE MEDICAMENTO</v>
      </c>
      <c r="N786" s="12" t="str">
        <f aca="false">VLOOKUP(M786,RECATALOGANDO!B:C,2,0)</f>
        <v>VENTA DE PRODUCTO</v>
      </c>
      <c r="O786" s="2" t="s">
        <v>78</v>
      </c>
    </row>
    <row r="787" customFormat="false" ht="13.8" hidden="false" customHeight="false" outlineLevel="0" collapsed="false">
      <c r="A787" s="8" t="n">
        <v>45361</v>
      </c>
      <c r="B787" s="9" t="n">
        <f aca="false">DAY(A787)</f>
        <v>10</v>
      </c>
      <c r="C787" s="9" t="n">
        <f aca="false">MONTH(A787)</f>
        <v>3</v>
      </c>
      <c r="D787" s="9" t="n">
        <f aca="false">YEAR(A787)</f>
        <v>2024</v>
      </c>
      <c r="E787" s="9" t="n">
        <f aca="false">WEEKDAY(A787,2)</f>
        <v>7</v>
      </c>
      <c r="F787" s="10" t="n">
        <f aca="false">WEEKNUM(A787,2) - WEEKNUM(DATE(YEAR(A787),MONTH(A787),1),2) + 1</f>
        <v>2</v>
      </c>
      <c r="G787" s="10"/>
      <c r="H787" s="11" t="n">
        <v>3139.19</v>
      </c>
      <c r="I787" s="12" t="s">
        <v>15</v>
      </c>
      <c r="J787" s="12" t="s">
        <v>45</v>
      </c>
      <c r="K787" s="12"/>
      <c r="L787" s="9" t="n">
        <f aca="false">L786+H787</f>
        <v>11195.28</v>
      </c>
      <c r="M787" s="10" t="str">
        <f aca="false">VLOOKUP(J787,RECATALOGANDO!A:C,2,0)</f>
        <v>VENTA DE MEDICAMENTO</v>
      </c>
      <c r="N787" s="12" t="str">
        <f aca="false">VLOOKUP(M787,RECATALOGANDO!B:C,2,0)</f>
        <v>VENTA DE PRODUCTO</v>
      </c>
      <c r="O787" s="2" t="s">
        <v>78</v>
      </c>
    </row>
    <row r="788" customFormat="false" ht="13.8" hidden="false" customHeight="false" outlineLevel="0" collapsed="false">
      <c r="A788" s="8" t="n">
        <v>45362</v>
      </c>
      <c r="B788" s="9" t="n">
        <f aca="false">DAY(A788)</f>
        <v>11</v>
      </c>
      <c r="C788" s="9" t="n">
        <f aca="false">MONTH(A788)</f>
        <v>3</v>
      </c>
      <c r="D788" s="9" t="n">
        <f aca="false">YEAR(A788)</f>
        <v>2024</v>
      </c>
      <c r="E788" s="9" t="n">
        <f aca="false">WEEKDAY(A788,2)</f>
        <v>1</v>
      </c>
      <c r="F788" s="10" t="n">
        <f aca="false">WEEKNUM(A788,2) - WEEKNUM(DATE(YEAR(A788),MONTH(A788),1),2) + 1</f>
        <v>3</v>
      </c>
      <c r="G788" s="10"/>
      <c r="H788" s="11" t="n">
        <v>370</v>
      </c>
      <c r="I788" s="12" t="s">
        <v>20</v>
      </c>
      <c r="J788" s="12" t="s">
        <v>49</v>
      </c>
      <c r="K788" s="12"/>
      <c r="L788" s="9" t="n">
        <f aca="false">L787+H788</f>
        <v>11565.28</v>
      </c>
      <c r="M788" s="10" t="str">
        <f aca="false">VLOOKUP(J788,RECATALOGANDO!A:C,2,0)</f>
        <v>SERVICIO DE GROOMING</v>
      </c>
      <c r="N788" s="12" t="str">
        <f aca="false">VLOOKUP(M788,RECATALOGANDO!B:C,2,0)</f>
        <v>VENTA DE SERVICIO</v>
      </c>
      <c r="O788" s="2" t="s">
        <v>78</v>
      </c>
    </row>
    <row r="789" customFormat="false" ht="13.8" hidden="false" customHeight="false" outlineLevel="0" collapsed="false">
      <c r="A789" s="8" t="n">
        <v>45362</v>
      </c>
      <c r="B789" s="9" t="n">
        <f aca="false">DAY(A789)</f>
        <v>11</v>
      </c>
      <c r="C789" s="9" t="n">
        <f aca="false">MONTH(A789)</f>
        <v>3</v>
      </c>
      <c r="D789" s="9" t="n">
        <f aca="false">YEAR(A789)</f>
        <v>2024</v>
      </c>
      <c r="E789" s="9" t="n">
        <f aca="false">WEEKDAY(A789,2)</f>
        <v>1</v>
      </c>
      <c r="F789" s="10" t="n">
        <f aca="false">WEEKNUM(A789,2) - WEEKNUM(DATE(YEAR(A789),MONTH(A789),1),2) + 1</f>
        <v>3</v>
      </c>
      <c r="G789" s="10"/>
      <c r="H789" s="11" t="n">
        <v>1392</v>
      </c>
      <c r="I789" s="12" t="s">
        <v>20</v>
      </c>
      <c r="J789" s="12" t="s">
        <v>44</v>
      </c>
      <c r="K789" s="12"/>
      <c r="L789" s="9" t="n">
        <f aca="false">L788+H789</f>
        <v>12957.28</v>
      </c>
      <c r="M789" s="10" t="str">
        <f aca="false">VLOOKUP(J789,RECATALOGANDO!A:C,2,0)</f>
        <v>HONORARIOS MEDICOS</v>
      </c>
      <c r="N789" s="12" t="str">
        <f aca="false">VLOOKUP(M789,RECATALOGANDO!B:C,2,0)</f>
        <v>VENTA DE SERVICIO</v>
      </c>
      <c r="O789" s="2" t="s">
        <v>78</v>
      </c>
    </row>
    <row r="790" customFormat="false" ht="13.8" hidden="false" customHeight="false" outlineLevel="0" collapsed="false">
      <c r="A790" s="8" t="n">
        <v>45363</v>
      </c>
      <c r="B790" s="9" t="n">
        <f aca="false">DAY(A790)</f>
        <v>12</v>
      </c>
      <c r="C790" s="9" t="n">
        <f aca="false">MONTH(A790)</f>
        <v>3</v>
      </c>
      <c r="D790" s="9" t="n">
        <f aca="false">YEAR(A790)</f>
        <v>2024</v>
      </c>
      <c r="E790" s="9" t="n">
        <f aca="false">WEEKDAY(A790,2)</f>
        <v>2</v>
      </c>
      <c r="F790" s="10" t="n">
        <f aca="false">WEEKNUM(A790,2) - WEEKNUM(DATE(YEAR(A790),MONTH(A790),1),2) + 1</f>
        <v>3</v>
      </c>
      <c r="G790" s="10"/>
      <c r="H790" s="11" t="n">
        <v>2513</v>
      </c>
      <c r="I790" s="12" t="s">
        <v>20</v>
      </c>
      <c r="J790" s="12" t="s">
        <v>51</v>
      </c>
      <c r="K790" s="12"/>
      <c r="L790" s="9" t="n">
        <f aca="false">L789+H790</f>
        <v>15470.28</v>
      </c>
      <c r="M790" s="10" t="str">
        <f aca="false">VLOOKUP(J790,RECATALOGANDO!A:C,2,0)</f>
        <v>VENTA DE ALIMENTO</v>
      </c>
      <c r="N790" s="12" t="str">
        <f aca="false">VLOOKUP(M790,RECATALOGANDO!B:C,2,0)</f>
        <v>VENTA DE PRODUCTO</v>
      </c>
      <c r="O790" s="2" t="s">
        <v>78</v>
      </c>
    </row>
    <row r="791" customFormat="false" ht="13.8" hidden="false" customHeight="false" outlineLevel="0" collapsed="false">
      <c r="A791" s="8" t="n">
        <v>45365</v>
      </c>
      <c r="B791" s="9" t="n">
        <f aca="false">DAY(A791)</f>
        <v>14</v>
      </c>
      <c r="C791" s="9" t="n">
        <f aca="false">MONTH(A791)</f>
        <v>3</v>
      </c>
      <c r="D791" s="9" t="n">
        <f aca="false">YEAR(A791)</f>
        <v>2024</v>
      </c>
      <c r="E791" s="9" t="n">
        <f aca="false">WEEKDAY(A791,2)</f>
        <v>4</v>
      </c>
      <c r="F791" s="10" t="n">
        <f aca="false">WEEKNUM(A791,2) - WEEKNUM(DATE(YEAR(A791),MONTH(A791),1),2) + 1</f>
        <v>3</v>
      </c>
      <c r="G791" s="10"/>
      <c r="H791" s="11" t="n">
        <v>905</v>
      </c>
      <c r="I791" s="12" t="s">
        <v>20</v>
      </c>
      <c r="J791" s="12" t="s">
        <v>45</v>
      </c>
      <c r="K791" s="12"/>
      <c r="L791" s="9" t="n">
        <f aca="false">L790+H791</f>
        <v>16375.28</v>
      </c>
      <c r="M791" s="10" t="str">
        <f aca="false">VLOOKUP(J791,RECATALOGANDO!A:C,2,0)</f>
        <v>VENTA DE MEDICAMENTO</v>
      </c>
      <c r="N791" s="12" t="str">
        <f aca="false">VLOOKUP(M791,RECATALOGANDO!B:C,2,0)</f>
        <v>VENTA DE PRODUCTO</v>
      </c>
      <c r="O791" s="2" t="s">
        <v>78</v>
      </c>
    </row>
    <row r="792" customFormat="false" ht="13.8" hidden="false" customHeight="false" outlineLevel="0" collapsed="false">
      <c r="A792" s="8" t="n">
        <v>45365</v>
      </c>
      <c r="B792" s="9" t="n">
        <f aca="false">DAY(A792)</f>
        <v>14</v>
      </c>
      <c r="C792" s="9" t="n">
        <f aca="false">MONTH(A792)</f>
        <v>3</v>
      </c>
      <c r="D792" s="9" t="n">
        <f aca="false">YEAR(A792)</f>
        <v>2024</v>
      </c>
      <c r="E792" s="9" t="n">
        <f aca="false">WEEKDAY(A792,2)</f>
        <v>4</v>
      </c>
      <c r="F792" s="10" t="n">
        <f aca="false">WEEKNUM(A792,2) - WEEKNUM(DATE(YEAR(A792),MONTH(A792),1),2) + 1</f>
        <v>3</v>
      </c>
      <c r="G792" s="10"/>
      <c r="H792" s="11" t="n">
        <v>1414.36</v>
      </c>
      <c r="I792" s="12" t="s">
        <v>15</v>
      </c>
      <c r="J792" s="12" t="s">
        <v>45</v>
      </c>
      <c r="K792" s="12"/>
      <c r="L792" s="9" t="n">
        <f aca="false">L791+H792</f>
        <v>17789.64</v>
      </c>
      <c r="M792" s="10" t="str">
        <f aca="false">VLOOKUP(J792,RECATALOGANDO!A:C,2,0)</f>
        <v>VENTA DE MEDICAMENTO</v>
      </c>
      <c r="N792" s="12" t="str">
        <f aca="false">VLOOKUP(M792,RECATALOGANDO!B:C,2,0)</f>
        <v>VENTA DE PRODUCTO</v>
      </c>
      <c r="O792" s="2" t="s">
        <v>78</v>
      </c>
    </row>
    <row r="793" customFormat="false" ht="13.8" hidden="false" customHeight="false" outlineLevel="0" collapsed="false">
      <c r="A793" s="8" t="n">
        <v>45366</v>
      </c>
      <c r="B793" s="9" t="n">
        <f aca="false">DAY(A793)</f>
        <v>15</v>
      </c>
      <c r="C793" s="9" t="n">
        <f aca="false">MONTH(A793)</f>
        <v>3</v>
      </c>
      <c r="D793" s="9" t="n">
        <f aca="false">YEAR(A793)</f>
        <v>2024</v>
      </c>
      <c r="E793" s="9" t="n">
        <f aca="false">WEEKDAY(A793,2)</f>
        <v>5</v>
      </c>
      <c r="F793" s="10" t="n">
        <f aca="false">WEEKNUM(A793,2) - WEEKNUM(DATE(YEAR(A793),MONTH(A793),1),2) + 1</f>
        <v>3</v>
      </c>
      <c r="G793" s="10" t="n">
        <v>1</v>
      </c>
      <c r="H793" s="11" t="n">
        <v>350</v>
      </c>
      <c r="I793" s="12" t="s">
        <v>20</v>
      </c>
      <c r="J793" s="12" t="s">
        <v>51</v>
      </c>
      <c r="K793" s="12"/>
      <c r="L793" s="9" t="n">
        <f aca="false">L792+H793</f>
        <v>18139.64</v>
      </c>
      <c r="M793" s="10" t="str">
        <f aca="false">VLOOKUP(J793,RECATALOGANDO!A:C,2,0)</f>
        <v>VENTA DE ALIMENTO</v>
      </c>
      <c r="N793" s="12" t="str">
        <f aca="false">VLOOKUP(M793,RECATALOGANDO!B:C,2,0)</f>
        <v>VENTA DE PRODUCTO</v>
      </c>
      <c r="O793" s="2" t="s">
        <v>78</v>
      </c>
    </row>
    <row r="794" customFormat="false" ht="13.8" hidden="false" customHeight="false" outlineLevel="0" collapsed="false">
      <c r="A794" s="8" t="n">
        <v>45366</v>
      </c>
      <c r="B794" s="9" t="n">
        <f aca="false">DAY(A794)</f>
        <v>15</v>
      </c>
      <c r="C794" s="9" t="n">
        <f aca="false">MONTH(A794)</f>
        <v>3</v>
      </c>
      <c r="D794" s="9" t="n">
        <f aca="false">YEAR(A794)</f>
        <v>2024</v>
      </c>
      <c r="E794" s="9" t="n">
        <f aca="false">WEEKDAY(A794,2)</f>
        <v>5</v>
      </c>
      <c r="F794" s="10" t="n">
        <f aca="false">WEEKNUM(A794,2) - WEEKNUM(DATE(YEAR(A794),MONTH(A794),1),2) + 1</f>
        <v>3</v>
      </c>
      <c r="G794" s="10" t="n">
        <v>1</v>
      </c>
      <c r="H794" s="11" t="n">
        <v>2600</v>
      </c>
      <c r="I794" s="12" t="s">
        <v>20</v>
      </c>
      <c r="J794" s="12" t="s">
        <v>51</v>
      </c>
      <c r="K794" s="12"/>
      <c r="L794" s="9" t="n">
        <f aca="false">L793+H794</f>
        <v>20739.64</v>
      </c>
      <c r="M794" s="10" t="str">
        <f aca="false">VLOOKUP(J794,RECATALOGANDO!A:C,2,0)</f>
        <v>VENTA DE ALIMENTO</v>
      </c>
      <c r="N794" s="12" t="str">
        <f aca="false">VLOOKUP(M794,RECATALOGANDO!B:C,2,0)</f>
        <v>VENTA DE PRODUCTO</v>
      </c>
      <c r="O794" s="2" t="s">
        <v>78</v>
      </c>
    </row>
    <row r="795" customFormat="false" ht="13.8" hidden="false" customHeight="false" outlineLevel="0" collapsed="false">
      <c r="A795" s="8" t="n">
        <v>45366</v>
      </c>
      <c r="B795" s="9" t="n">
        <f aca="false">DAY(A795)</f>
        <v>15</v>
      </c>
      <c r="C795" s="9" t="n">
        <f aca="false">MONTH(A795)</f>
        <v>3</v>
      </c>
      <c r="D795" s="9" t="n">
        <f aca="false">YEAR(A795)</f>
        <v>2024</v>
      </c>
      <c r="E795" s="9" t="n">
        <f aca="false">WEEKDAY(A795,2)</f>
        <v>5</v>
      </c>
      <c r="F795" s="10" t="n">
        <f aca="false">WEEKNUM(A795,2) - WEEKNUM(DATE(YEAR(A795),MONTH(A795),1),2) + 1</f>
        <v>3</v>
      </c>
      <c r="G795" s="10" t="n">
        <v>1</v>
      </c>
      <c r="H795" s="11" t="n">
        <v>140</v>
      </c>
      <c r="I795" s="12" t="s">
        <v>20</v>
      </c>
      <c r="J795" s="12" t="s">
        <v>49</v>
      </c>
      <c r="K795" s="12"/>
      <c r="L795" s="9" t="n">
        <f aca="false">L794+H795</f>
        <v>20879.64</v>
      </c>
      <c r="M795" s="10" t="str">
        <f aca="false">VLOOKUP(J795,RECATALOGANDO!A:C,2,0)</f>
        <v>SERVICIO DE GROOMING</v>
      </c>
      <c r="N795" s="12" t="str">
        <f aca="false">VLOOKUP(M795,RECATALOGANDO!B:C,2,0)</f>
        <v>VENTA DE SERVICIO</v>
      </c>
      <c r="O795" s="2" t="s">
        <v>78</v>
      </c>
    </row>
    <row r="796" customFormat="false" ht="13.8" hidden="false" customHeight="false" outlineLevel="0" collapsed="false">
      <c r="A796" s="8" t="n">
        <v>45366</v>
      </c>
      <c r="B796" s="9" t="n">
        <f aca="false">DAY(A796)</f>
        <v>15</v>
      </c>
      <c r="C796" s="9" t="n">
        <f aca="false">MONTH(A796)</f>
        <v>3</v>
      </c>
      <c r="D796" s="9" t="n">
        <f aca="false">YEAR(A796)</f>
        <v>2024</v>
      </c>
      <c r="E796" s="9" t="n">
        <f aca="false">WEEKDAY(A796,2)</f>
        <v>5</v>
      </c>
      <c r="F796" s="10" t="n">
        <f aca="false">WEEKNUM(A796,2) - WEEKNUM(DATE(YEAR(A796),MONTH(A796),1),2) + 1</f>
        <v>3</v>
      </c>
      <c r="G796" s="10" t="n">
        <v>1</v>
      </c>
      <c r="H796" s="11" t="n">
        <v>160</v>
      </c>
      <c r="I796" s="12" t="s">
        <v>20</v>
      </c>
      <c r="J796" s="12" t="s">
        <v>49</v>
      </c>
      <c r="K796" s="12"/>
      <c r="L796" s="9" t="n">
        <f aca="false">L795+H796</f>
        <v>21039.64</v>
      </c>
      <c r="M796" s="10" t="str">
        <f aca="false">VLOOKUP(J796,RECATALOGANDO!A:C,2,0)</f>
        <v>SERVICIO DE GROOMING</v>
      </c>
      <c r="N796" s="12" t="str">
        <f aca="false">VLOOKUP(M796,RECATALOGANDO!B:C,2,0)</f>
        <v>VENTA DE SERVICIO</v>
      </c>
      <c r="O796" s="2" t="s">
        <v>78</v>
      </c>
    </row>
    <row r="797" customFormat="false" ht="13.8" hidden="false" customHeight="false" outlineLevel="0" collapsed="false">
      <c r="A797" s="8" t="n">
        <v>45366</v>
      </c>
      <c r="B797" s="9" t="n">
        <f aca="false">DAY(A797)</f>
        <v>15</v>
      </c>
      <c r="C797" s="9" t="n">
        <f aca="false">MONTH(A797)</f>
        <v>3</v>
      </c>
      <c r="D797" s="9" t="n">
        <f aca="false">YEAR(A797)</f>
        <v>2024</v>
      </c>
      <c r="E797" s="9" t="n">
        <f aca="false">WEEKDAY(A797,2)</f>
        <v>5</v>
      </c>
      <c r="F797" s="10" t="n">
        <f aca="false">WEEKNUM(A797,2) - WEEKNUM(DATE(YEAR(A797),MONTH(A797),1),2) + 1</f>
        <v>3</v>
      </c>
      <c r="G797" s="10" t="n">
        <v>1</v>
      </c>
      <c r="H797" s="11" t="n">
        <v>500</v>
      </c>
      <c r="I797" s="12" t="s">
        <v>15</v>
      </c>
      <c r="J797" s="12" t="s">
        <v>68</v>
      </c>
      <c r="K797" s="12"/>
      <c r="L797" s="9" t="n">
        <f aca="false">L796+H797</f>
        <v>21539.64</v>
      </c>
      <c r="M797" s="10" t="str">
        <f aca="false">VLOOKUP(J797,RECATALOGANDO!A:C,2,0)</f>
        <v>SERVICIO DE IMAGEN</v>
      </c>
      <c r="N797" s="12" t="str">
        <f aca="false">VLOOKUP(M797,RECATALOGANDO!B:C,2,0)</f>
        <v>VENTA DE SERVICIO</v>
      </c>
      <c r="O797" s="2" t="s">
        <v>78</v>
      </c>
    </row>
    <row r="798" customFormat="false" ht="13.8" hidden="false" customHeight="false" outlineLevel="0" collapsed="false">
      <c r="A798" s="8" t="n">
        <v>45368</v>
      </c>
      <c r="B798" s="9" t="n">
        <f aca="false">DAY(A798)</f>
        <v>17</v>
      </c>
      <c r="C798" s="9" t="n">
        <f aca="false">MONTH(A798)</f>
        <v>3</v>
      </c>
      <c r="D798" s="9" t="n">
        <f aca="false">YEAR(A798)</f>
        <v>2024</v>
      </c>
      <c r="E798" s="9" t="n">
        <f aca="false">WEEKDAY(A798,2)</f>
        <v>7</v>
      </c>
      <c r="F798" s="10" t="n">
        <f aca="false">WEEKNUM(A798,2) - WEEKNUM(DATE(YEAR(A798),MONTH(A798),1),2) + 1</f>
        <v>3</v>
      </c>
      <c r="G798" s="10"/>
      <c r="H798" s="11" t="n">
        <v>879.45</v>
      </c>
      <c r="I798" s="12" t="s">
        <v>15</v>
      </c>
      <c r="J798" s="12" t="s">
        <v>51</v>
      </c>
      <c r="K798" s="12"/>
      <c r="L798" s="9" t="n">
        <f aca="false">L797+H798</f>
        <v>22419.09</v>
      </c>
      <c r="M798" s="10" t="str">
        <f aca="false">VLOOKUP(J798,RECATALOGANDO!A:C,2,0)</f>
        <v>VENTA DE ALIMENTO</v>
      </c>
      <c r="N798" s="12" t="str">
        <f aca="false">VLOOKUP(M798,RECATALOGANDO!B:C,2,0)</f>
        <v>VENTA DE PRODUCTO</v>
      </c>
      <c r="O798" s="2" t="s">
        <v>78</v>
      </c>
    </row>
    <row r="799" customFormat="false" ht="13.8" hidden="false" customHeight="false" outlineLevel="0" collapsed="false">
      <c r="A799" s="8" t="n">
        <v>45369</v>
      </c>
      <c r="B799" s="9" t="n">
        <f aca="false">DAY(A799)</f>
        <v>18</v>
      </c>
      <c r="C799" s="9" t="n">
        <f aca="false">MONTH(A799)</f>
        <v>3</v>
      </c>
      <c r="D799" s="9" t="n">
        <f aca="false">YEAR(A799)</f>
        <v>2024</v>
      </c>
      <c r="E799" s="9" t="n">
        <f aca="false">WEEKDAY(A799,2)</f>
        <v>1</v>
      </c>
      <c r="F799" s="10" t="n">
        <f aca="false">WEEKNUM(A799,2) - WEEKNUM(DATE(YEAR(A799),MONTH(A799),1),2) + 1</f>
        <v>4</v>
      </c>
      <c r="G799" s="10"/>
      <c r="H799" s="11" t="n">
        <v>1520</v>
      </c>
      <c r="I799" s="12" t="s">
        <v>15</v>
      </c>
      <c r="J799" s="12" t="s">
        <v>44</v>
      </c>
      <c r="K799" s="12"/>
      <c r="L799" s="9" t="n">
        <f aca="false">L798+H799</f>
        <v>23939.09</v>
      </c>
      <c r="M799" s="10" t="str">
        <f aca="false">VLOOKUP(J799,RECATALOGANDO!A:C,2,0)</f>
        <v>HONORARIOS MEDICOS</v>
      </c>
      <c r="N799" s="12" t="str">
        <f aca="false">VLOOKUP(M799,RECATALOGANDO!B:C,2,0)</f>
        <v>VENTA DE SERVICIO</v>
      </c>
      <c r="O799" s="2" t="s">
        <v>78</v>
      </c>
    </row>
    <row r="800" customFormat="false" ht="13.8" hidden="false" customHeight="false" outlineLevel="0" collapsed="false">
      <c r="A800" s="8" t="n">
        <v>45370</v>
      </c>
      <c r="B800" s="9" t="n">
        <f aca="false">DAY(A800)</f>
        <v>19</v>
      </c>
      <c r="C800" s="9" t="n">
        <f aca="false">MONTH(A800)</f>
        <v>3</v>
      </c>
      <c r="D800" s="9" t="n">
        <f aca="false">YEAR(A800)</f>
        <v>2024</v>
      </c>
      <c r="E800" s="9" t="n">
        <f aca="false">WEEKDAY(A800,2)</f>
        <v>2</v>
      </c>
      <c r="F800" s="10" t="n">
        <f aca="false">WEEKNUM(A800,2) - WEEKNUM(DATE(YEAR(A800),MONTH(A800),1),2) + 1</f>
        <v>4</v>
      </c>
      <c r="G800" s="10"/>
      <c r="H800" s="11" t="n">
        <v>3900</v>
      </c>
      <c r="I800" s="12" t="s">
        <v>20</v>
      </c>
      <c r="J800" s="12" t="s">
        <v>51</v>
      </c>
      <c r="K800" s="12"/>
      <c r="L800" s="9" t="n">
        <f aca="false">L799+H800</f>
        <v>27839.09</v>
      </c>
      <c r="M800" s="10" t="str">
        <f aca="false">VLOOKUP(J800,RECATALOGANDO!A:C,2,0)</f>
        <v>VENTA DE ALIMENTO</v>
      </c>
      <c r="N800" s="12" t="str">
        <f aca="false">VLOOKUP(M800,RECATALOGANDO!B:C,2,0)</f>
        <v>VENTA DE PRODUCTO</v>
      </c>
      <c r="O800" s="2" t="s">
        <v>78</v>
      </c>
    </row>
    <row r="801" customFormat="false" ht="13.8" hidden="false" customHeight="false" outlineLevel="0" collapsed="false">
      <c r="A801" s="8" t="n">
        <v>45370</v>
      </c>
      <c r="B801" s="9" t="n">
        <f aca="false">DAY(A801)</f>
        <v>19</v>
      </c>
      <c r="C801" s="9" t="n">
        <f aca="false">MONTH(A801)</f>
        <v>3</v>
      </c>
      <c r="D801" s="9" t="n">
        <f aca="false">YEAR(A801)</f>
        <v>2024</v>
      </c>
      <c r="E801" s="9" t="n">
        <f aca="false">WEEKDAY(A801,2)</f>
        <v>2</v>
      </c>
      <c r="F801" s="10" t="n">
        <f aca="false">WEEKNUM(A801,2) - WEEKNUM(DATE(YEAR(A801),MONTH(A801),1),2) + 1</f>
        <v>4</v>
      </c>
      <c r="G801" s="10"/>
      <c r="H801" s="11" t="n">
        <v>220</v>
      </c>
      <c r="I801" s="12" t="s">
        <v>20</v>
      </c>
      <c r="J801" s="12" t="s">
        <v>49</v>
      </c>
      <c r="K801" s="12"/>
      <c r="L801" s="9" t="n">
        <f aca="false">L800+H801</f>
        <v>28059.09</v>
      </c>
      <c r="M801" s="10" t="str">
        <f aca="false">VLOOKUP(J801,RECATALOGANDO!A:C,2,0)</f>
        <v>SERVICIO DE GROOMING</v>
      </c>
      <c r="N801" s="12" t="str">
        <f aca="false">VLOOKUP(M801,RECATALOGANDO!B:C,2,0)</f>
        <v>VENTA DE SERVICIO</v>
      </c>
      <c r="O801" s="2" t="s">
        <v>78</v>
      </c>
    </row>
    <row r="802" customFormat="false" ht="13.8" hidden="false" customHeight="false" outlineLevel="0" collapsed="false">
      <c r="A802" s="8" t="n">
        <v>45370</v>
      </c>
      <c r="B802" s="9" t="n">
        <f aca="false">DAY(A802)</f>
        <v>19</v>
      </c>
      <c r="C802" s="9" t="n">
        <f aca="false">MONTH(A802)</f>
        <v>3</v>
      </c>
      <c r="D802" s="9" t="n">
        <f aca="false">YEAR(A802)</f>
        <v>2024</v>
      </c>
      <c r="E802" s="9" t="n">
        <f aca="false">WEEKDAY(A802,2)</f>
        <v>2</v>
      </c>
      <c r="F802" s="10" t="n">
        <f aca="false">WEEKNUM(A802,2) - WEEKNUM(DATE(YEAR(A802),MONTH(A802),1),2) + 1</f>
        <v>4</v>
      </c>
      <c r="G802" s="10"/>
      <c r="H802" s="11" t="n">
        <v>3020</v>
      </c>
      <c r="I802" s="12" t="s">
        <v>20</v>
      </c>
      <c r="J802" s="12" t="s">
        <v>54</v>
      </c>
      <c r="K802" s="12"/>
      <c r="L802" s="9" t="n">
        <f aca="false">L801+H802</f>
        <v>31079.09</v>
      </c>
      <c r="M802" s="10" t="str">
        <f aca="false">VLOOKUP(J802,RECATALOGANDO!A:C,2,0)</f>
        <v>SERVICIO DE LABORATORIO</v>
      </c>
      <c r="N802" s="12" t="str">
        <f aca="false">VLOOKUP(M802,RECATALOGANDO!B:C,2,0)</f>
        <v>VENTA DE SERVICIO</v>
      </c>
      <c r="O802" s="2" t="s">
        <v>78</v>
      </c>
    </row>
    <row r="803" customFormat="false" ht="13.8" hidden="false" customHeight="false" outlineLevel="0" collapsed="false">
      <c r="A803" s="8" t="n">
        <v>45370</v>
      </c>
      <c r="B803" s="9" t="n">
        <f aca="false">DAY(A803)</f>
        <v>19</v>
      </c>
      <c r="C803" s="9" t="n">
        <f aca="false">MONTH(A803)</f>
        <v>3</v>
      </c>
      <c r="D803" s="9" t="n">
        <f aca="false">YEAR(A803)</f>
        <v>2024</v>
      </c>
      <c r="E803" s="9" t="n">
        <f aca="false">WEEKDAY(A803,2)</f>
        <v>2</v>
      </c>
      <c r="F803" s="10" t="n">
        <f aca="false">WEEKNUM(A803,2) - WEEKNUM(DATE(YEAR(A803),MONTH(A803),1),2) + 1</f>
        <v>4</v>
      </c>
      <c r="G803" s="10"/>
      <c r="H803" s="11" t="n">
        <v>3050</v>
      </c>
      <c r="I803" s="12" t="s">
        <v>15</v>
      </c>
      <c r="J803" s="12" t="s">
        <v>64</v>
      </c>
      <c r="K803" s="12"/>
      <c r="L803" s="9" t="n">
        <f aca="false">L802+H803</f>
        <v>34129.09</v>
      </c>
      <c r="M803" s="10" t="str">
        <f aca="false">VLOOKUP(J803,RECATALOGANDO!A:C,2,0)</f>
        <v>HONORARIOS QUIRURGICOS</v>
      </c>
      <c r="N803" s="12" t="str">
        <f aca="false">VLOOKUP(M803,RECATALOGANDO!B:C,2,0)</f>
        <v>VENTA DE SERVICIO</v>
      </c>
      <c r="O803" s="2" t="s">
        <v>78</v>
      </c>
    </row>
    <row r="804" customFormat="false" ht="13.8" hidden="false" customHeight="false" outlineLevel="0" collapsed="false">
      <c r="A804" s="8" t="n">
        <v>45373</v>
      </c>
      <c r="B804" s="9" t="n">
        <f aca="false">DAY(A804)</f>
        <v>22</v>
      </c>
      <c r="C804" s="9" t="n">
        <f aca="false">MONTH(A804)</f>
        <v>3</v>
      </c>
      <c r="D804" s="9" t="n">
        <f aca="false">YEAR(A804)</f>
        <v>2024</v>
      </c>
      <c r="E804" s="9" t="n">
        <f aca="false">WEEKDAY(A804,2)</f>
        <v>5</v>
      </c>
      <c r="F804" s="10" t="n">
        <f aca="false">WEEKNUM(A804,2) - WEEKNUM(DATE(YEAR(A804),MONTH(A804),1),2) + 1</f>
        <v>4</v>
      </c>
      <c r="G804" s="10"/>
      <c r="H804" s="11" t="n">
        <v>640</v>
      </c>
      <c r="I804" s="12" t="s">
        <v>20</v>
      </c>
      <c r="J804" s="12" t="s">
        <v>45</v>
      </c>
      <c r="K804" s="12"/>
      <c r="L804" s="9" t="n">
        <f aca="false">L803+H804</f>
        <v>34769.09</v>
      </c>
      <c r="M804" s="10" t="str">
        <f aca="false">VLOOKUP(J804,RECATALOGANDO!A:C,2,0)</f>
        <v>VENTA DE MEDICAMENTO</v>
      </c>
      <c r="N804" s="12" t="str">
        <f aca="false">VLOOKUP(M804,RECATALOGANDO!B:C,2,0)</f>
        <v>VENTA DE PRODUCTO</v>
      </c>
      <c r="O804" s="2" t="s">
        <v>78</v>
      </c>
    </row>
    <row r="805" customFormat="false" ht="13.8" hidden="false" customHeight="false" outlineLevel="0" collapsed="false">
      <c r="A805" s="8" t="n">
        <v>45373</v>
      </c>
      <c r="B805" s="9" t="n">
        <f aca="false">DAY(A805)</f>
        <v>22</v>
      </c>
      <c r="C805" s="9" t="n">
        <f aca="false">MONTH(A805)</f>
        <v>3</v>
      </c>
      <c r="D805" s="9" t="n">
        <f aca="false">YEAR(A805)</f>
        <v>2024</v>
      </c>
      <c r="E805" s="9" t="n">
        <f aca="false">WEEKDAY(A805,2)</f>
        <v>5</v>
      </c>
      <c r="F805" s="10" t="n">
        <f aca="false">WEEKNUM(A805,2) - WEEKNUM(DATE(YEAR(A805),MONTH(A805),1),2) + 1</f>
        <v>4</v>
      </c>
      <c r="G805" s="10"/>
      <c r="H805" s="11" t="n">
        <v>900</v>
      </c>
      <c r="I805" s="12" t="s">
        <v>20</v>
      </c>
      <c r="J805" s="12" t="s">
        <v>51</v>
      </c>
      <c r="K805" s="12"/>
      <c r="L805" s="9" t="n">
        <f aca="false">L804+H805</f>
        <v>35669.09</v>
      </c>
      <c r="M805" s="10" t="str">
        <f aca="false">VLOOKUP(J805,RECATALOGANDO!A:C,2,0)</f>
        <v>VENTA DE ALIMENTO</v>
      </c>
      <c r="N805" s="12" t="str">
        <f aca="false">VLOOKUP(M805,RECATALOGANDO!B:C,2,0)</f>
        <v>VENTA DE PRODUCTO</v>
      </c>
      <c r="O805" s="2" t="s">
        <v>78</v>
      </c>
    </row>
    <row r="806" customFormat="false" ht="13.8" hidden="false" customHeight="false" outlineLevel="0" collapsed="false">
      <c r="A806" s="8" t="n">
        <v>45373</v>
      </c>
      <c r="B806" s="9" t="n">
        <f aca="false">DAY(A806)</f>
        <v>22</v>
      </c>
      <c r="C806" s="9" t="n">
        <f aca="false">MONTH(A806)</f>
        <v>3</v>
      </c>
      <c r="D806" s="9" t="n">
        <f aca="false">YEAR(A806)</f>
        <v>2024</v>
      </c>
      <c r="E806" s="9" t="n">
        <f aca="false">WEEKDAY(A806,2)</f>
        <v>5</v>
      </c>
      <c r="F806" s="10" t="n">
        <f aca="false">WEEKNUM(A806,2) - WEEKNUM(DATE(YEAR(A806),MONTH(A806),1),2) + 1</f>
        <v>4</v>
      </c>
      <c r="G806" s="10"/>
      <c r="H806" s="11" t="n">
        <v>1165</v>
      </c>
      <c r="I806" s="12" t="s">
        <v>20</v>
      </c>
      <c r="J806" s="12" t="s">
        <v>45</v>
      </c>
      <c r="K806" s="12"/>
      <c r="L806" s="9" t="n">
        <f aca="false">L805+H806</f>
        <v>36834.09</v>
      </c>
      <c r="M806" s="10" t="str">
        <f aca="false">VLOOKUP(J806,RECATALOGANDO!A:C,2,0)</f>
        <v>VENTA DE MEDICAMENTO</v>
      </c>
      <c r="N806" s="12" t="str">
        <f aca="false">VLOOKUP(M806,RECATALOGANDO!B:C,2,0)</f>
        <v>VENTA DE PRODUCTO</v>
      </c>
      <c r="O806" s="2" t="s">
        <v>78</v>
      </c>
    </row>
    <row r="807" customFormat="false" ht="13.8" hidden="false" customHeight="false" outlineLevel="0" collapsed="false">
      <c r="A807" s="8" t="n">
        <v>45375</v>
      </c>
      <c r="B807" s="9" t="n">
        <f aca="false">DAY(A807)</f>
        <v>24</v>
      </c>
      <c r="C807" s="9" t="n">
        <f aca="false">MONTH(A807)</f>
        <v>3</v>
      </c>
      <c r="D807" s="9" t="n">
        <f aca="false">YEAR(A807)</f>
        <v>2024</v>
      </c>
      <c r="E807" s="9" t="n">
        <f aca="false">WEEKDAY(A807,2)</f>
        <v>7</v>
      </c>
      <c r="F807" s="10" t="n">
        <f aca="false">WEEKNUM(A807,2) - WEEKNUM(DATE(YEAR(A807),MONTH(A807),1),2) + 1</f>
        <v>4</v>
      </c>
      <c r="G807" s="10"/>
      <c r="H807" s="11" t="n">
        <v>1065.57</v>
      </c>
      <c r="I807" s="12" t="s">
        <v>15</v>
      </c>
      <c r="J807" s="12" t="s">
        <v>51</v>
      </c>
      <c r="K807" s="12"/>
      <c r="L807" s="9" t="n">
        <f aca="false">L806+H807</f>
        <v>37899.66</v>
      </c>
      <c r="M807" s="10" t="str">
        <f aca="false">VLOOKUP(J807,RECATALOGANDO!A:C,2,0)</f>
        <v>VENTA DE ALIMENTO</v>
      </c>
      <c r="N807" s="12" t="str">
        <f aca="false">VLOOKUP(M807,RECATALOGANDO!B:C,2,0)</f>
        <v>VENTA DE PRODUCTO</v>
      </c>
      <c r="O807" s="2" t="s">
        <v>78</v>
      </c>
    </row>
    <row r="808" customFormat="false" ht="13.8" hidden="false" customHeight="false" outlineLevel="0" collapsed="false">
      <c r="A808" s="8" t="n">
        <v>45377</v>
      </c>
      <c r="B808" s="9" t="n">
        <f aca="false">DAY(A808)</f>
        <v>26</v>
      </c>
      <c r="C808" s="9" t="n">
        <f aca="false">MONTH(A808)</f>
        <v>3</v>
      </c>
      <c r="D808" s="9" t="n">
        <f aca="false">YEAR(A808)</f>
        <v>2024</v>
      </c>
      <c r="E808" s="9" t="n">
        <f aca="false">WEEKDAY(A808,2)</f>
        <v>2</v>
      </c>
      <c r="F808" s="10" t="n">
        <f aca="false">WEEKNUM(A808,2) - WEEKNUM(DATE(YEAR(A808),MONTH(A808),1),2) + 1</f>
        <v>5</v>
      </c>
      <c r="G808" s="10"/>
      <c r="H808" s="11" t="n">
        <v>245</v>
      </c>
      <c r="I808" s="12" t="s">
        <v>20</v>
      </c>
      <c r="J808" s="12" t="s">
        <v>49</v>
      </c>
      <c r="K808" s="12"/>
      <c r="L808" s="9" t="n">
        <f aca="false">L807+H808</f>
        <v>38144.66</v>
      </c>
      <c r="M808" s="10" t="str">
        <f aca="false">VLOOKUP(J808,RECATALOGANDO!A:C,2,0)</f>
        <v>SERVICIO DE GROOMING</v>
      </c>
      <c r="N808" s="12" t="str">
        <f aca="false">VLOOKUP(M808,RECATALOGANDO!B:C,2,0)</f>
        <v>VENTA DE SERVICIO</v>
      </c>
      <c r="O808" s="2" t="s">
        <v>78</v>
      </c>
    </row>
    <row r="809" customFormat="false" ht="13.8" hidden="false" customHeight="false" outlineLevel="0" collapsed="false">
      <c r="A809" s="8" t="n">
        <v>45377</v>
      </c>
      <c r="B809" s="9" t="n">
        <f aca="false">DAY(A809)</f>
        <v>26</v>
      </c>
      <c r="C809" s="9" t="n">
        <f aca="false">MONTH(A809)</f>
        <v>3</v>
      </c>
      <c r="D809" s="9" t="n">
        <f aca="false">YEAR(A809)</f>
        <v>2024</v>
      </c>
      <c r="E809" s="9" t="n">
        <f aca="false">WEEKDAY(A809,2)</f>
        <v>2</v>
      </c>
      <c r="F809" s="10" t="n">
        <f aca="false">WEEKNUM(A809,2) - WEEKNUM(DATE(YEAR(A809),MONTH(A809),1),2) + 1</f>
        <v>5</v>
      </c>
      <c r="G809" s="10"/>
      <c r="H809" s="11" t="n">
        <v>1900</v>
      </c>
      <c r="I809" s="12" t="s">
        <v>20</v>
      </c>
      <c r="J809" s="12" t="s">
        <v>44</v>
      </c>
      <c r="K809" s="12"/>
      <c r="L809" s="9" t="n">
        <f aca="false">L808+H809</f>
        <v>40044.66</v>
      </c>
      <c r="M809" s="10" t="str">
        <f aca="false">VLOOKUP(J809,RECATALOGANDO!A:C,2,0)</f>
        <v>HONORARIOS MEDICOS</v>
      </c>
      <c r="N809" s="12" t="str">
        <f aca="false">VLOOKUP(M809,RECATALOGANDO!B:C,2,0)</f>
        <v>VENTA DE SERVICIO</v>
      </c>
      <c r="O809" s="2" t="s">
        <v>78</v>
      </c>
    </row>
    <row r="810" customFormat="false" ht="13.8" hidden="false" customHeight="false" outlineLevel="0" collapsed="false">
      <c r="A810" s="8" t="n">
        <v>45378</v>
      </c>
      <c r="B810" s="9" t="n">
        <f aca="false">DAY(A810)</f>
        <v>27</v>
      </c>
      <c r="C810" s="9" t="n">
        <f aca="false">MONTH(A810)</f>
        <v>3</v>
      </c>
      <c r="D810" s="9" t="n">
        <f aca="false">YEAR(A810)</f>
        <v>2024</v>
      </c>
      <c r="E810" s="9" t="n">
        <f aca="false">WEEKDAY(A810,2)</f>
        <v>3</v>
      </c>
      <c r="F810" s="10" t="n">
        <f aca="false">WEEKNUM(A810,2) - WEEKNUM(DATE(YEAR(A810),MONTH(A810),1),2) + 1</f>
        <v>5</v>
      </c>
      <c r="G810" s="10"/>
      <c r="H810" s="11" t="n">
        <v>650</v>
      </c>
      <c r="I810" s="12" t="s">
        <v>20</v>
      </c>
      <c r="J810" s="12" t="s">
        <v>51</v>
      </c>
      <c r="K810" s="12"/>
      <c r="L810" s="9" t="n">
        <f aca="false">L809+H810</f>
        <v>40694.66</v>
      </c>
      <c r="M810" s="10" t="str">
        <f aca="false">VLOOKUP(J810,RECATALOGANDO!A:C,2,0)</f>
        <v>VENTA DE ALIMENTO</v>
      </c>
      <c r="N810" s="12" t="str">
        <f aca="false">VLOOKUP(M810,RECATALOGANDO!B:C,2,0)</f>
        <v>VENTA DE PRODUCTO</v>
      </c>
      <c r="O810" s="2" t="s">
        <v>78</v>
      </c>
    </row>
    <row r="811" customFormat="false" ht="13.8" hidden="false" customHeight="false" outlineLevel="0" collapsed="false">
      <c r="A811" s="8" t="n">
        <v>45378</v>
      </c>
      <c r="B811" s="9" t="n">
        <f aca="false">DAY(A811)</f>
        <v>27</v>
      </c>
      <c r="C811" s="9" t="n">
        <f aca="false">MONTH(A811)</f>
        <v>3</v>
      </c>
      <c r="D811" s="9" t="n">
        <f aca="false">YEAR(A811)</f>
        <v>2024</v>
      </c>
      <c r="E811" s="9" t="n">
        <f aca="false">WEEKDAY(A811,2)</f>
        <v>3</v>
      </c>
      <c r="F811" s="10" t="n">
        <f aca="false">WEEKNUM(A811,2) - WEEKNUM(DATE(YEAR(A811),MONTH(A811),1),2) + 1</f>
        <v>5</v>
      </c>
      <c r="G811" s="10"/>
      <c r="H811" s="11" t="n">
        <v>277.89</v>
      </c>
      <c r="I811" s="12" t="s">
        <v>15</v>
      </c>
      <c r="J811" s="12" t="s">
        <v>49</v>
      </c>
      <c r="K811" s="12"/>
      <c r="L811" s="9" t="n">
        <f aca="false">L810+H811</f>
        <v>40972.55</v>
      </c>
      <c r="M811" s="10" t="str">
        <f aca="false">VLOOKUP(J811,RECATALOGANDO!A:C,2,0)</f>
        <v>SERVICIO DE GROOMING</v>
      </c>
      <c r="N811" s="12" t="str">
        <f aca="false">VLOOKUP(M811,RECATALOGANDO!B:C,2,0)</f>
        <v>VENTA DE SERVICIO</v>
      </c>
      <c r="O811" s="2" t="s">
        <v>78</v>
      </c>
    </row>
    <row r="812" customFormat="false" ht="13.8" hidden="false" customHeight="false" outlineLevel="0" collapsed="false">
      <c r="A812" s="8" t="n">
        <v>45378</v>
      </c>
      <c r="B812" s="9" t="n">
        <f aca="false">DAY(A812)</f>
        <v>27</v>
      </c>
      <c r="C812" s="9" t="n">
        <f aca="false">MONTH(A812)</f>
        <v>3</v>
      </c>
      <c r="D812" s="9" t="n">
        <f aca="false">YEAR(A812)</f>
        <v>2024</v>
      </c>
      <c r="E812" s="9" t="n">
        <f aca="false">WEEKDAY(A812,2)</f>
        <v>3</v>
      </c>
      <c r="F812" s="10" t="n">
        <f aca="false">WEEKNUM(A812,2) - WEEKNUM(DATE(YEAR(A812),MONTH(A812),1),2) + 1</f>
        <v>5</v>
      </c>
      <c r="G812" s="10"/>
      <c r="H812" s="11" t="n">
        <v>1080</v>
      </c>
      <c r="I812" s="12" t="s">
        <v>20</v>
      </c>
      <c r="J812" s="12" t="s">
        <v>47</v>
      </c>
      <c r="K812" s="12"/>
      <c r="L812" s="9" t="n">
        <f aca="false">L811+H812</f>
        <v>42052.55</v>
      </c>
      <c r="M812" s="10" t="str">
        <f aca="false">VLOOKUP(J812,RECATALOGANDO!A:C,2,0)</f>
        <v>SERVICIO DE PENSION</v>
      </c>
      <c r="N812" s="12" t="str">
        <f aca="false">VLOOKUP(M812,RECATALOGANDO!B:C,2,0)</f>
        <v>VENTA DE SERVICIO</v>
      </c>
      <c r="O812" s="2" t="s">
        <v>78</v>
      </c>
    </row>
    <row r="813" customFormat="false" ht="13.8" hidden="false" customHeight="false" outlineLevel="0" collapsed="false">
      <c r="A813" s="8" t="n">
        <v>45378</v>
      </c>
      <c r="B813" s="9" t="n">
        <f aca="false">DAY(A813)</f>
        <v>27</v>
      </c>
      <c r="C813" s="9" t="n">
        <f aca="false">MONTH(A813)</f>
        <v>3</v>
      </c>
      <c r="D813" s="9" t="n">
        <f aca="false">YEAR(A813)</f>
        <v>2024</v>
      </c>
      <c r="E813" s="9" t="n">
        <f aca="false">WEEKDAY(A813,2)</f>
        <v>3</v>
      </c>
      <c r="F813" s="10" t="n">
        <f aca="false">WEEKNUM(A813,2) - WEEKNUM(DATE(YEAR(A813),MONTH(A813),1),2) + 1</f>
        <v>5</v>
      </c>
      <c r="G813" s="10"/>
      <c r="H813" s="11" t="n">
        <v>1240</v>
      </c>
      <c r="I813" s="12" t="s">
        <v>15</v>
      </c>
      <c r="J813" s="12" t="s">
        <v>44</v>
      </c>
      <c r="K813" s="12"/>
      <c r="L813" s="9" t="n">
        <f aca="false">L812+H813</f>
        <v>43292.55</v>
      </c>
      <c r="M813" s="10" t="str">
        <f aca="false">VLOOKUP(J813,RECATALOGANDO!A:C,2,0)</f>
        <v>HONORARIOS MEDICOS</v>
      </c>
      <c r="N813" s="12" t="str">
        <f aca="false">VLOOKUP(M813,RECATALOGANDO!B:C,2,0)</f>
        <v>VENTA DE SERVICIO</v>
      </c>
      <c r="O813" s="2" t="s">
        <v>78</v>
      </c>
    </row>
    <row r="814" customFormat="false" ht="13.8" hidden="false" customHeight="false" outlineLevel="0" collapsed="false">
      <c r="A814" s="8" t="n">
        <v>45379</v>
      </c>
      <c r="B814" s="9" t="n">
        <f aca="false">DAY(A814)</f>
        <v>28</v>
      </c>
      <c r="C814" s="9" t="n">
        <f aca="false">MONTH(A814)</f>
        <v>3</v>
      </c>
      <c r="D814" s="9" t="n">
        <f aca="false">YEAR(A814)</f>
        <v>2024</v>
      </c>
      <c r="E814" s="9" t="n">
        <f aca="false">WEEKDAY(A814,2)</f>
        <v>4</v>
      </c>
      <c r="F814" s="10" t="n">
        <f aca="false">WEEKNUM(A814,2) - WEEKNUM(DATE(YEAR(A814),MONTH(A814),1),2) + 1</f>
        <v>5</v>
      </c>
      <c r="G814" s="10"/>
      <c r="H814" s="11" t="n">
        <v>5366.14</v>
      </c>
      <c r="I814" s="12" t="s">
        <v>15</v>
      </c>
      <c r="J814" s="12" t="s">
        <v>45</v>
      </c>
      <c r="K814" s="12"/>
      <c r="L814" s="9" t="n">
        <f aca="false">L813+H814</f>
        <v>48658.69</v>
      </c>
      <c r="M814" s="10" t="str">
        <f aca="false">VLOOKUP(J814,RECATALOGANDO!A:C,2,0)</f>
        <v>VENTA DE MEDICAMENTO</v>
      </c>
      <c r="N814" s="12" t="str">
        <f aca="false">VLOOKUP(M814,RECATALOGANDO!B:C,2,0)</f>
        <v>VENTA DE PRODUCTO</v>
      </c>
      <c r="O814" s="2" t="s">
        <v>78</v>
      </c>
    </row>
    <row r="815" customFormat="false" ht="13.8" hidden="false" customHeight="false" outlineLevel="0" collapsed="false">
      <c r="A815" s="8" t="n">
        <v>45383</v>
      </c>
      <c r="B815" s="9" t="n">
        <f aca="false">DAY(A815)</f>
        <v>1</v>
      </c>
      <c r="C815" s="9" t="n">
        <f aca="false">MONTH(A815)</f>
        <v>4</v>
      </c>
      <c r="D815" s="9" t="n">
        <f aca="false">YEAR(A815)</f>
        <v>2024</v>
      </c>
      <c r="E815" s="9" t="n">
        <f aca="false">WEEKDAY(A815,2)</f>
        <v>1</v>
      </c>
      <c r="F815" s="10" t="n">
        <f aca="false">WEEKNUM(A815,2) - WEEKNUM(DATE(YEAR(A815),MONTH(A815),1),2) + 1</f>
        <v>1</v>
      </c>
      <c r="G815" s="10"/>
      <c r="H815" s="11" t="n">
        <v>1190</v>
      </c>
      <c r="I815" s="22" t="s">
        <v>20</v>
      </c>
      <c r="J815" s="22" t="s">
        <v>51</v>
      </c>
      <c r="K815" s="12"/>
      <c r="L815" s="9" t="n">
        <f aca="false">H815</f>
        <v>1190</v>
      </c>
      <c r="M815" s="10" t="str">
        <f aca="false">VLOOKUP(J815,RECATALOGANDO!A:C,2,0)</f>
        <v>VENTA DE ALIMENTO</v>
      </c>
      <c r="N815" s="12" t="str">
        <f aca="false">VLOOKUP(M815,RECATALOGANDO!B:C,2,0)</f>
        <v>VENTA DE PRODUCTO</v>
      </c>
      <c r="O815" s="2" t="s">
        <v>78</v>
      </c>
    </row>
    <row r="816" customFormat="false" ht="13.8" hidden="false" customHeight="false" outlineLevel="0" collapsed="false">
      <c r="A816" s="8" t="n">
        <v>45383</v>
      </c>
      <c r="B816" s="9" t="n">
        <f aca="false">DAY(A816)</f>
        <v>1</v>
      </c>
      <c r="C816" s="9" t="n">
        <f aca="false">MONTH(A816)</f>
        <v>4</v>
      </c>
      <c r="D816" s="9" t="n">
        <f aca="false">YEAR(A816)</f>
        <v>2024</v>
      </c>
      <c r="E816" s="9" t="n">
        <f aca="false">WEEKDAY(A816,2)</f>
        <v>1</v>
      </c>
      <c r="F816" s="10" t="n">
        <f aca="false">WEEKNUM(A816,2) - WEEKNUM(DATE(YEAR(A816),MONTH(A816),1),2) + 1</f>
        <v>1</v>
      </c>
      <c r="G816" s="10"/>
      <c r="H816" s="11" t="n">
        <v>850</v>
      </c>
      <c r="I816" s="12" t="s">
        <v>20</v>
      </c>
      <c r="J816" s="22" t="s">
        <v>44</v>
      </c>
      <c r="K816" s="12"/>
      <c r="L816" s="9" t="n">
        <f aca="false">L815+H816</f>
        <v>2040</v>
      </c>
      <c r="M816" s="10" t="str">
        <f aca="false">VLOOKUP(J816,RECATALOGANDO!A:C,2,0)</f>
        <v>HONORARIOS MEDICOS</v>
      </c>
      <c r="N816" s="12" t="str">
        <f aca="false">VLOOKUP(M816,RECATALOGANDO!B:C,2,0)</f>
        <v>VENTA DE SERVICIO</v>
      </c>
      <c r="O816" s="2" t="s">
        <v>78</v>
      </c>
    </row>
    <row r="817" customFormat="false" ht="13.8" hidden="false" customHeight="false" outlineLevel="0" collapsed="false">
      <c r="A817" s="8" t="n">
        <v>45383</v>
      </c>
      <c r="B817" s="9" t="n">
        <f aca="false">DAY(A817)</f>
        <v>1</v>
      </c>
      <c r="C817" s="9" t="n">
        <f aca="false">MONTH(A817)</f>
        <v>4</v>
      </c>
      <c r="D817" s="9" t="n">
        <f aca="false">YEAR(A817)</f>
        <v>2024</v>
      </c>
      <c r="E817" s="9" t="n">
        <f aca="false">WEEKDAY(A817,2)</f>
        <v>1</v>
      </c>
      <c r="F817" s="10" t="n">
        <f aca="false">WEEKNUM(A817,2) - WEEKNUM(DATE(YEAR(A817),MONTH(A817),1),2) + 1</f>
        <v>1</v>
      </c>
      <c r="G817" s="10"/>
      <c r="H817" s="11" t="n">
        <v>1110</v>
      </c>
      <c r="I817" s="12" t="s">
        <v>20</v>
      </c>
      <c r="J817" s="22" t="s">
        <v>59</v>
      </c>
      <c r="K817" s="12"/>
      <c r="L817" s="9" t="n">
        <f aca="false">L816+H817</f>
        <v>3150</v>
      </c>
      <c r="M817" s="10" t="str">
        <f aca="false">VLOOKUP(J817,RECATALOGANDO!A:C,2,0)</f>
        <v>SERVICIO DE PENSION</v>
      </c>
      <c r="N817" s="12" t="str">
        <f aca="false">VLOOKUP(M817,RECATALOGANDO!B:C,2,0)</f>
        <v>VENTA DE SERVICIO</v>
      </c>
      <c r="O817" s="2" t="s">
        <v>78</v>
      </c>
    </row>
    <row r="818" customFormat="false" ht="13.8" hidden="false" customHeight="false" outlineLevel="0" collapsed="false">
      <c r="A818" s="8" t="n">
        <v>45383</v>
      </c>
      <c r="B818" s="9" t="n">
        <f aca="false">DAY(A818)</f>
        <v>1</v>
      </c>
      <c r="C818" s="9" t="n">
        <f aca="false">MONTH(A818)</f>
        <v>4</v>
      </c>
      <c r="D818" s="9" t="n">
        <f aca="false">YEAR(A818)</f>
        <v>2024</v>
      </c>
      <c r="E818" s="9" t="n">
        <f aca="false">WEEKDAY(A818,2)</f>
        <v>1</v>
      </c>
      <c r="F818" s="10" t="n">
        <f aca="false">WEEKNUM(A818,2) - WEEKNUM(DATE(YEAR(A818),MONTH(A818),1),2) + 1</f>
        <v>1</v>
      </c>
      <c r="G818" s="10"/>
      <c r="H818" s="11" t="n">
        <v>4260</v>
      </c>
      <c r="I818" s="12" t="s">
        <v>20</v>
      </c>
      <c r="J818" s="12" t="s">
        <v>59</v>
      </c>
      <c r="K818" s="12"/>
      <c r="L818" s="9" t="n">
        <f aca="false">L817+H818</f>
        <v>7410</v>
      </c>
      <c r="M818" s="10" t="str">
        <f aca="false">VLOOKUP(J818,RECATALOGANDO!A:C,2,0)</f>
        <v>SERVICIO DE PENSION</v>
      </c>
      <c r="N818" s="12" t="str">
        <f aca="false">VLOOKUP(M818,RECATALOGANDO!B:C,2,0)</f>
        <v>VENTA DE SERVICIO</v>
      </c>
      <c r="O818" s="2" t="s">
        <v>78</v>
      </c>
    </row>
    <row r="819" customFormat="false" ht="13.8" hidden="false" customHeight="false" outlineLevel="0" collapsed="false">
      <c r="A819" s="8" t="n">
        <v>45384</v>
      </c>
      <c r="B819" s="9" t="n">
        <f aca="false">DAY(A819)</f>
        <v>2</v>
      </c>
      <c r="C819" s="9" t="n">
        <f aca="false">MONTH(A819)</f>
        <v>4</v>
      </c>
      <c r="D819" s="9" t="n">
        <f aca="false">YEAR(A819)</f>
        <v>2024</v>
      </c>
      <c r="E819" s="9" t="n">
        <f aca="false">WEEKDAY(A819,2)</f>
        <v>2</v>
      </c>
      <c r="F819" s="10" t="n">
        <f aca="false">WEEKNUM(A819,2) - WEEKNUM(DATE(YEAR(A819),MONTH(A819),1),2) + 1</f>
        <v>1</v>
      </c>
      <c r="G819" s="10"/>
      <c r="H819" s="11" t="n">
        <v>3370</v>
      </c>
      <c r="I819" s="12" t="s">
        <v>20</v>
      </c>
      <c r="J819" s="22" t="s">
        <v>51</v>
      </c>
      <c r="K819" s="12"/>
      <c r="L819" s="9" t="n">
        <f aca="false">L818+H819</f>
        <v>10780</v>
      </c>
      <c r="M819" s="10" t="str">
        <f aca="false">VLOOKUP(J819,RECATALOGANDO!A:C,2,0)</f>
        <v>VENTA DE ALIMENTO</v>
      </c>
      <c r="N819" s="12" t="str">
        <f aca="false">VLOOKUP(M819,RECATALOGANDO!B:C,2,0)</f>
        <v>VENTA DE PRODUCTO</v>
      </c>
      <c r="O819" s="2" t="s">
        <v>78</v>
      </c>
    </row>
    <row r="820" customFormat="false" ht="13.8" hidden="false" customHeight="false" outlineLevel="0" collapsed="false">
      <c r="A820" s="8" t="n">
        <v>45385</v>
      </c>
      <c r="B820" s="9" t="n">
        <f aca="false">DAY(A820)</f>
        <v>3</v>
      </c>
      <c r="C820" s="9" t="n">
        <f aca="false">MONTH(A820)</f>
        <v>4</v>
      </c>
      <c r="D820" s="9" t="n">
        <f aca="false">YEAR(A820)</f>
        <v>2024</v>
      </c>
      <c r="E820" s="9" t="n">
        <f aca="false">WEEKDAY(A820,2)</f>
        <v>3</v>
      </c>
      <c r="F820" s="10" t="n">
        <f aca="false">WEEKNUM(A820,2) - WEEKNUM(DATE(YEAR(A820),MONTH(A820),1),2) + 1</f>
        <v>1</v>
      </c>
      <c r="G820" s="10"/>
      <c r="H820" s="11" t="n">
        <v>870</v>
      </c>
      <c r="I820" s="12" t="s">
        <v>20</v>
      </c>
      <c r="J820" s="22" t="s">
        <v>44</v>
      </c>
      <c r="K820" s="12"/>
      <c r="L820" s="9" t="n">
        <f aca="false">L819+H820</f>
        <v>11650</v>
      </c>
      <c r="M820" s="10" t="str">
        <f aca="false">VLOOKUP(J820,RECATALOGANDO!A:C,2,0)</f>
        <v>HONORARIOS MEDICOS</v>
      </c>
      <c r="N820" s="12" t="str">
        <f aca="false">VLOOKUP(M820,RECATALOGANDO!B:C,2,0)</f>
        <v>VENTA DE SERVICIO</v>
      </c>
      <c r="O820" s="2" t="s">
        <v>78</v>
      </c>
    </row>
    <row r="821" customFormat="false" ht="13.8" hidden="false" customHeight="false" outlineLevel="0" collapsed="false">
      <c r="A821" s="39" t="n">
        <v>45386</v>
      </c>
      <c r="B821" s="9" t="n">
        <f aca="false">DAY(A821)</f>
        <v>4</v>
      </c>
      <c r="C821" s="9" t="n">
        <f aca="false">MONTH(A821)</f>
        <v>4</v>
      </c>
      <c r="D821" s="9" t="n">
        <f aca="false">YEAR(A821)</f>
        <v>2024</v>
      </c>
      <c r="E821" s="9" t="n">
        <f aca="false">WEEKDAY(A821,2)</f>
        <v>4</v>
      </c>
      <c r="F821" s="10" t="n">
        <f aca="false">WEEKNUM(A821,2) - WEEKNUM(DATE(YEAR(A821),MONTH(A821),1),2) + 1</f>
        <v>1</v>
      </c>
      <c r="G821" s="10"/>
      <c r="H821" s="11" t="n">
        <v>180</v>
      </c>
      <c r="I821" s="22" t="s">
        <v>20</v>
      </c>
      <c r="J821" s="12" t="s">
        <v>53</v>
      </c>
      <c r="K821" s="12"/>
      <c r="L821" s="9" t="n">
        <f aca="false">L820+H821</f>
        <v>11830</v>
      </c>
      <c r="M821" s="10" t="str">
        <f aca="false">VLOOKUP(J821,RECATALOGANDO!A:C,2,0)</f>
        <v>SERVICIO DE GROOMING</v>
      </c>
      <c r="N821" s="12" t="str">
        <f aca="false">VLOOKUP(M821,RECATALOGANDO!B:C,2,0)</f>
        <v>VENTA DE SERVICIO</v>
      </c>
      <c r="O821" s="2" t="s">
        <v>78</v>
      </c>
    </row>
    <row r="822" customFormat="false" ht="13.8" hidden="false" customHeight="false" outlineLevel="0" collapsed="false">
      <c r="A822" s="39" t="n">
        <v>45388</v>
      </c>
      <c r="B822" s="9" t="n">
        <f aca="false">DAY(A822)</f>
        <v>6</v>
      </c>
      <c r="C822" s="9" t="n">
        <f aca="false">MONTH(A822)</f>
        <v>4</v>
      </c>
      <c r="D822" s="9" t="n">
        <f aca="false">YEAR(A822)</f>
        <v>2024</v>
      </c>
      <c r="E822" s="9" t="n">
        <f aca="false">WEEKDAY(A822,2)</f>
        <v>6</v>
      </c>
      <c r="F822" s="10" t="n">
        <f aca="false">WEEKNUM(A822,2) - WEEKNUM(DATE(YEAR(A822),MONTH(A822),1),2) + 1</f>
        <v>1</v>
      </c>
      <c r="G822" s="10"/>
      <c r="H822" s="11" t="n">
        <v>380</v>
      </c>
      <c r="I822" s="22" t="s">
        <v>15</v>
      </c>
      <c r="J822" s="22" t="s">
        <v>45</v>
      </c>
      <c r="K822" s="12"/>
      <c r="L822" s="9" t="n">
        <f aca="false">L821+H822</f>
        <v>12210</v>
      </c>
      <c r="M822" s="10" t="str">
        <f aca="false">VLOOKUP(J822,RECATALOGANDO!A:C,2,0)</f>
        <v>VENTA DE MEDICAMENTO</v>
      </c>
      <c r="N822" s="12" t="str">
        <f aca="false">VLOOKUP(M822,RECATALOGANDO!B:C,2,0)</f>
        <v>VENTA DE PRODUCTO</v>
      </c>
      <c r="O822" s="2" t="s">
        <v>78</v>
      </c>
    </row>
    <row r="823" customFormat="false" ht="13.8" hidden="false" customHeight="false" outlineLevel="0" collapsed="false">
      <c r="A823" s="39" t="n">
        <v>45389</v>
      </c>
      <c r="B823" s="9" t="n">
        <f aca="false">DAY(A823)</f>
        <v>7</v>
      </c>
      <c r="C823" s="9" t="n">
        <f aca="false">MONTH(A823)</f>
        <v>4</v>
      </c>
      <c r="D823" s="9" t="n">
        <f aca="false">YEAR(A823)</f>
        <v>2024</v>
      </c>
      <c r="E823" s="9" t="n">
        <f aca="false">WEEKDAY(A823,2)</f>
        <v>7</v>
      </c>
      <c r="F823" s="10" t="n">
        <f aca="false">WEEKNUM(A823,2) - WEEKNUM(DATE(YEAR(A823),MONTH(A823),1),2) + 1</f>
        <v>1</v>
      </c>
      <c r="G823" s="10"/>
      <c r="H823" s="11" t="n">
        <v>2649</v>
      </c>
      <c r="I823" s="22" t="s">
        <v>15</v>
      </c>
      <c r="J823" s="22" t="s">
        <v>51</v>
      </c>
      <c r="K823" s="12"/>
      <c r="L823" s="9" t="n">
        <f aca="false">L822+H823</f>
        <v>14859</v>
      </c>
      <c r="M823" s="10" t="str">
        <f aca="false">VLOOKUP(J823,RECATALOGANDO!A:C,2,0)</f>
        <v>VENTA DE ALIMENTO</v>
      </c>
      <c r="N823" s="12" t="str">
        <f aca="false">VLOOKUP(M823,RECATALOGANDO!B:C,2,0)</f>
        <v>VENTA DE PRODUCTO</v>
      </c>
      <c r="O823" s="2" t="s">
        <v>78</v>
      </c>
    </row>
    <row r="824" customFormat="false" ht="13.8" hidden="false" customHeight="false" outlineLevel="0" collapsed="false">
      <c r="A824" s="39" t="n">
        <v>45390</v>
      </c>
      <c r="B824" s="9" t="n">
        <f aca="false">DAY(A824)</f>
        <v>8</v>
      </c>
      <c r="C824" s="9" t="n">
        <f aca="false">MONTH(A824)</f>
        <v>4</v>
      </c>
      <c r="D824" s="9" t="n">
        <f aca="false">YEAR(A824)</f>
        <v>2024</v>
      </c>
      <c r="E824" s="9" t="n">
        <f aca="false">WEEKDAY(A824,2)</f>
        <v>1</v>
      </c>
      <c r="F824" s="10" t="n">
        <f aca="false">WEEKNUM(A824,2) - WEEKNUM(DATE(YEAR(A824),MONTH(A824),1),2) + 1</f>
        <v>2</v>
      </c>
      <c r="G824" s="10"/>
      <c r="H824" s="11" t="n">
        <v>499.99</v>
      </c>
      <c r="I824" s="22" t="s">
        <v>20</v>
      </c>
      <c r="J824" s="22" t="s">
        <v>45</v>
      </c>
      <c r="K824" s="12"/>
      <c r="L824" s="9" t="n">
        <f aca="false">L823+H824</f>
        <v>15358.99</v>
      </c>
      <c r="M824" s="10" t="str">
        <f aca="false">VLOOKUP(J824,RECATALOGANDO!A:C,2,0)</f>
        <v>VENTA DE MEDICAMENTO</v>
      </c>
      <c r="N824" s="12" t="str">
        <f aca="false">VLOOKUP(M824,RECATALOGANDO!B:C,2,0)</f>
        <v>VENTA DE PRODUCTO</v>
      </c>
      <c r="O824" s="2" t="s">
        <v>78</v>
      </c>
    </row>
    <row r="825" customFormat="false" ht="13.8" hidden="false" customHeight="false" outlineLevel="0" collapsed="false">
      <c r="A825" s="39" t="n">
        <v>45390</v>
      </c>
      <c r="B825" s="9" t="n">
        <f aca="false">DAY(A825)</f>
        <v>8</v>
      </c>
      <c r="C825" s="9" t="n">
        <f aca="false">MONTH(A825)</f>
        <v>4</v>
      </c>
      <c r="D825" s="9" t="n">
        <f aca="false">YEAR(A825)</f>
        <v>2024</v>
      </c>
      <c r="E825" s="9" t="n">
        <f aca="false">WEEKDAY(A825,2)</f>
        <v>1</v>
      </c>
      <c r="F825" s="10" t="n">
        <f aca="false">WEEKNUM(A825,2) - WEEKNUM(DATE(YEAR(A825),MONTH(A825),1),2) + 1</f>
        <v>2</v>
      </c>
      <c r="G825" s="10"/>
      <c r="H825" s="11" t="n">
        <v>3740</v>
      </c>
      <c r="I825" s="22" t="s">
        <v>20</v>
      </c>
      <c r="J825" s="22" t="s">
        <v>45</v>
      </c>
      <c r="K825" s="12"/>
      <c r="L825" s="9" t="n">
        <f aca="false">L824+H825</f>
        <v>19098.99</v>
      </c>
      <c r="M825" s="10" t="str">
        <f aca="false">VLOOKUP(J825,RECATALOGANDO!A:C,2,0)</f>
        <v>VENTA DE MEDICAMENTO</v>
      </c>
      <c r="N825" s="12" t="str">
        <f aca="false">VLOOKUP(M825,RECATALOGANDO!B:C,2,0)</f>
        <v>VENTA DE PRODUCTO</v>
      </c>
      <c r="O825" s="2" t="s">
        <v>78</v>
      </c>
    </row>
    <row r="826" customFormat="false" ht="13.8" hidden="false" customHeight="false" outlineLevel="0" collapsed="false">
      <c r="A826" s="39" t="n">
        <v>45390</v>
      </c>
      <c r="B826" s="9" t="n">
        <f aca="false">DAY(A826)</f>
        <v>8</v>
      </c>
      <c r="C826" s="9" t="n">
        <f aca="false">MONTH(A826)</f>
        <v>4</v>
      </c>
      <c r="D826" s="9" t="n">
        <f aca="false">YEAR(A826)</f>
        <v>2024</v>
      </c>
      <c r="E826" s="9" t="n">
        <f aca="false">WEEKDAY(A826,2)</f>
        <v>1</v>
      </c>
      <c r="F826" s="10" t="n">
        <f aca="false">WEEKNUM(A826,2) - WEEKNUM(DATE(YEAR(A826),MONTH(A826),1),2) + 1</f>
        <v>2</v>
      </c>
      <c r="G826" s="10"/>
      <c r="H826" s="11" t="n">
        <v>3890</v>
      </c>
      <c r="I826" s="22" t="s">
        <v>20</v>
      </c>
      <c r="J826" s="22" t="s">
        <v>45</v>
      </c>
      <c r="K826" s="12"/>
      <c r="L826" s="9" t="n">
        <f aca="false">L825+H826</f>
        <v>22988.99</v>
      </c>
      <c r="M826" s="10" t="str">
        <f aca="false">VLOOKUP(J826,RECATALOGANDO!A:C,2,0)</f>
        <v>VENTA DE MEDICAMENTO</v>
      </c>
      <c r="N826" s="12" t="str">
        <f aca="false">VLOOKUP(M826,RECATALOGANDO!B:C,2,0)</f>
        <v>VENTA DE PRODUCTO</v>
      </c>
      <c r="O826" s="2" t="s">
        <v>78</v>
      </c>
    </row>
    <row r="827" customFormat="false" ht="13.8" hidden="false" customHeight="false" outlineLevel="0" collapsed="false">
      <c r="A827" s="39" t="n">
        <v>45390</v>
      </c>
      <c r="B827" s="9" t="n">
        <f aca="false">DAY(A827)</f>
        <v>8</v>
      </c>
      <c r="C827" s="9" t="n">
        <f aca="false">MONTH(A827)</f>
        <v>4</v>
      </c>
      <c r="D827" s="9" t="n">
        <f aca="false">YEAR(A827)</f>
        <v>2024</v>
      </c>
      <c r="E827" s="9" t="n">
        <f aca="false">WEEKDAY(A827,2)</f>
        <v>1</v>
      </c>
      <c r="F827" s="10" t="n">
        <f aca="false">WEEKNUM(A827,2) - WEEKNUM(DATE(YEAR(A827),MONTH(A827),1),2) + 1</f>
        <v>2</v>
      </c>
      <c r="G827" s="10"/>
      <c r="H827" s="11" t="n">
        <v>615</v>
      </c>
      <c r="I827" s="22" t="s">
        <v>15</v>
      </c>
      <c r="J827" s="22" t="s">
        <v>44</v>
      </c>
      <c r="K827" s="12"/>
      <c r="L827" s="9" t="n">
        <f aca="false">L826+H827</f>
        <v>23603.99</v>
      </c>
      <c r="M827" s="10" t="str">
        <f aca="false">VLOOKUP(J827,RECATALOGANDO!A:C,2,0)</f>
        <v>HONORARIOS MEDICOS</v>
      </c>
      <c r="N827" s="12" t="str">
        <f aca="false">VLOOKUP(M827,RECATALOGANDO!B:C,2,0)</f>
        <v>VENTA DE SERVICIO</v>
      </c>
      <c r="O827" s="2" t="s">
        <v>78</v>
      </c>
    </row>
    <row r="828" customFormat="false" ht="13.8" hidden="false" customHeight="false" outlineLevel="0" collapsed="false">
      <c r="A828" s="39" t="n">
        <v>45390</v>
      </c>
      <c r="B828" s="9" t="n">
        <f aca="false">DAY(A828)</f>
        <v>8</v>
      </c>
      <c r="C828" s="9" t="n">
        <f aca="false">MONTH(A828)</f>
        <v>4</v>
      </c>
      <c r="D828" s="9" t="n">
        <f aca="false">YEAR(A828)</f>
        <v>2024</v>
      </c>
      <c r="E828" s="9" t="n">
        <f aca="false">WEEKDAY(A828,2)</f>
        <v>1</v>
      </c>
      <c r="F828" s="10" t="n">
        <f aca="false">WEEKNUM(A828,2) - WEEKNUM(DATE(YEAR(A828),MONTH(A828),1),2) + 1</f>
        <v>2</v>
      </c>
      <c r="G828" s="10"/>
      <c r="H828" s="11" t="n">
        <v>1607.92</v>
      </c>
      <c r="I828" s="22" t="s">
        <v>15</v>
      </c>
      <c r="J828" s="22" t="s">
        <v>54</v>
      </c>
      <c r="K828" s="12"/>
      <c r="L828" s="9" t="n">
        <f aca="false">L827+H828</f>
        <v>25211.91</v>
      </c>
      <c r="M828" s="10" t="str">
        <f aca="false">VLOOKUP(J828,RECATALOGANDO!A:C,2,0)</f>
        <v>SERVICIO DE LABORATORIO</v>
      </c>
      <c r="N828" s="12" t="str">
        <f aca="false">VLOOKUP(M828,RECATALOGANDO!B:C,2,0)</f>
        <v>VENTA DE SERVICIO</v>
      </c>
      <c r="O828" s="2" t="s">
        <v>78</v>
      </c>
    </row>
    <row r="829" customFormat="false" ht="13.8" hidden="false" customHeight="false" outlineLevel="0" collapsed="false">
      <c r="A829" s="39" t="n">
        <v>45390</v>
      </c>
      <c r="B829" s="9" t="n">
        <f aca="false">DAY(A829)</f>
        <v>8</v>
      </c>
      <c r="C829" s="9" t="n">
        <f aca="false">MONTH(A829)</f>
        <v>4</v>
      </c>
      <c r="D829" s="9" t="n">
        <f aca="false">YEAR(A829)</f>
        <v>2024</v>
      </c>
      <c r="E829" s="9" t="n">
        <f aca="false">WEEKDAY(A829,2)</f>
        <v>1</v>
      </c>
      <c r="F829" s="10" t="n">
        <f aca="false">WEEKNUM(A829,2) - WEEKNUM(DATE(YEAR(A829),MONTH(A829),1),2) + 1</f>
        <v>2</v>
      </c>
      <c r="G829" s="10"/>
      <c r="H829" s="11" t="n">
        <v>1930</v>
      </c>
      <c r="I829" s="22" t="s">
        <v>20</v>
      </c>
      <c r="J829" s="22" t="s">
        <v>56</v>
      </c>
      <c r="K829" s="12"/>
      <c r="L829" s="9" t="n">
        <f aca="false">L828+H829</f>
        <v>27141.91</v>
      </c>
      <c r="M829" s="10" t="str">
        <f aca="false">VLOOKUP(J829,RECATALOGANDO!A:C,2,0)</f>
        <v>SERVICIO DE IMAGEN</v>
      </c>
      <c r="N829" s="12" t="str">
        <f aca="false">VLOOKUP(M829,RECATALOGANDO!B:C,2,0)</f>
        <v>VENTA DE SERVICIO</v>
      </c>
      <c r="O829" s="2" t="s">
        <v>78</v>
      </c>
    </row>
    <row r="830" customFormat="false" ht="13.8" hidden="false" customHeight="false" outlineLevel="0" collapsed="false">
      <c r="A830" s="8" t="n">
        <v>45392</v>
      </c>
      <c r="B830" s="9" t="n">
        <f aca="false">DAY(A830)</f>
        <v>10</v>
      </c>
      <c r="C830" s="9" t="n">
        <f aca="false">MONTH(A830)</f>
        <v>4</v>
      </c>
      <c r="D830" s="9" t="n">
        <f aca="false">YEAR(A830)</f>
        <v>2024</v>
      </c>
      <c r="E830" s="9" t="n">
        <f aca="false">WEEKDAY(A830,2)</f>
        <v>3</v>
      </c>
      <c r="F830" s="10" t="n">
        <f aca="false">WEEKNUM(A830,2) - WEEKNUM(DATE(YEAR(A830),MONTH(A830),1),2) + 1</f>
        <v>2</v>
      </c>
      <c r="G830" s="10"/>
      <c r="H830" s="11" t="n">
        <v>770</v>
      </c>
      <c r="I830" s="22" t="s">
        <v>20</v>
      </c>
      <c r="J830" s="22" t="s">
        <v>45</v>
      </c>
      <c r="K830" s="12"/>
      <c r="L830" s="9" t="n">
        <f aca="false">L829+H830</f>
        <v>27911.91</v>
      </c>
      <c r="M830" s="10" t="str">
        <f aca="false">VLOOKUP(J830,RECATALOGANDO!A:C,2,0)</f>
        <v>VENTA DE MEDICAMENTO</v>
      </c>
      <c r="N830" s="12" t="str">
        <f aca="false">VLOOKUP(M830,RECATALOGANDO!B:C,2,0)</f>
        <v>VENTA DE PRODUCTO</v>
      </c>
      <c r="O830" s="2" t="s">
        <v>78</v>
      </c>
    </row>
    <row r="831" customFormat="false" ht="13.8" hidden="false" customHeight="false" outlineLevel="0" collapsed="false">
      <c r="A831" s="8" t="n">
        <v>45392</v>
      </c>
      <c r="B831" s="9" t="n">
        <f aca="false">DAY(A831)</f>
        <v>10</v>
      </c>
      <c r="C831" s="9" t="n">
        <f aca="false">MONTH(A831)</f>
        <v>4</v>
      </c>
      <c r="D831" s="9" t="n">
        <f aca="false">YEAR(A831)</f>
        <v>2024</v>
      </c>
      <c r="E831" s="9" t="n">
        <f aca="false">WEEKDAY(A831,2)</f>
        <v>3</v>
      </c>
      <c r="F831" s="10" t="n">
        <f aca="false">WEEKNUM(A831,2) - WEEKNUM(DATE(YEAR(A831),MONTH(A831),1),2) + 1</f>
        <v>2</v>
      </c>
      <c r="G831" s="10"/>
      <c r="H831" s="11" t="n">
        <v>1100</v>
      </c>
      <c r="I831" s="22" t="s">
        <v>20</v>
      </c>
      <c r="J831" s="22" t="s">
        <v>44</v>
      </c>
      <c r="K831" s="12"/>
      <c r="L831" s="9" t="n">
        <f aca="false">L830+H831</f>
        <v>29011.91</v>
      </c>
      <c r="M831" s="10" t="str">
        <f aca="false">VLOOKUP(J831,RECATALOGANDO!A:C,2,0)</f>
        <v>HONORARIOS MEDICOS</v>
      </c>
      <c r="N831" s="12" t="str">
        <f aca="false">VLOOKUP(M831,RECATALOGANDO!B:C,2,0)</f>
        <v>VENTA DE SERVICIO</v>
      </c>
      <c r="O831" s="2" t="s">
        <v>78</v>
      </c>
    </row>
    <row r="832" customFormat="false" ht="13.8" hidden="false" customHeight="false" outlineLevel="0" collapsed="false">
      <c r="A832" s="8" t="n">
        <v>45393</v>
      </c>
      <c r="B832" s="9" t="n">
        <f aca="false">DAY(A832)</f>
        <v>11</v>
      </c>
      <c r="C832" s="9" t="n">
        <f aca="false">MONTH(A832)</f>
        <v>4</v>
      </c>
      <c r="D832" s="9" t="n">
        <f aca="false">YEAR(A832)</f>
        <v>2024</v>
      </c>
      <c r="E832" s="9" t="n">
        <f aca="false">WEEKDAY(A832,2)</f>
        <v>4</v>
      </c>
      <c r="F832" s="10" t="n">
        <f aca="false">WEEKNUM(A832,2) - WEEKNUM(DATE(YEAR(A832),MONTH(A832),1),2) + 1</f>
        <v>2</v>
      </c>
      <c r="G832" s="10"/>
      <c r="H832" s="11" t="n">
        <v>170</v>
      </c>
      <c r="I832" s="22" t="s">
        <v>15</v>
      </c>
      <c r="J832" s="22" t="s">
        <v>53</v>
      </c>
      <c r="K832" s="12"/>
      <c r="L832" s="9" t="n">
        <f aca="false">L831+H832</f>
        <v>29181.91</v>
      </c>
      <c r="M832" s="10" t="str">
        <f aca="false">VLOOKUP(J832,RECATALOGANDO!A:C,2,0)</f>
        <v>SERVICIO DE GROOMING</v>
      </c>
      <c r="N832" s="12" t="str">
        <f aca="false">VLOOKUP(M832,RECATALOGANDO!B:C,2,0)</f>
        <v>VENTA DE SERVICIO</v>
      </c>
      <c r="O832" s="2" t="s">
        <v>78</v>
      </c>
    </row>
    <row r="833" customFormat="false" ht="13.8" hidden="false" customHeight="false" outlineLevel="0" collapsed="false">
      <c r="A833" s="8" t="n">
        <v>45393</v>
      </c>
      <c r="B833" s="9" t="n">
        <f aca="false">DAY(A833)</f>
        <v>11</v>
      </c>
      <c r="C833" s="9" t="n">
        <f aca="false">MONTH(A833)</f>
        <v>4</v>
      </c>
      <c r="D833" s="9" t="n">
        <f aca="false">YEAR(A833)</f>
        <v>2024</v>
      </c>
      <c r="E833" s="9" t="n">
        <f aca="false">WEEKDAY(A833,2)</f>
        <v>4</v>
      </c>
      <c r="F833" s="10" t="n">
        <f aca="false">WEEKNUM(A833,2) - WEEKNUM(DATE(YEAR(A833),MONTH(A833),1),2) + 1</f>
        <v>2</v>
      </c>
      <c r="G833" s="10"/>
      <c r="H833" s="11" t="n">
        <v>300</v>
      </c>
      <c r="I833" s="22" t="s">
        <v>15</v>
      </c>
      <c r="J833" s="22" t="s">
        <v>53</v>
      </c>
      <c r="K833" s="12"/>
      <c r="L833" s="9" t="n">
        <f aca="false">L832+H833</f>
        <v>29481.91</v>
      </c>
      <c r="M833" s="10" t="str">
        <f aca="false">VLOOKUP(J833,RECATALOGANDO!A:C,2,0)</f>
        <v>SERVICIO DE GROOMING</v>
      </c>
      <c r="N833" s="12" t="str">
        <f aca="false">VLOOKUP(M833,RECATALOGANDO!B:C,2,0)</f>
        <v>VENTA DE SERVICIO</v>
      </c>
      <c r="O833" s="2" t="s">
        <v>78</v>
      </c>
    </row>
    <row r="834" customFormat="false" ht="13.8" hidden="false" customHeight="false" outlineLevel="0" collapsed="false">
      <c r="A834" s="8" t="n">
        <v>45394</v>
      </c>
      <c r="B834" s="9" t="n">
        <f aca="false">DAY(A834)</f>
        <v>12</v>
      </c>
      <c r="C834" s="9" t="n">
        <f aca="false">MONTH(A834)</f>
        <v>4</v>
      </c>
      <c r="D834" s="9" t="n">
        <f aca="false">YEAR(A834)</f>
        <v>2024</v>
      </c>
      <c r="E834" s="9" t="n">
        <f aca="false">WEEKDAY(A834,2)</f>
        <v>5</v>
      </c>
      <c r="F834" s="10" t="n">
        <f aca="false">WEEKNUM(A834,2) - WEEKNUM(DATE(YEAR(A834),MONTH(A834),1),2) + 1</f>
        <v>2</v>
      </c>
      <c r="G834" s="10"/>
      <c r="H834" s="11" t="n">
        <v>1124</v>
      </c>
      <c r="I834" s="22" t="s">
        <v>20</v>
      </c>
      <c r="J834" s="12" t="s">
        <v>45</v>
      </c>
      <c r="K834" s="12"/>
      <c r="L834" s="9" t="n">
        <f aca="false">L833+H834</f>
        <v>30605.91</v>
      </c>
      <c r="M834" s="10" t="str">
        <f aca="false">VLOOKUP(J834,RECATALOGANDO!A:C,2,0)</f>
        <v>VENTA DE MEDICAMENTO</v>
      </c>
      <c r="N834" s="12" t="str">
        <f aca="false">VLOOKUP(M834,RECATALOGANDO!B:C,2,0)</f>
        <v>VENTA DE PRODUCTO</v>
      </c>
      <c r="O834" s="2" t="s">
        <v>78</v>
      </c>
    </row>
    <row r="835" customFormat="false" ht="13.8" hidden="false" customHeight="false" outlineLevel="0" collapsed="false">
      <c r="A835" s="39" t="n">
        <v>45396</v>
      </c>
      <c r="B835" s="9" t="n">
        <f aca="false">DAY(A835)</f>
        <v>14</v>
      </c>
      <c r="C835" s="9" t="n">
        <f aca="false">MONTH(A835)</f>
        <v>4</v>
      </c>
      <c r="D835" s="9" t="n">
        <f aca="false">YEAR(A835)</f>
        <v>2024</v>
      </c>
      <c r="E835" s="9" t="n">
        <f aca="false">WEEKDAY(A835,2)</f>
        <v>7</v>
      </c>
      <c r="F835" s="10" t="n">
        <f aca="false">WEEKNUM(A835,2) - WEEKNUM(DATE(YEAR(A835),MONTH(A835),1),2) + 1</f>
        <v>2</v>
      </c>
      <c r="G835" s="10"/>
      <c r="H835" s="11" t="n">
        <v>1773.7</v>
      </c>
      <c r="I835" s="22" t="s">
        <v>15</v>
      </c>
      <c r="J835" s="22" t="s">
        <v>51</v>
      </c>
      <c r="K835" s="12"/>
      <c r="L835" s="9" t="n">
        <f aca="false">L834+H835</f>
        <v>32379.61</v>
      </c>
      <c r="M835" s="10" t="str">
        <f aca="false">VLOOKUP(J835,RECATALOGANDO!A:C,2,0)</f>
        <v>VENTA DE ALIMENTO</v>
      </c>
      <c r="N835" s="12" t="str">
        <f aca="false">VLOOKUP(M835,RECATALOGANDO!B:C,2,0)</f>
        <v>VENTA DE PRODUCTO</v>
      </c>
      <c r="O835" s="2" t="s">
        <v>78</v>
      </c>
    </row>
    <row r="836" customFormat="false" ht="13.8" hidden="false" customHeight="false" outlineLevel="0" collapsed="false">
      <c r="A836" s="39" t="n">
        <v>45398</v>
      </c>
      <c r="B836" s="9" t="n">
        <f aca="false">DAY(A836)</f>
        <v>16</v>
      </c>
      <c r="C836" s="9" t="n">
        <f aca="false">MONTH(A836)</f>
        <v>4</v>
      </c>
      <c r="D836" s="9" t="n">
        <f aca="false">YEAR(A836)</f>
        <v>2024</v>
      </c>
      <c r="E836" s="9" t="n">
        <f aca="false">WEEKDAY(A836,2)</f>
        <v>2</v>
      </c>
      <c r="F836" s="10" t="n">
        <f aca="false">WEEKNUM(A836,2) - WEEKNUM(DATE(YEAR(A836),MONTH(A836),1),2) + 1</f>
        <v>3</v>
      </c>
      <c r="G836" s="10"/>
      <c r="H836" s="11" t="n">
        <v>2900</v>
      </c>
      <c r="I836" s="22" t="s">
        <v>15</v>
      </c>
      <c r="J836" s="22" t="s">
        <v>51</v>
      </c>
      <c r="K836" s="12"/>
      <c r="L836" s="9" t="n">
        <f aca="false">L835+H836</f>
        <v>35279.61</v>
      </c>
      <c r="M836" s="10" t="str">
        <f aca="false">VLOOKUP(J836,RECATALOGANDO!A:C,2,0)</f>
        <v>VENTA DE ALIMENTO</v>
      </c>
      <c r="N836" s="12" t="str">
        <f aca="false">VLOOKUP(M836,RECATALOGANDO!B:C,2,0)</f>
        <v>VENTA DE PRODUCTO</v>
      </c>
      <c r="O836" s="2" t="s">
        <v>78</v>
      </c>
    </row>
    <row r="837" customFormat="false" ht="13.8" hidden="false" customHeight="false" outlineLevel="0" collapsed="false">
      <c r="A837" s="39" t="n">
        <v>45398</v>
      </c>
      <c r="B837" s="9" t="n">
        <f aca="false">DAY(A837)</f>
        <v>16</v>
      </c>
      <c r="C837" s="9" t="n">
        <f aca="false">MONTH(A837)</f>
        <v>4</v>
      </c>
      <c r="D837" s="9" t="n">
        <f aca="false">YEAR(A837)</f>
        <v>2024</v>
      </c>
      <c r="E837" s="9" t="n">
        <f aca="false">WEEKDAY(A837,2)</f>
        <v>2</v>
      </c>
      <c r="F837" s="10" t="n">
        <f aca="false">WEEKNUM(A837,2) - WEEKNUM(DATE(YEAR(A837),MONTH(A837),1),2) + 1</f>
        <v>3</v>
      </c>
      <c r="G837" s="10"/>
      <c r="H837" s="11" t="n">
        <v>260</v>
      </c>
      <c r="I837" s="22" t="s">
        <v>15</v>
      </c>
      <c r="J837" s="22" t="s">
        <v>59</v>
      </c>
      <c r="K837" s="12"/>
      <c r="L837" s="9" t="n">
        <f aca="false">L836+H837</f>
        <v>35539.61</v>
      </c>
      <c r="M837" s="10" t="str">
        <f aca="false">VLOOKUP(J837,RECATALOGANDO!A:C,2,0)</f>
        <v>SERVICIO DE PENSION</v>
      </c>
      <c r="N837" s="12" t="str">
        <f aca="false">VLOOKUP(M837,RECATALOGANDO!B:C,2,0)</f>
        <v>VENTA DE SERVICIO</v>
      </c>
      <c r="O837" s="2" t="s">
        <v>78</v>
      </c>
    </row>
    <row r="838" customFormat="false" ht="13.8" hidden="false" customHeight="false" outlineLevel="0" collapsed="false">
      <c r="A838" s="39" t="n">
        <v>45398</v>
      </c>
      <c r="B838" s="9" t="n">
        <f aca="false">DAY(A838)</f>
        <v>16</v>
      </c>
      <c r="C838" s="9" t="n">
        <f aca="false">MONTH(A838)</f>
        <v>4</v>
      </c>
      <c r="D838" s="9" t="n">
        <f aca="false">YEAR(A838)</f>
        <v>2024</v>
      </c>
      <c r="E838" s="9" t="n">
        <f aca="false">WEEKDAY(A838,2)</f>
        <v>2</v>
      </c>
      <c r="F838" s="10" t="n">
        <f aca="false">WEEKNUM(A838,2) - WEEKNUM(DATE(YEAR(A838),MONTH(A838),1),2) + 1</f>
        <v>3</v>
      </c>
      <c r="G838" s="10"/>
      <c r="H838" s="11" t="n">
        <v>476.2</v>
      </c>
      <c r="I838" s="22" t="s">
        <v>15</v>
      </c>
      <c r="J838" s="22" t="s">
        <v>54</v>
      </c>
      <c r="K838" s="12"/>
      <c r="L838" s="9" t="n">
        <f aca="false">L837+H838</f>
        <v>36015.81</v>
      </c>
      <c r="M838" s="10" t="str">
        <f aca="false">VLOOKUP(J838,RECATALOGANDO!A:C,2,0)</f>
        <v>SERVICIO DE LABORATORIO</v>
      </c>
      <c r="N838" s="12" t="str">
        <f aca="false">VLOOKUP(M838,RECATALOGANDO!B:C,2,0)</f>
        <v>VENTA DE SERVICIO</v>
      </c>
      <c r="O838" s="2" t="s">
        <v>78</v>
      </c>
    </row>
    <row r="839" customFormat="false" ht="13.8" hidden="false" customHeight="false" outlineLevel="0" collapsed="false">
      <c r="A839" s="8" t="n">
        <v>45399</v>
      </c>
      <c r="B839" s="9" t="n">
        <f aca="false">DAY(A839)</f>
        <v>17</v>
      </c>
      <c r="C839" s="9" t="n">
        <f aca="false">MONTH(A839)</f>
        <v>4</v>
      </c>
      <c r="D839" s="9" t="n">
        <f aca="false">YEAR(A839)</f>
        <v>2024</v>
      </c>
      <c r="E839" s="9" t="n">
        <f aca="false">WEEKDAY(A839,2)</f>
        <v>3</v>
      </c>
      <c r="F839" s="10" t="n">
        <f aca="false">WEEKNUM(A839,2) - WEEKNUM(DATE(YEAR(A839),MONTH(A839),1),2) + 1</f>
        <v>3</v>
      </c>
      <c r="G839" s="10"/>
      <c r="H839" s="11" t="n">
        <v>1686.5</v>
      </c>
      <c r="I839" s="22" t="s">
        <v>15</v>
      </c>
      <c r="J839" s="22" t="s">
        <v>45</v>
      </c>
      <c r="K839" s="12"/>
      <c r="L839" s="9" t="n">
        <f aca="false">L838+H839</f>
        <v>37702.31</v>
      </c>
      <c r="M839" s="10" t="str">
        <f aca="false">VLOOKUP(J839,RECATALOGANDO!A:C,2,0)</f>
        <v>VENTA DE MEDICAMENTO</v>
      </c>
      <c r="N839" s="12" t="str">
        <f aca="false">VLOOKUP(M839,RECATALOGANDO!B:C,2,0)</f>
        <v>VENTA DE PRODUCTO</v>
      </c>
      <c r="O839" s="2" t="s">
        <v>78</v>
      </c>
    </row>
    <row r="840" customFormat="false" ht="13.8" hidden="false" customHeight="false" outlineLevel="0" collapsed="false">
      <c r="A840" s="8" t="n">
        <v>45399</v>
      </c>
      <c r="B840" s="9" t="n">
        <f aca="false">DAY(A840)</f>
        <v>17</v>
      </c>
      <c r="C840" s="9" t="n">
        <f aca="false">MONTH(A840)</f>
        <v>4</v>
      </c>
      <c r="D840" s="9" t="n">
        <f aca="false">YEAR(A840)</f>
        <v>2024</v>
      </c>
      <c r="E840" s="9" t="n">
        <f aca="false">WEEKDAY(A840,2)</f>
        <v>3</v>
      </c>
      <c r="F840" s="10" t="n">
        <f aca="false">WEEKNUM(A840,2) - WEEKNUM(DATE(YEAR(A840),MONTH(A840),1),2) + 1</f>
        <v>3</v>
      </c>
      <c r="G840" s="10"/>
      <c r="H840" s="11" t="n">
        <v>2540</v>
      </c>
      <c r="I840" s="22" t="s">
        <v>20</v>
      </c>
      <c r="J840" s="12" t="s">
        <v>45</v>
      </c>
      <c r="K840" s="12"/>
      <c r="L840" s="9" t="n">
        <f aca="false">L839+H840</f>
        <v>40242.31</v>
      </c>
      <c r="M840" s="10" t="str">
        <f aca="false">VLOOKUP(J840,RECATALOGANDO!A:C,2,0)</f>
        <v>VENTA DE MEDICAMENTO</v>
      </c>
      <c r="N840" s="12" t="str">
        <f aca="false">VLOOKUP(M840,RECATALOGANDO!B:C,2,0)</f>
        <v>VENTA DE PRODUCTO</v>
      </c>
      <c r="O840" s="2" t="s">
        <v>78</v>
      </c>
    </row>
    <row r="841" customFormat="false" ht="13.8" hidden="false" customHeight="false" outlineLevel="0" collapsed="false">
      <c r="A841" s="8" t="n">
        <v>45399</v>
      </c>
      <c r="B841" s="9" t="n">
        <f aca="false">DAY(A841)</f>
        <v>17</v>
      </c>
      <c r="C841" s="9" t="n">
        <f aca="false">MONTH(A841)</f>
        <v>4</v>
      </c>
      <c r="D841" s="9" t="n">
        <f aca="false">YEAR(A841)</f>
        <v>2024</v>
      </c>
      <c r="E841" s="9" t="n">
        <f aca="false">WEEKDAY(A841,2)</f>
        <v>3</v>
      </c>
      <c r="F841" s="10" t="n">
        <f aca="false">WEEKNUM(A841,2) - WEEKNUM(DATE(YEAR(A841),MONTH(A841),1),2) + 1</f>
        <v>3</v>
      </c>
      <c r="G841" s="10"/>
      <c r="H841" s="11" t="n">
        <v>370</v>
      </c>
      <c r="I841" s="22" t="s">
        <v>20</v>
      </c>
      <c r="J841" s="12" t="s">
        <v>53</v>
      </c>
      <c r="K841" s="12"/>
      <c r="L841" s="9" t="n">
        <f aca="false">L840+H841</f>
        <v>40612.31</v>
      </c>
      <c r="M841" s="10" t="str">
        <f aca="false">VLOOKUP(J841,RECATALOGANDO!A:C,2,0)</f>
        <v>SERVICIO DE GROOMING</v>
      </c>
      <c r="N841" s="12" t="str">
        <f aca="false">VLOOKUP(M841,RECATALOGANDO!B:C,2,0)</f>
        <v>VENTA DE SERVICIO</v>
      </c>
      <c r="O841" s="2" t="s">
        <v>78</v>
      </c>
    </row>
    <row r="842" customFormat="false" ht="13.8" hidden="false" customHeight="false" outlineLevel="0" collapsed="false">
      <c r="A842" s="8" t="n">
        <v>45399</v>
      </c>
      <c r="B842" s="9" t="n">
        <f aca="false">DAY(A842)</f>
        <v>17</v>
      </c>
      <c r="C842" s="9" t="n">
        <f aca="false">MONTH(A842)</f>
        <v>4</v>
      </c>
      <c r="D842" s="9" t="n">
        <f aca="false">YEAR(A842)</f>
        <v>2024</v>
      </c>
      <c r="E842" s="9" t="n">
        <f aca="false">WEEKDAY(A842,2)</f>
        <v>3</v>
      </c>
      <c r="F842" s="10" t="n">
        <f aca="false">WEEKNUM(A842,2) - WEEKNUM(DATE(YEAR(A842),MONTH(A842),1),2) + 1</f>
        <v>3</v>
      </c>
      <c r="G842" s="10"/>
      <c r="H842" s="11" t="n">
        <v>1089</v>
      </c>
      <c r="I842" s="22" t="s">
        <v>20</v>
      </c>
      <c r="J842" s="12" t="s">
        <v>44</v>
      </c>
      <c r="K842" s="12"/>
      <c r="L842" s="9" t="n">
        <f aca="false">L841+H842</f>
        <v>41701.31</v>
      </c>
      <c r="M842" s="10" t="str">
        <f aca="false">VLOOKUP(J842,RECATALOGANDO!A:C,2,0)</f>
        <v>HONORARIOS MEDICOS</v>
      </c>
      <c r="N842" s="12" t="str">
        <f aca="false">VLOOKUP(M842,RECATALOGANDO!B:C,2,0)</f>
        <v>VENTA DE SERVICIO</v>
      </c>
      <c r="O842" s="2" t="s">
        <v>78</v>
      </c>
    </row>
    <row r="843" customFormat="false" ht="13.8" hidden="false" customHeight="false" outlineLevel="0" collapsed="false">
      <c r="A843" s="8" t="n">
        <v>45400</v>
      </c>
      <c r="B843" s="9" t="n">
        <f aca="false">DAY(A843)</f>
        <v>18</v>
      </c>
      <c r="C843" s="9" t="n">
        <f aca="false">MONTH(A843)</f>
        <v>4</v>
      </c>
      <c r="D843" s="9" t="n">
        <f aca="false">YEAR(A843)</f>
        <v>2024</v>
      </c>
      <c r="E843" s="9" t="n">
        <f aca="false">WEEKDAY(A843,2)</f>
        <v>4</v>
      </c>
      <c r="F843" s="10" t="n">
        <f aca="false">WEEKNUM(A843,2) - WEEKNUM(DATE(YEAR(A843),MONTH(A843),1),2) + 1</f>
        <v>3</v>
      </c>
      <c r="G843" s="10"/>
      <c r="H843" s="11" t="n">
        <v>1169</v>
      </c>
      <c r="I843" s="22" t="s">
        <v>20</v>
      </c>
      <c r="J843" s="12" t="s">
        <v>51</v>
      </c>
      <c r="K843" s="12"/>
      <c r="L843" s="9" t="n">
        <f aca="false">L842+H843</f>
        <v>42870.31</v>
      </c>
      <c r="M843" s="10" t="str">
        <f aca="false">VLOOKUP(J843,RECATALOGANDO!A:C,2,0)</f>
        <v>VENTA DE ALIMENTO</v>
      </c>
      <c r="N843" s="12" t="str">
        <f aca="false">VLOOKUP(M843,RECATALOGANDO!B:C,2,0)</f>
        <v>VENTA DE PRODUCTO</v>
      </c>
      <c r="O843" s="2" t="s">
        <v>78</v>
      </c>
    </row>
    <row r="844" customFormat="false" ht="13.8" hidden="false" customHeight="false" outlineLevel="0" collapsed="false">
      <c r="A844" s="8" t="n">
        <v>45400</v>
      </c>
      <c r="B844" s="9" t="n">
        <f aca="false">DAY(A844)</f>
        <v>18</v>
      </c>
      <c r="C844" s="9" t="n">
        <f aca="false">MONTH(A844)</f>
        <v>4</v>
      </c>
      <c r="D844" s="9" t="n">
        <f aca="false">YEAR(A844)</f>
        <v>2024</v>
      </c>
      <c r="E844" s="9" t="n">
        <f aca="false">WEEKDAY(A844,2)</f>
        <v>4</v>
      </c>
      <c r="F844" s="10" t="n">
        <f aca="false">WEEKNUM(A844,2) - WEEKNUM(DATE(YEAR(A844),MONTH(A844),1),2) + 1</f>
        <v>3</v>
      </c>
      <c r="G844" s="10"/>
      <c r="H844" s="11" t="n">
        <v>1510</v>
      </c>
      <c r="I844" s="22" t="s">
        <v>20</v>
      </c>
      <c r="J844" s="12" t="s">
        <v>45</v>
      </c>
      <c r="K844" s="12"/>
      <c r="L844" s="9" t="n">
        <f aca="false">L843+H844</f>
        <v>44380.31</v>
      </c>
      <c r="M844" s="10" t="str">
        <f aca="false">VLOOKUP(J844,RECATALOGANDO!A:C,2,0)</f>
        <v>VENTA DE MEDICAMENTO</v>
      </c>
      <c r="N844" s="12" t="str">
        <f aca="false">VLOOKUP(M844,RECATALOGANDO!B:C,2,0)</f>
        <v>VENTA DE PRODUCTO</v>
      </c>
      <c r="O844" s="2" t="s">
        <v>78</v>
      </c>
    </row>
    <row r="845" customFormat="false" ht="13.8" hidden="false" customHeight="false" outlineLevel="0" collapsed="false">
      <c r="A845" s="8" t="n">
        <v>45404</v>
      </c>
      <c r="B845" s="9" t="n">
        <f aca="false">DAY(A845)</f>
        <v>22</v>
      </c>
      <c r="C845" s="9" t="n">
        <f aca="false">MONTH(A845)</f>
        <v>4</v>
      </c>
      <c r="D845" s="9" t="n">
        <f aca="false">YEAR(A845)</f>
        <v>2024</v>
      </c>
      <c r="E845" s="9" t="n">
        <f aca="false">WEEKDAY(A845,2)</f>
        <v>1</v>
      </c>
      <c r="F845" s="10" t="n">
        <f aca="false">WEEKNUM(A845,2) - WEEKNUM(DATE(YEAR(A845),MONTH(A845),1),2) + 1</f>
        <v>4</v>
      </c>
      <c r="G845" s="10"/>
      <c r="H845" s="11" t="n">
        <v>240</v>
      </c>
      <c r="I845" s="22" t="s">
        <v>20</v>
      </c>
      <c r="J845" s="12" t="s">
        <v>44</v>
      </c>
      <c r="K845" s="12"/>
      <c r="L845" s="9" t="n">
        <f aca="false">L844+H845</f>
        <v>44620.31</v>
      </c>
      <c r="M845" s="10" t="str">
        <f aca="false">VLOOKUP(J845,RECATALOGANDO!A:C,2,0)</f>
        <v>HONORARIOS MEDICOS</v>
      </c>
      <c r="N845" s="12" t="str">
        <f aca="false">VLOOKUP(M845,RECATALOGANDO!B:C,2,0)</f>
        <v>VENTA DE SERVICIO</v>
      </c>
      <c r="O845" s="2" t="s">
        <v>78</v>
      </c>
    </row>
    <row r="846" customFormat="false" ht="13.8" hidden="false" customHeight="false" outlineLevel="0" collapsed="false">
      <c r="A846" s="8" t="n">
        <v>45404</v>
      </c>
      <c r="B846" s="9" t="n">
        <f aca="false">DAY(A846)</f>
        <v>22</v>
      </c>
      <c r="C846" s="9" t="n">
        <f aca="false">MONTH(A846)</f>
        <v>4</v>
      </c>
      <c r="D846" s="9" t="n">
        <f aca="false">YEAR(A846)</f>
        <v>2024</v>
      </c>
      <c r="E846" s="9" t="n">
        <f aca="false">WEEKDAY(A846,2)</f>
        <v>1</v>
      </c>
      <c r="F846" s="10" t="n">
        <f aca="false">WEEKNUM(A846,2) - WEEKNUM(DATE(YEAR(A846),MONTH(A846),1),2) + 1</f>
        <v>4</v>
      </c>
      <c r="G846" s="10"/>
      <c r="H846" s="11" t="n">
        <v>255</v>
      </c>
      <c r="I846" s="22" t="s">
        <v>20</v>
      </c>
      <c r="J846" s="12" t="s">
        <v>53</v>
      </c>
      <c r="K846" s="12"/>
      <c r="L846" s="9" t="n">
        <f aca="false">L845+H846</f>
        <v>44875.31</v>
      </c>
      <c r="M846" s="10" t="str">
        <f aca="false">VLOOKUP(J846,RECATALOGANDO!A:C,2,0)</f>
        <v>SERVICIO DE GROOMING</v>
      </c>
      <c r="N846" s="12" t="str">
        <f aca="false">VLOOKUP(M846,RECATALOGANDO!B:C,2,0)</f>
        <v>VENTA DE SERVICIO</v>
      </c>
      <c r="O846" s="2" t="s">
        <v>78</v>
      </c>
    </row>
    <row r="847" customFormat="false" ht="13.8" hidden="false" customHeight="false" outlineLevel="0" collapsed="false">
      <c r="A847" s="8" t="n">
        <v>45404</v>
      </c>
      <c r="B847" s="9" t="n">
        <f aca="false">DAY(A847)</f>
        <v>22</v>
      </c>
      <c r="C847" s="9" t="n">
        <f aca="false">MONTH(A847)</f>
        <v>4</v>
      </c>
      <c r="D847" s="9" t="n">
        <f aca="false">YEAR(A847)</f>
        <v>2024</v>
      </c>
      <c r="E847" s="9" t="n">
        <f aca="false">WEEKDAY(A847,2)</f>
        <v>1</v>
      </c>
      <c r="F847" s="10" t="n">
        <f aca="false">WEEKNUM(A847,2) - WEEKNUM(DATE(YEAR(A847),MONTH(A847),1),2) + 1</f>
        <v>4</v>
      </c>
      <c r="G847" s="10"/>
      <c r="H847" s="11" t="n">
        <v>1650</v>
      </c>
      <c r="I847" s="22" t="s">
        <v>20</v>
      </c>
      <c r="J847" s="12" t="s">
        <v>44</v>
      </c>
      <c r="K847" s="12"/>
      <c r="L847" s="9" t="n">
        <f aca="false">L846+H847</f>
        <v>46525.31</v>
      </c>
      <c r="M847" s="10" t="str">
        <f aca="false">VLOOKUP(J847,RECATALOGANDO!A:C,2,0)</f>
        <v>HONORARIOS MEDICOS</v>
      </c>
      <c r="N847" s="12" t="str">
        <f aca="false">VLOOKUP(M847,RECATALOGANDO!B:C,2,0)</f>
        <v>VENTA DE SERVICIO</v>
      </c>
      <c r="O847" s="2" t="s">
        <v>78</v>
      </c>
    </row>
    <row r="848" customFormat="false" ht="13.8" hidden="false" customHeight="false" outlineLevel="0" collapsed="false">
      <c r="A848" s="8" t="n">
        <v>45408</v>
      </c>
      <c r="B848" s="9" t="n">
        <f aca="false">DAY(A848)</f>
        <v>26</v>
      </c>
      <c r="C848" s="9" t="n">
        <f aca="false">MONTH(A848)</f>
        <v>4</v>
      </c>
      <c r="D848" s="9" t="n">
        <f aca="false">YEAR(A848)</f>
        <v>2024</v>
      </c>
      <c r="E848" s="9" t="n">
        <f aca="false">WEEKDAY(A848,2)</f>
        <v>5</v>
      </c>
      <c r="F848" s="10" t="n">
        <f aca="false">WEEKNUM(A848,2) - WEEKNUM(DATE(YEAR(A848),MONTH(A848),1),2) + 1</f>
        <v>4</v>
      </c>
      <c r="G848" s="10"/>
      <c r="H848" s="11" t="n">
        <v>150</v>
      </c>
      <c r="I848" s="22" t="s">
        <v>20</v>
      </c>
      <c r="J848" s="12" t="s">
        <v>45</v>
      </c>
      <c r="K848" s="12"/>
      <c r="L848" s="9" t="n">
        <f aca="false">L847+H848</f>
        <v>46675.31</v>
      </c>
      <c r="M848" s="10" t="str">
        <f aca="false">VLOOKUP(J848,RECATALOGANDO!A:C,2,0)</f>
        <v>VENTA DE MEDICAMENTO</v>
      </c>
      <c r="N848" s="12" t="str">
        <f aca="false">VLOOKUP(M848,RECATALOGANDO!B:C,2,0)</f>
        <v>VENTA DE PRODUCTO</v>
      </c>
      <c r="O848" s="2" t="s">
        <v>78</v>
      </c>
    </row>
    <row r="849" customFormat="false" ht="13.8" hidden="false" customHeight="false" outlineLevel="0" collapsed="false">
      <c r="A849" s="8" t="n">
        <v>45408</v>
      </c>
      <c r="B849" s="9" t="n">
        <f aca="false">DAY(A849)</f>
        <v>26</v>
      </c>
      <c r="C849" s="9" t="n">
        <f aca="false">MONTH(A849)</f>
        <v>4</v>
      </c>
      <c r="D849" s="9" t="n">
        <f aca="false">YEAR(A849)</f>
        <v>2024</v>
      </c>
      <c r="E849" s="9" t="n">
        <f aca="false">WEEKDAY(A849,2)</f>
        <v>5</v>
      </c>
      <c r="F849" s="10" t="n">
        <f aca="false">WEEKNUM(A849,2) - WEEKNUM(DATE(YEAR(A849),MONTH(A849),1),2) + 1</f>
        <v>4</v>
      </c>
      <c r="G849" s="10"/>
      <c r="H849" s="11" t="n">
        <v>1790</v>
      </c>
      <c r="I849" s="22" t="s">
        <v>20</v>
      </c>
      <c r="J849" s="12" t="s">
        <v>45</v>
      </c>
      <c r="K849" s="12"/>
      <c r="L849" s="9" t="n">
        <f aca="false">L848+H849</f>
        <v>48465.31</v>
      </c>
      <c r="M849" s="10" t="str">
        <f aca="false">VLOOKUP(J849,RECATALOGANDO!A:C,2,0)</f>
        <v>VENTA DE MEDICAMENTO</v>
      </c>
      <c r="N849" s="12" t="str">
        <f aca="false">VLOOKUP(M849,RECATALOGANDO!B:C,2,0)</f>
        <v>VENTA DE PRODUCTO</v>
      </c>
      <c r="O849" s="2" t="s">
        <v>78</v>
      </c>
    </row>
    <row r="850" customFormat="false" ht="13.8" hidden="false" customHeight="false" outlineLevel="0" collapsed="false">
      <c r="A850" s="8" t="n">
        <v>45408</v>
      </c>
      <c r="B850" s="9" t="n">
        <f aca="false">DAY(A850)</f>
        <v>26</v>
      </c>
      <c r="C850" s="9" t="n">
        <f aca="false">MONTH(A850)</f>
        <v>4</v>
      </c>
      <c r="D850" s="9" t="n">
        <f aca="false">YEAR(A850)</f>
        <v>2024</v>
      </c>
      <c r="E850" s="9" t="n">
        <f aca="false">WEEKDAY(A850,2)</f>
        <v>5</v>
      </c>
      <c r="F850" s="10" t="n">
        <f aca="false">WEEKNUM(A850,2) - WEEKNUM(DATE(YEAR(A850),MONTH(A850),1),2) + 1</f>
        <v>4</v>
      </c>
      <c r="G850" s="10"/>
      <c r="H850" s="11" t="n">
        <v>825</v>
      </c>
      <c r="I850" s="22" t="s">
        <v>20</v>
      </c>
      <c r="J850" s="12" t="s">
        <v>44</v>
      </c>
      <c r="K850" s="12"/>
      <c r="L850" s="9" t="n">
        <f aca="false">L849+H850</f>
        <v>49290.31</v>
      </c>
      <c r="M850" s="10" t="str">
        <f aca="false">VLOOKUP(J850,RECATALOGANDO!A:C,2,0)</f>
        <v>HONORARIOS MEDICOS</v>
      </c>
      <c r="N850" s="12" t="str">
        <f aca="false">VLOOKUP(M850,RECATALOGANDO!B:C,2,0)</f>
        <v>VENTA DE SERVICIO</v>
      </c>
      <c r="O850" s="2" t="s">
        <v>78</v>
      </c>
    </row>
    <row r="851" customFormat="false" ht="13.8" hidden="false" customHeight="false" outlineLevel="0" collapsed="false">
      <c r="A851" s="8" t="n">
        <v>45411</v>
      </c>
      <c r="B851" s="9" t="n">
        <f aca="false">DAY(A851)</f>
        <v>29</v>
      </c>
      <c r="C851" s="9" t="n">
        <f aca="false">MONTH(A851)</f>
        <v>4</v>
      </c>
      <c r="D851" s="9" t="n">
        <f aca="false">YEAR(A851)</f>
        <v>2024</v>
      </c>
      <c r="E851" s="9" t="n">
        <f aca="false">WEEKDAY(A851,2)</f>
        <v>1</v>
      </c>
      <c r="F851" s="10" t="n">
        <f aca="false">WEEKNUM(A851,2) - WEEKNUM(DATE(YEAR(A851),MONTH(A851),1),2) + 1</f>
        <v>5</v>
      </c>
      <c r="G851" s="10"/>
      <c r="H851" s="11" t="n">
        <v>220</v>
      </c>
      <c r="I851" s="22" t="s">
        <v>20</v>
      </c>
      <c r="J851" s="12" t="s">
        <v>45</v>
      </c>
      <c r="K851" s="12"/>
      <c r="L851" s="9" t="n">
        <f aca="false">L850+H851</f>
        <v>49510.31</v>
      </c>
      <c r="M851" s="10" t="str">
        <f aca="false">VLOOKUP(J851,RECATALOGANDO!A:C,2,0)</f>
        <v>VENTA DE MEDICAMENTO</v>
      </c>
      <c r="N851" s="12" t="str">
        <f aca="false">VLOOKUP(M851,RECATALOGANDO!B:C,2,0)</f>
        <v>VENTA DE PRODUCTO</v>
      </c>
      <c r="O851" s="2" t="s">
        <v>78</v>
      </c>
    </row>
    <row r="852" customFormat="false" ht="13.8" hidden="false" customHeight="false" outlineLevel="0" collapsed="false">
      <c r="A852" s="8" t="n">
        <v>45411</v>
      </c>
      <c r="B852" s="9" t="n">
        <f aca="false">DAY(A852)</f>
        <v>29</v>
      </c>
      <c r="C852" s="9" t="n">
        <f aca="false">MONTH(A852)</f>
        <v>4</v>
      </c>
      <c r="D852" s="9" t="n">
        <f aca="false">YEAR(A852)</f>
        <v>2024</v>
      </c>
      <c r="E852" s="9" t="n">
        <f aca="false">WEEKDAY(A852,2)</f>
        <v>1</v>
      </c>
      <c r="F852" s="10" t="n">
        <f aca="false">WEEKNUM(A852,2) - WEEKNUM(DATE(YEAR(A852),MONTH(A852),1),2) + 1</f>
        <v>5</v>
      </c>
      <c r="G852" s="10"/>
      <c r="H852" s="11" t="n">
        <v>1950</v>
      </c>
      <c r="I852" s="22" t="s">
        <v>15</v>
      </c>
      <c r="J852" s="22" t="s">
        <v>51</v>
      </c>
      <c r="K852" s="12"/>
      <c r="L852" s="9" t="n">
        <f aca="false">L851+H852</f>
        <v>51460.31</v>
      </c>
      <c r="M852" s="10" t="str">
        <f aca="false">VLOOKUP(J852,RECATALOGANDO!A:C,2,0)</f>
        <v>VENTA DE ALIMENTO</v>
      </c>
      <c r="N852" s="12" t="str">
        <f aca="false">VLOOKUP(M852,RECATALOGANDO!B:C,2,0)</f>
        <v>VENTA DE PRODUCTO</v>
      </c>
      <c r="O852" s="2" t="s">
        <v>78</v>
      </c>
    </row>
    <row r="853" customFormat="false" ht="13.8" hidden="false" customHeight="false" outlineLevel="0" collapsed="false">
      <c r="A853" s="8" t="n">
        <v>45411</v>
      </c>
      <c r="B853" s="9" t="n">
        <f aca="false">DAY(A853)</f>
        <v>29</v>
      </c>
      <c r="C853" s="9" t="n">
        <f aca="false">MONTH(A853)</f>
        <v>4</v>
      </c>
      <c r="D853" s="9" t="n">
        <f aca="false">YEAR(A853)</f>
        <v>2024</v>
      </c>
      <c r="E853" s="9" t="n">
        <f aca="false">WEEKDAY(A853,2)</f>
        <v>1</v>
      </c>
      <c r="F853" s="10" t="n">
        <f aca="false">WEEKNUM(A853,2) - WEEKNUM(DATE(YEAR(A853),MONTH(A853),1),2) + 1</f>
        <v>5</v>
      </c>
      <c r="G853" s="10"/>
      <c r="H853" s="11" t="n">
        <v>180</v>
      </c>
      <c r="I853" s="22" t="s">
        <v>20</v>
      </c>
      <c r="J853" s="22" t="s">
        <v>58</v>
      </c>
      <c r="K853" s="12"/>
      <c r="L853" s="9" t="n">
        <f aca="false">L852+H853</f>
        <v>51640.31</v>
      </c>
      <c r="M853" s="10" t="str">
        <f aca="false">VLOOKUP(J853,RECATALOGANDO!A:C,2,0)</f>
        <v>SERVICIO DE LABORATORIO</v>
      </c>
      <c r="N853" s="12" t="str">
        <f aca="false">VLOOKUP(M853,RECATALOGANDO!B:C,2,0)</f>
        <v>VENTA DE SERVICIO</v>
      </c>
      <c r="O853" s="2" t="s">
        <v>78</v>
      </c>
    </row>
    <row r="854" customFormat="false" ht="13.8" hidden="false" customHeight="false" outlineLevel="0" collapsed="false">
      <c r="A854" s="8" t="n">
        <v>45411</v>
      </c>
      <c r="B854" s="9" t="n">
        <f aca="false">DAY(A854)</f>
        <v>29</v>
      </c>
      <c r="C854" s="9" t="n">
        <f aca="false">MONTH(A854)</f>
        <v>4</v>
      </c>
      <c r="D854" s="9" t="n">
        <f aca="false">YEAR(A854)</f>
        <v>2024</v>
      </c>
      <c r="E854" s="9" t="n">
        <f aca="false">WEEKDAY(A854,2)</f>
        <v>1</v>
      </c>
      <c r="F854" s="10" t="n">
        <f aca="false">WEEKNUM(A854,2) - WEEKNUM(DATE(YEAR(A854),MONTH(A854),1),2) + 1</f>
        <v>5</v>
      </c>
      <c r="G854" s="10"/>
      <c r="H854" s="11" t="n">
        <v>220</v>
      </c>
      <c r="I854" s="22" t="s">
        <v>20</v>
      </c>
      <c r="J854" s="12" t="s">
        <v>53</v>
      </c>
      <c r="K854" s="12"/>
      <c r="L854" s="9" t="n">
        <f aca="false">L853+H854</f>
        <v>51860.31</v>
      </c>
      <c r="M854" s="10" t="str">
        <f aca="false">VLOOKUP(J854,RECATALOGANDO!A:C,2,0)</f>
        <v>SERVICIO DE GROOMING</v>
      </c>
      <c r="N854" s="12" t="str">
        <f aca="false">VLOOKUP(M854,RECATALOGANDO!B:C,2,0)</f>
        <v>VENTA DE SERVICIO</v>
      </c>
      <c r="O854" s="2" t="s">
        <v>78</v>
      </c>
    </row>
    <row r="855" customFormat="false" ht="13.8" hidden="false" customHeight="false" outlineLevel="0" collapsed="false">
      <c r="A855" s="8" t="n">
        <v>45412</v>
      </c>
      <c r="B855" s="9" t="n">
        <f aca="false">DAY(A855)</f>
        <v>30</v>
      </c>
      <c r="C855" s="9" t="n">
        <f aca="false">MONTH(A855)</f>
        <v>4</v>
      </c>
      <c r="D855" s="9" t="n">
        <f aca="false">YEAR(A855)</f>
        <v>2024</v>
      </c>
      <c r="E855" s="9" t="n">
        <f aca="false">WEEKDAY(A855,2)</f>
        <v>2</v>
      </c>
      <c r="F855" s="10" t="n">
        <f aca="false">WEEKNUM(A855,2) - WEEKNUM(DATE(YEAR(A855),MONTH(A855),1),2) + 1</f>
        <v>5</v>
      </c>
      <c r="G855" s="10" t="n">
        <v>2</v>
      </c>
      <c r="H855" s="11" t="n">
        <v>2030</v>
      </c>
      <c r="I855" s="22" t="s">
        <v>20</v>
      </c>
      <c r="J855" s="12" t="s">
        <v>64</v>
      </c>
      <c r="K855" s="12"/>
      <c r="L855" s="9" t="n">
        <f aca="false">L854+H855</f>
        <v>53890.31</v>
      </c>
      <c r="M855" s="10" t="str">
        <f aca="false">VLOOKUP(J855,RECATALOGANDO!A:C,2,0)</f>
        <v>HONORARIOS QUIRURGICOS</v>
      </c>
      <c r="N855" s="12" t="str">
        <f aca="false">VLOOKUP(M855,RECATALOGANDO!B:C,2,0)</f>
        <v>VENTA DE SERVICIO</v>
      </c>
      <c r="O855" s="2" t="s">
        <v>78</v>
      </c>
    </row>
    <row r="856" customFormat="false" ht="13.8" hidden="false" customHeight="false" outlineLevel="0" collapsed="false">
      <c r="A856" s="8" t="n">
        <v>45414</v>
      </c>
      <c r="B856" s="9" t="n">
        <f aca="false">DAY(A856)</f>
        <v>2</v>
      </c>
      <c r="C856" s="9" t="n">
        <f aca="false">MONTH(A856)</f>
        <v>5</v>
      </c>
      <c r="D856" s="9" t="n">
        <f aca="false">YEAR(A856)</f>
        <v>2024</v>
      </c>
      <c r="E856" s="9" t="n">
        <f aca="false">WEEKDAY(A856,2)</f>
        <v>4</v>
      </c>
      <c r="F856" s="10" t="n">
        <f aca="false">WEEKNUM(A856,2) - WEEKNUM(DATE(YEAR(A856),MONTH(A856),1),2) + 1</f>
        <v>1</v>
      </c>
      <c r="G856" s="10"/>
      <c r="H856" s="11" t="n">
        <v>480</v>
      </c>
      <c r="I856" s="22" t="s">
        <v>20</v>
      </c>
      <c r="J856" s="22" t="s">
        <v>44</v>
      </c>
      <c r="K856" s="12"/>
      <c r="L856" s="9" t="n">
        <f aca="false">H856</f>
        <v>480</v>
      </c>
      <c r="M856" s="10" t="str">
        <f aca="false">VLOOKUP(J856,RECATALOGANDO!A:C,2,0)</f>
        <v>HONORARIOS MEDICOS</v>
      </c>
      <c r="N856" s="12" t="str">
        <f aca="false">VLOOKUP(M856,RECATALOGANDO!B:C,2,0)</f>
        <v>VENTA DE SERVICIO</v>
      </c>
      <c r="O856" s="2" t="s">
        <v>78</v>
      </c>
    </row>
    <row r="857" customFormat="false" ht="13.8" hidden="false" customHeight="false" outlineLevel="0" collapsed="false">
      <c r="A857" s="8" t="n">
        <v>45415</v>
      </c>
      <c r="B857" s="9" t="n">
        <f aca="false">DAY(A857)</f>
        <v>3</v>
      </c>
      <c r="C857" s="9" t="n">
        <f aca="false">MONTH(A857)</f>
        <v>5</v>
      </c>
      <c r="D857" s="9" t="n">
        <f aca="false">YEAR(A857)</f>
        <v>2024</v>
      </c>
      <c r="E857" s="9" t="n">
        <f aca="false">WEEKDAY(A857,2)</f>
        <v>5</v>
      </c>
      <c r="F857" s="10" t="n">
        <f aca="false">WEEKNUM(A857,2) - WEEKNUM(DATE(YEAR(A857),MONTH(A857),1),2) + 1</f>
        <v>1</v>
      </c>
      <c r="G857" s="10"/>
      <c r="H857" s="11" t="n">
        <v>775</v>
      </c>
      <c r="I857" s="12" t="s">
        <v>20</v>
      </c>
      <c r="J857" s="12" t="s">
        <v>45</v>
      </c>
      <c r="K857" s="12"/>
      <c r="L857" s="9" t="n">
        <f aca="false">L856+H857</f>
        <v>1255</v>
      </c>
      <c r="M857" s="10" t="str">
        <f aca="false">VLOOKUP(J857,RECATALOGANDO!A:C,2,0)</f>
        <v>VENTA DE MEDICAMENTO</v>
      </c>
      <c r="N857" s="12" t="str">
        <f aca="false">VLOOKUP(M857,RECATALOGANDO!B:C,2,0)</f>
        <v>VENTA DE PRODUCTO</v>
      </c>
      <c r="O857" s="2" t="s">
        <v>78</v>
      </c>
    </row>
    <row r="858" customFormat="false" ht="13.8" hidden="false" customHeight="false" outlineLevel="0" collapsed="false">
      <c r="A858" s="8" t="n">
        <v>45415</v>
      </c>
      <c r="B858" s="9" t="n">
        <f aca="false">DAY(A858)</f>
        <v>3</v>
      </c>
      <c r="C858" s="9" t="n">
        <f aca="false">MONTH(A858)</f>
        <v>5</v>
      </c>
      <c r="D858" s="9" t="n">
        <f aca="false">YEAR(A858)</f>
        <v>2024</v>
      </c>
      <c r="E858" s="9" t="n">
        <f aca="false">WEEKDAY(A858,2)</f>
        <v>5</v>
      </c>
      <c r="F858" s="10" t="n">
        <f aca="false">WEEKNUM(A858,2) - WEEKNUM(DATE(YEAR(A858),MONTH(A858),1),2) + 1</f>
        <v>1</v>
      </c>
      <c r="G858" s="10"/>
      <c r="H858" s="11" t="n">
        <v>819</v>
      </c>
      <c r="I858" s="12" t="s">
        <v>20</v>
      </c>
      <c r="J858" s="12" t="s">
        <v>51</v>
      </c>
      <c r="K858" s="12"/>
      <c r="L858" s="9" t="n">
        <f aca="false">L857+H858</f>
        <v>2074</v>
      </c>
      <c r="M858" s="10" t="str">
        <f aca="false">VLOOKUP(J858,RECATALOGANDO!A:C,2,0)</f>
        <v>VENTA DE ALIMENTO</v>
      </c>
      <c r="N858" s="12" t="str">
        <f aca="false">VLOOKUP(M858,RECATALOGANDO!B:C,2,0)</f>
        <v>VENTA DE PRODUCTO</v>
      </c>
      <c r="O858" s="2" t="s">
        <v>78</v>
      </c>
    </row>
    <row r="859" customFormat="false" ht="13.8" hidden="false" customHeight="false" outlineLevel="0" collapsed="false">
      <c r="A859" s="8" t="n">
        <v>45416</v>
      </c>
      <c r="B859" s="9" t="n">
        <f aca="false">DAY(A859)</f>
        <v>4</v>
      </c>
      <c r="C859" s="9" t="n">
        <f aca="false">MONTH(A859)</f>
        <v>5</v>
      </c>
      <c r="D859" s="9" t="n">
        <f aca="false">YEAR(A859)</f>
        <v>2024</v>
      </c>
      <c r="E859" s="9" t="n">
        <f aca="false">WEEKDAY(A859,2)</f>
        <v>6</v>
      </c>
      <c r="F859" s="10" t="n">
        <f aca="false">WEEKNUM(A859,2) - WEEKNUM(DATE(YEAR(A859),MONTH(A859),1),2) + 1</f>
        <v>1</v>
      </c>
      <c r="G859" s="10"/>
      <c r="H859" s="11" t="n">
        <v>279.81</v>
      </c>
      <c r="I859" s="12" t="s">
        <v>15</v>
      </c>
      <c r="J859" s="12" t="s">
        <v>49</v>
      </c>
      <c r="K859" s="12"/>
      <c r="L859" s="9" t="n">
        <f aca="false">L858+H859</f>
        <v>2353.81</v>
      </c>
      <c r="M859" s="10" t="str">
        <f aca="false">VLOOKUP(J859,RECATALOGANDO!A:C,2,0)</f>
        <v>SERVICIO DE GROOMING</v>
      </c>
      <c r="N859" s="12" t="str">
        <f aca="false">VLOOKUP(M859,RECATALOGANDO!B:C,2,0)</f>
        <v>VENTA DE SERVICIO</v>
      </c>
      <c r="O859" s="2" t="s">
        <v>78</v>
      </c>
    </row>
    <row r="860" customFormat="false" ht="13.8" hidden="false" customHeight="false" outlineLevel="0" collapsed="false">
      <c r="A860" s="8" t="n">
        <v>45416</v>
      </c>
      <c r="B860" s="9" t="n">
        <f aca="false">DAY(A860)</f>
        <v>4</v>
      </c>
      <c r="C860" s="9" t="n">
        <f aca="false">MONTH(A860)</f>
        <v>5</v>
      </c>
      <c r="D860" s="9" t="n">
        <f aca="false">YEAR(A860)</f>
        <v>2024</v>
      </c>
      <c r="E860" s="9" t="n">
        <f aca="false">WEEKDAY(A860,2)</f>
        <v>6</v>
      </c>
      <c r="F860" s="10" t="n">
        <f aca="false">WEEKNUM(A860,2) - WEEKNUM(DATE(YEAR(A860),MONTH(A860),1),2) + 1</f>
        <v>1</v>
      </c>
      <c r="G860" s="10"/>
      <c r="H860" s="11" t="n">
        <v>1091</v>
      </c>
      <c r="I860" s="12" t="s">
        <v>15</v>
      </c>
      <c r="J860" s="12" t="s">
        <v>59</v>
      </c>
      <c r="K860" s="12"/>
      <c r="L860" s="9" t="n">
        <f aca="false">L859+H860</f>
        <v>3444.81</v>
      </c>
      <c r="M860" s="10" t="str">
        <f aca="false">VLOOKUP(J860,RECATALOGANDO!A:C,2,0)</f>
        <v>SERVICIO DE PENSION</v>
      </c>
      <c r="N860" s="12" t="str">
        <f aca="false">VLOOKUP(M860,RECATALOGANDO!B:C,2,0)</f>
        <v>VENTA DE SERVICIO</v>
      </c>
      <c r="O860" s="2" t="s">
        <v>78</v>
      </c>
    </row>
    <row r="861" customFormat="false" ht="13.8" hidden="false" customHeight="false" outlineLevel="0" collapsed="false">
      <c r="A861" s="8" t="n">
        <v>45417</v>
      </c>
      <c r="B861" s="9" t="n">
        <f aca="false">DAY(A861)</f>
        <v>5</v>
      </c>
      <c r="C861" s="9" t="n">
        <f aca="false">MONTH(A861)</f>
        <v>5</v>
      </c>
      <c r="D861" s="9" t="n">
        <f aca="false">YEAR(A861)</f>
        <v>2024</v>
      </c>
      <c r="E861" s="9" t="n">
        <f aca="false">WEEKDAY(A861,2)</f>
        <v>7</v>
      </c>
      <c r="F861" s="10" t="n">
        <f aca="false">WEEKNUM(A861,2) - WEEKNUM(DATE(YEAR(A861),MONTH(A861),1),2) + 1</f>
        <v>1</v>
      </c>
      <c r="G861" s="10"/>
      <c r="H861" s="11" t="n">
        <v>2768.36</v>
      </c>
      <c r="I861" s="12" t="s">
        <v>15</v>
      </c>
      <c r="J861" s="12" t="s">
        <v>44</v>
      </c>
      <c r="K861" s="12"/>
      <c r="L861" s="9" t="n">
        <f aca="false">L860+H861</f>
        <v>6213.17</v>
      </c>
      <c r="M861" s="10" t="str">
        <f aca="false">VLOOKUP(J861,RECATALOGANDO!A:C,2,0)</f>
        <v>HONORARIOS MEDICOS</v>
      </c>
      <c r="N861" s="12" t="str">
        <f aca="false">VLOOKUP(M861,RECATALOGANDO!B:C,2,0)</f>
        <v>VENTA DE SERVICIO</v>
      </c>
      <c r="O861" s="2" t="s">
        <v>78</v>
      </c>
    </row>
    <row r="862" customFormat="false" ht="13.8" hidden="false" customHeight="false" outlineLevel="0" collapsed="false">
      <c r="A862" s="8" t="n">
        <v>45418</v>
      </c>
      <c r="B862" s="9" t="n">
        <f aca="false">DAY(A862)</f>
        <v>6</v>
      </c>
      <c r="C862" s="9" t="n">
        <f aca="false">MONTH(A862)</f>
        <v>5</v>
      </c>
      <c r="D862" s="9" t="n">
        <f aca="false">YEAR(A862)</f>
        <v>2024</v>
      </c>
      <c r="E862" s="9" t="n">
        <f aca="false">WEEKDAY(A862,2)</f>
        <v>1</v>
      </c>
      <c r="F862" s="10" t="n">
        <f aca="false">WEEKNUM(A862,2) - WEEKNUM(DATE(YEAR(A862),MONTH(A862),1),2) + 1</f>
        <v>2</v>
      </c>
      <c r="G862" s="10"/>
      <c r="H862" s="11" t="n">
        <v>800</v>
      </c>
      <c r="I862" s="12" t="s">
        <v>20</v>
      </c>
      <c r="J862" s="12" t="s">
        <v>55</v>
      </c>
      <c r="K862" s="12"/>
      <c r="L862" s="9" t="n">
        <f aca="false">L861+H862</f>
        <v>7013.17</v>
      </c>
      <c r="M862" s="10" t="str">
        <f aca="false">VLOOKUP(J862,RECATALOGANDO!A:C,2,0)</f>
        <v>VENTA DE MEDICAMENTO</v>
      </c>
      <c r="N862" s="12" t="str">
        <f aca="false">VLOOKUP(M862,RECATALOGANDO!B:C,2,0)</f>
        <v>VENTA DE PRODUCTO</v>
      </c>
      <c r="O862" s="2" t="s">
        <v>78</v>
      </c>
    </row>
    <row r="863" customFormat="false" ht="13.8" hidden="false" customHeight="false" outlineLevel="0" collapsed="false">
      <c r="A863" s="8" t="n">
        <v>45418</v>
      </c>
      <c r="B863" s="9" t="n">
        <f aca="false">DAY(A863)</f>
        <v>6</v>
      </c>
      <c r="C863" s="9" t="n">
        <f aca="false">MONTH(A863)</f>
        <v>5</v>
      </c>
      <c r="D863" s="9" t="n">
        <f aca="false">YEAR(A863)</f>
        <v>2024</v>
      </c>
      <c r="E863" s="9" t="n">
        <f aca="false">WEEKDAY(A863,2)</f>
        <v>1</v>
      </c>
      <c r="F863" s="10" t="n">
        <f aca="false">WEEKNUM(A863,2) - WEEKNUM(DATE(YEAR(A863),MONTH(A863),1),2) + 1</f>
        <v>2</v>
      </c>
      <c r="G863" s="10"/>
      <c r="H863" s="11" t="n">
        <v>1114</v>
      </c>
      <c r="I863" s="12" t="s">
        <v>20</v>
      </c>
      <c r="J863" s="12" t="s">
        <v>45</v>
      </c>
      <c r="K863" s="12"/>
      <c r="L863" s="9" t="n">
        <f aca="false">L862+H863</f>
        <v>8127.17</v>
      </c>
      <c r="M863" s="10" t="str">
        <f aca="false">VLOOKUP(J863,RECATALOGANDO!A:C,2,0)</f>
        <v>VENTA DE MEDICAMENTO</v>
      </c>
      <c r="N863" s="12" t="str">
        <f aca="false">VLOOKUP(M863,RECATALOGANDO!B:C,2,0)</f>
        <v>VENTA DE PRODUCTO</v>
      </c>
      <c r="O863" s="2" t="s">
        <v>78</v>
      </c>
    </row>
    <row r="864" customFormat="false" ht="13.8" hidden="false" customHeight="false" outlineLevel="0" collapsed="false">
      <c r="A864" s="8" t="n">
        <v>45418</v>
      </c>
      <c r="B864" s="9" t="n">
        <f aca="false">DAY(A864)</f>
        <v>6</v>
      </c>
      <c r="C864" s="9" t="n">
        <f aca="false">MONTH(A864)</f>
        <v>5</v>
      </c>
      <c r="D864" s="9" t="n">
        <f aca="false">YEAR(A864)</f>
        <v>2024</v>
      </c>
      <c r="E864" s="9" t="n">
        <f aca="false">WEEKDAY(A864,2)</f>
        <v>1</v>
      </c>
      <c r="F864" s="10" t="n">
        <f aca="false">WEEKNUM(A864,2) - WEEKNUM(DATE(YEAR(A864),MONTH(A864),1),2) + 1</f>
        <v>2</v>
      </c>
      <c r="G864" s="10"/>
      <c r="H864" s="11" t="n">
        <v>180</v>
      </c>
      <c r="I864" s="12" t="s">
        <v>20</v>
      </c>
      <c r="J864" s="12" t="s">
        <v>69</v>
      </c>
      <c r="K864" s="12"/>
      <c r="L864" s="9" t="n">
        <f aca="false">L863+H864</f>
        <v>8307.17</v>
      </c>
      <c r="M864" s="10" t="str">
        <f aca="false">VLOOKUP(J864,RECATALOGANDO!A:C,2,0)</f>
        <v>SERVICIO DE GROOMING</v>
      </c>
      <c r="N864" s="12" t="str">
        <f aca="false">VLOOKUP(M864,RECATALOGANDO!B:C,2,0)</f>
        <v>VENTA DE SERVICIO</v>
      </c>
      <c r="O864" s="2" t="s">
        <v>78</v>
      </c>
    </row>
    <row r="865" customFormat="false" ht="13.8" hidden="false" customHeight="false" outlineLevel="0" collapsed="false">
      <c r="A865" s="8" t="n">
        <v>45418</v>
      </c>
      <c r="B865" s="9" t="n">
        <f aca="false">DAY(A865)</f>
        <v>6</v>
      </c>
      <c r="C865" s="9" t="n">
        <f aca="false">MONTH(A865)</f>
        <v>5</v>
      </c>
      <c r="D865" s="9" t="n">
        <f aca="false">YEAR(A865)</f>
        <v>2024</v>
      </c>
      <c r="E865" s="9" t="n">
        <f aca="false">WEEKDAY(A865,2)</f>
        <v>1</v>
      </c>
      <c r="F865" s="10" t="n">
        <f aca="false">WEEKNUM(A865,2) - WEEKNUM(DATE(YEAR(A865),MONTH(A865),1),2) + 1</f>
        <v>2</v>
      </c>
      <c r="G865" s="10"/>
      <c r="H865" s="11" t="n">
        <v>1610</v>
      </c>
      <c r="I865" s="12" t="s">
        <v>20</v>
      </c>
      <c r="J865" s="8" t="s">
        <v>44</v>
      </c>
      <c r="K865" s="12"/>
      <c r="L865" s="9" t="n">
        <f aca="false">L864+H865</f>
        <v>9917.17</v>
      </c>
      <c r="M865" s="10" t="str">
        <f aca="false">VLOOKUP(J865,RECATALOGANDO!A:C,2,0)</f>
        <v>HONORARIOS MEDICOS</v>
      </c>
      <c r="N865" s="12" t="str">
        <f aca="false">VLOOKUP(M865,RECATALOGANDO!B:C,2,0)</f>
        <v>VENTA DE SERVICIO</v>
      </c>
      <c r="O865" s="2" t="s">
        <v>78</v>
      </c>
    </row>
    <row r="866" customFormat="false" ht="13.8" hidden="false" customHeight="false" outlineLevel="0" collapsed="false">
      <c r="A866" s="8" t="n">
        <v>45418</v>
      </c>
      <c r="B866" s="9" t="n">
        <f aca="false">DAY(A866)</f>
        <v>6</v>
      </c>
      <c r="C866" s="9" t="n">
        <f aca="false">MONTH(A866)</f>
        <v>5</v>
      </c>
      <c r="D866" s="9" t="n">
        <f aca="false">YEAR(A866)</f>
        <v>2024</v>
      </c>
      <c r="E866" s="9" t="n">
        <f aca="false">WEEKDAY(A866,2)</f>
        <v>1</v>
      </c>
      <c r="F866" s="10" t="n">
        <f aca="false">WEEKNUM(A866,2) - WEEKNUM(DATE(YEAR(A866),MONTH(A866),1),2) + 1</f>
        <v>2</v>
      </c>
      <c r="G866" s="10"/>
      <c r="H866" s="11" t="n">
        <v>2800</v>
      </c>
      <c r="I866" s="12" t="s">
        <v>20</v>
      </c>
      <c r="J866" s="22" t="s">
        <v>54</v>
      </c>
      <c r="K866" s="12"/>
      <c r="L866" s="9" t="n">
        <f aca="false">L865+H866</f>
        <v>12717.17</v>
      </c>
      <c r="M866" s="10" t="str">
        <f aca="false">VLOOKUP(J866,RECATALOGANDO!A:C,2,0)</f>
        <v>SERVICIO DE LABORATORIO</v>
      </c>
      <c r="N866" s="12" t="str">
        <f aca="false">VLOOKUP(M866,RECATALOGANDO!B:C,2,0)</f>
        <v>VENTA DE SERVICIO</v>
      </c>
      <c r="O866" s="2" t="s">
        <v>78</v>
      </c>
    </row>
    <row r="867" customFormat="false" ht="13.8" hidden="false" customHeight="false" outlineLevel="0" collapsed="false">
      <c r="A867" s="8" t="n">
        <v>45419</v>
      </c>
      <c r="B867" s="9" t="n">
        <f aca="false">DAY(A867)</f>
        <v>7</v>
      </c>
      <c r="C867" s="9" t="n">
        <f aca="false">MONTH(A867)</f>
        <v>5</v>
      </c>
      <c r="D867" s="9" t="n">
        <f aca="false">YEAR(A867)</f>
        <v>2024</v>
      </c>
      <c r="E867" s="9" t="n">
        <f aca="false">WEEKDAY(A867,2)</f>
        <v>2</v>
      </c>
      <c r="F867" s="10" t="n">
        <f aca="false">WEEKNUM(A867,2) - WEEKNUM(DATE(YEAR(A867),MONTH(A867),1),2) + 1</f>
        <v>2</v>
      </c>
      <c r="G867" s="10"/>
      <c r="H867" s="11" t="n">
        <v>900</v>
      </c>
      <c r="I867" s="12" t="s">
        <v>20</v>
      </c>
      <c r="J867" s="12" t="s">
        <v>51</v>
      </c>
      <c r="K867" s="12"/>
      <c r="L867" s="9" t="n">
        <f aca="false">L866+H867</f>
        <v>13617.17</v>
      </c>
      <c r="M867" s="10" t="str">
        <f aca="false">VLOOKUP(J867,RECATALOGANDO!A:C,2,0)</f>
        <v>VENTA DE ALIMENTO</v>
      </c>
      <c r="N867" s="12" t="str">
        <f aca="false">VLOOKUP(M867,RECATALOGANDO!B:C,2,0)</f>
        <v>VENTA DE PRODUCTO</v>
      </c>
      <c r="O867" s="2" t="s">
        <v>78</v>
      </c>
    </row>
    <row r="868" customFormat="false" ht="13.8" hidden="false" customHeight="false" outlineLevel="0" collapsed="false">
      <c r="A868" s="8" t="n">
        <v>45419</v>
      </c>
      <c r="B868" s="9" t="n">
        <f aca="false">DAY(A868)</f>
        <v>7</v>
      </c>
      <c r="C868" s="9" t="n">
        <f aca="false">MONTH(A868)</f>
        <v>5</v>
      </c>
      <c r="D868" s="9" t="n">
        <f aca="false">YEAR(A868)</f>
        <v>2024</v>
      </c>
      <c r="E868" s="9" t="n">
        <f aca="false">WEEKDAY(A868,2)</f>
        <v>2</v>
      </c>
      <c r="F868" s="10" t="n">
        <f aca="false">WEEKNUM(A868,2) - WEEKNUM(DATE(YEAR(A868),MONTH(A868),1),2) + 1</f>
        <v>2</v>
      </c>
      <c r="G868" s="10"/>
      <c r="H868" s="11" t="n">
        <v>1830</v>
      </c>
      <c r="I868" s="12" t="s">
        <v>20</v>
      </c>
      <c r="J868" s="12" t="s">
        <v>51</v>
      </c>
      <c r="K868" s="12"/>
      <c r="L868" s="9" t="n">
        <f aca="false">L867+H868</f>
        <v>15447.17</v>
      </c>
      <c r="M868" s="10" t="str">
        <f aca="false">VLOOKUP(J868,RECATALOGANDO!A:C,2,0)</f>
        <v>VENTA DE ALIMENTO</v>
      </c>
      <c r="N868" s="12" t="str">
        <f aca="false">VLOOKUP(M868,RECATALOGANDO!B:C,2,0)</f>
        <v>VENTA DE PRODUCTO</v>
      </c>
      <c r="O868" s="2" t="s">
        <v>78</v>
      </c>
    </row>
    <row r="869" customFormat="false" ht="13.8" hidden="false" customHeight="false" outlineLevel="0" collapsed="false">
      <c r="A869" s="8" t="n">
        <v>45419</v>
      </c>
      <c r="B869" s="9" t="n">
        <f aca="false">DAY(A869)</f>
        <v>7</v>
      </c>
      <c r="C869" s="9" t="n">
        <f aca="false">MONTH(A869)</f>
        <v>5</v>
      </c>
      <c r="D869" s="9" t="n">
        <f aca="false">YEAR(A869)</f>
        <v>2024</v>
      </c>
      <c r="E869" s="9" t="n">
        <f aca="false">WEEKDAY(A869,2)</f>
        <v>2</v>
      </c>
      <c r="F869" s="10" t="n">
        <f aca="false">WEEKNUM(A869,2) - WEEKNUM(DATE(YEAR(A869),MONTH(A869),1),2) + 1</f>
        <v>2</v>
      </c>
      <c r="G869" s="10"/>
      <c r="H869" s="11" t="n">
        <v>200</v>
      </c>
      <c r="I869" s="12" t="s">
        <v>20</v>
      </c>
      <c r="J869" s="12" t="s">
        <v>69</v>
      </c>
      <c r="K869" s="12"/>
      <c r="L869" s="9" t="n">
        <f aca="false">L868+H869</f>
        <v>15647.17</v>
      </c>
      <c r="M869" s="10" t="str">
        <f aca="false">VLOOKUP(J869,RECATALOGANDO!A:C,2,0)</f>
        <v>SERVICIO DE GROOMING</v>
      </c>
      <c r="N869" s="12" t="str">
        <f aca="false">VLOOKUP(M869,RECATALOGANDO!B:C,2,0)</f>
        <v>VENTA DE SERVICIO</v>
      </c>
      <c r="O869" s="2" t="s">
        <v>78</v>
      </c>
    </row>
    <row r="870" customFormat="false" ht="13.8" hidden="false" customHeight="false" outlineLevel="0" collapsed="false">
      <c r="A870" s="8" t="n">
        <v>45419</v>
      </c>
      <c r="B870" s="9" t="n">
        <f aca="false">DAY(A870)</f>
        <v>7</v>
      </c>
      <c r="C870" s="9" t="n">
        <f aca="false">MONTH(A870)</f>
        <v>5</v>
      </c>
      <c r="D870" s="9" t="n">
        <f aca="false">YEAR(A870)</f>
        <v>2024</v>
      </c>
      <c r="E870" s="9" t="n">
        <f aca="false">WEEKDAY(A870,2)</f>
        <v>2</v>
      </c>
      <c r="F870" s="10" t="n">
        <f aca="false">WEEKNUM(A870,2) - WEEKNUM(DATE(YEAR(A870),MONTH(A870),1),2) + 1</f>
        <v>2</v>
      </c>
      <c r="G870" s="10"/>
      <c r="H870" s="11" t="n">
        <v>2230</v>
      </c>
      <c r="I870" s="12" t="s">
        <v>20</v>
      </c>
      <c r="J870" s="12" t="s">
        <v>44</v>
      </c>
      <c r="K870" s="12"/>
      <c r="L870" s="9" t="n">
        <f aca="false">L869+H870</f>
        <v>17877.17</v>
      </c>
      <c r="M870" s="10" t="str">
        <f aca="false">VLOOKUP(J870,RECATALOGANDO!A:C,2,0)</f>
        <v>HONORARIOS MEDICOS</v>
      </c>
      <c r="N870" s="12" t="str">
        <f aca="false">VLOOKUP(M870,RECATALOGANDO!B:C,2,0)</f>
        <v>VENTA DE SERVICIO</v>
      </c>
      <c r="O870" s="2" t="s">
        <v>78</v>
      </c>
    </row>
    <row r="871" customFormat="false" ht="13.8" hidden="false" customHeight="false" outlineLevel="0" collapsed="false">
      <c r="A871" s="8" t="n">
        <v>45420</v>
      </c>
      <c r="B871" s="9" t="n">
        <f aca="false">DAY(A871)</f>
        <v>8</v>
      </c>
      <c r="C871" s="9" t="n">
        <f aca="false">MONTH(A871)</f>
        <v>5</v>
      </c>
      <c r="D871" s="9" t="n">
        <f aca="false">YEAR(A871)</f>
        <v>2024</v>
      </c>
      <c r="E871" s="9" t="n">
        <f aca="false">WEEKDAY(A871,2)</f>
        <v>3</v>
      </c>
      <c r="F871" s="10" t="n">
        <f aca="false">WEEKNUM(A871,2) - WEEKNUM(DATE(YEAR(A871),MONTH(A871),1),2) + 1</f>
        <v>2</v>
      </c>
      <c r="G871" s="10"/>
      <c r="H871" s="11" t="n">
        <v>470</v>
      </c>
      <c r="I871" s="12" t="s">
        <v>20</v>
      </c>
      <c r="J871" s="12" t="s">
        <v>51</v>
      </c>
      <c r="K871" s="12"/>
      <c r="L871" s="9" t="n">
        <f aca="false">L870+H871</f>
        <v>18347.17</v>
      </c>
      <c r="M871" s="10" t="str">
        <f aca="false">VLOOKUP(J871,RECATALOGANDO!A:C,2,0)</f>
        <v>VENTA DE ALIMENTO</v>
      </c>
      <c r="N871" s="12" t="str">
        <f aca="false">VLOOKUP(M871,RECATALOGANDO!B:C,2,0)</f>
        <v>VENTA DE PRODUCTO</v>
      </c>
      <c r="O871" s="2" t="s">
        <v>78</v>
      </c>
    </row>
    <row r="872" customFormat="false" ht="13.8" hidden="false" customHeight="false" outlineLevel="0" collapsed="false">
      <c r="A872" s="8" t="n">
        <v>45420</v>
      </c>
      <c r="B872" s="9" t="n">
        <f aca="false">DAY(A872)</f>
        <v>8</v>
      </c>
      <c r="C872" s="9" t="n">
        <f aca="false">MONTH(A872)</f>
        <v>5</v>
      </c>
      <c r="D872" s="9" t="n">
        <f aca="false">YEAR(A872)</f>
        <v>2024</v>
      </c>
      <c r="E872" s="9" t="n">
        <f aca="false">WEEKDAY(A872,2)</f>
        <v>3</v>
      </c>
      <c r="F872" s="10" t="n">
        <f aca="false">WEEKNUM(A872,2) - WEEKNUM(DATE(YEAR(A872),MONTH(A872),1),2) + 1</f>
        <v>2</v>
      </c>
      <c r="G872" s="10"/>
      <c r="H872" s="11" t="n">
        <v>245</v>
      </c>
      <c r="I872" s="12" t="s">
        <v>15</v>
      </c>
      <c r="J872" s="12" t="s">
        <v>49</v>
      </c>
      <c r="K872" s="12"/>
      <c r="L872" s="9" t="n">
        <f aca="false">L871+H872</f>
        <v>18592.17</v>
      </c>
      <c r="M872" s="10" t="str">
        <f aca="false">VLOOKUP(J872,RECATALOGANDO!A:C,2,0)</f>
        <v>SERVICIO DE GROOMING</v>
      </c>
      <c r="N872" s="12" t="str">
        <f aca="false">VLOOKUP(M872,RECATALOGANDO!B:C,2,0)</f>
        <v>VENTA DE SERVICIO</v>
      </c>
      <c r="O872" s="2" t="s">
        <v>78</v>
      </c>
    </row>
    <row r="873" customFormat="false" ht="13.8" hidden="false" customHeight="false" outlineLevel="0" collapsed="false">
      <c r="A873" s="8" t="n">
        <v>45420</v>
      </c>
      <c r="B873" s="9" t="n">
        <f aca="false">DAY(A873)</f>
        <v>8</v>
      </c>
      <c r="C873" s="9" t="n">
        <f aca="false">MONTH(A873)</f>
        <v>5</v>
      </c>
      <c r="D873" s="9" t="n">
        <f aca="false">YEAR(A873)</f>
        <v>2024</v>
      </c>
      <c r="E873" s="9" t="n">
        <f aca="false">WEEKDAY(A873,2)</f>
        <v>3</v>
      </c>
      <c r="F873" s="10" t="n">
        <f aca="false">WEEKNUM(A873,2) - WEEKNUM(DATE(YEAR(A873),MONTH(A873),1),2) + 1</f>
        <v>2</v>
      </c>
      <c r="G873" s="10"/>
      <c r="H873" s="11" t="n">
        <v>770</v>
      </c>
      <c r="I873" s="12" t="s">
        <v>20</v>
      </c>
      <c r="J873" s="12" t="s">
        <v>44</v>
      </c>
      <c r="K873" s="12"/>
      <c r="L873" s="9" t="n">
        <f aca="false">L872+H873</f>
        <v>19362.17</v>
      </c>
      <c r="M873" s="10" t="str">
        <f aca="false">VLOOKUP(J873,RECATALOGANDO!A:C,2,0)</f>
        <v>HONORARIOS MEDICOS</v>
      </c>
      <c r="N873" s="12" t="str">
        <f aca="false">VLOOKUP(M873,RECATALOGANDO!B:C,2,0)</f>
        <v>VENTA DE SERVICIO</v>
      </c>
      <c r="O873" s="2" t="s">
        <v>78</v>
      </c>
    </row>
    <row r="874" customFormat="false" ht="13.8" hidden="false" customHeight="false" outlineLevel="0" collapsed="false">
      <c r="A874" s="8" t="n">
        <v>45422</v>
      </c>
      <c r="B874" s="9" t="n">
        <f aca="false">DAY(A874)</f>
        <v>10</v>
      </c>
      <c r="C874" s="9" t="n">
        <f aca="false">MONTH(A874)</f>
        <v>5</v>
      </c>
      <c r="D874" s="9" t="n">
        <f aca="false">YEAR(A874)</f>
        <v>2024</v>
      </c>
      <c r="E874" s="9" t="n">
        <f aca="false">WEEKDAY(A874,2)</f>
        <v>5</v>
      </c>
      <c r="F874" s="10" t="n">
        <f aca="false">WEEKNUM(A874,2) - WEEKNUM(DATE(YEAR(A874),MONTH(A874),1),2) + 1</f>
        <v>2</v>
      </c>
      <c r="G874" s="10"/>
      <c r="H874" s="11" t="n">
        <v>160</v>
      </c>
      <c r="I874" s="12" t="s">
        <v>15</v>
      </c>
      <c r="J874" s="12" t="s">
        <v>44</v>
      </c>
      <c r="K874" s="12"/>
      <c r="L874" s="9" t="n">
        <f aca="false">L873+H874</f>
        <v>19522.17</v>
      </c>
      <c r="M874" s="10" t="str">
        <f aca="false">VLOOKUP(J874,RECATALOGANDO!A:C,2,0)</f>
        <v>HONORARIOS MEDICOS</v>
      </c>
      <c r="N874" s="12" t="str">
        <f aca="false">VLOOKUP(M874,RECATALOGANDO!B:C,2,0)</f>
        <v>VENTA DE SERVICIO</v>
      </c>
      <c r="O874" s="2" t="s">
        <v>78</v>
      </c>
    </row>
    <row r="875" customFormat="false" ht="13.8" hidden="false" customHeight="false" outlineLevel="0" collapsed="false">
      <c r="A875" s="8" t="n">
        <v>45422</v>
      </c>
      <c r="B875" s="9" t="n">
        <f aca="false">DAY(A875)</f>
        <v>10</v>
      </c>
      <c r="C875" s="9" t="n">
        <f aca="false">MONTH(A875)</f>
        <v>5</v>
      </c>
      <c r="D875" s="9" t="n">
        <f aca="false">YEAR(A875)</f>
        <v>2024</v>
      </c>
      <c r="E875" s="9" t="n">
        <f aca="false">WEEKDAY(A875,2)</f>
        <v>5</v>
      </c>
      <c r="F875" s="10" t="n">
        <f aca="false">WEEKNUM(A875,2) - WEEKNUM(DATE(YEAR(A875),MONTH(A875),1),2) + 1</f>
        <v>2</v>
      </c>
      <c r="G875" s="10"/>
      <c r="H875" s="11" t="n">
        <v>200</v>
      </c>
      <c r="I875" s="12" t="s">
        <v>20</v>
      </c>
      <c r="J875" s="12" t="s">
        <v>49</v>
      </c>
      <c r="K875" s="12"/>
      <c r="L875" s="9" t="n">
        <f aca="false">L874+H875</f>
        <v>19722.17</v>
      </c>
      <c r="M875" s="10" t="str">
        <f aca="false">VLOOKUP(J875,RECATALOGANDO!A:C,2,0)</f>
        <v>SERVICIO DE GROOMING</v>
      </c>
      <c r="N875" s="12" t="str">
        <f aca="false">VLOOKUP(M875,RECATALOGANDO!B:C,2,0)</f>
        <v>VENTA DE SERVICIO</v>
      </c>
      <c r="O875" s="2" t="s">
        <v>78</v>
      </c>
    </row>
    <row r="876" customFormat="false" ht="13.8" hidden="false" customHeight="false" outlineLevel="0" collapsed="false">
      <c r="A876" s="8" t="n">
        <v>45422</v>
      </c>
      <c r="B876" s="9" t="n">
        <f aca="false">DAY(A876)</f>
        <v>10</v>
      </c>
      <c r="C876" s="9" t="n">
        <f aca="false">MONTH(A876)</f>
        <v>5</v>
      </c>
      <c r="D876" s="9" t="n">
        <f aca="false">YEAR(A876)</f>
        <v>2024</v>
      </c>
      <c r="E876" s="9" t="n">
        <f aca="false">WEEKDAY(A876,2)</f>
        <v>5</v>
      </c>
      <c r="F876" s="10" t="n">
        <f aca="false">WEEKNUM(A876,2) - WEEKNUM(DATE(YEAR(A876),MONTH(A876),1),2) + 1</f>
        <v>2</v>
      </c>
      <c r="G876" s="10"/>
      <c r="H876" s="11" t="n">
        <v>643</v>
      </c>
      <c r="I876" s="12" t="s">
        <v>20</v>
      </c>
      <c r="J876" s="12" t="s">
        <v>49</v>
      </c>
      <c r="K876" s="12"/>
      <c r="L876" s="9" t="n">
        <f aca="false">L875+H876</f>
        <v>20365.17</v>
      </c>
      <c r="M876" s="10" t="str">
        <f aca="false">VLOOKUP(J876,RECATALOGANDO!A:C,2,0)</f>
        <v>SERVICIO DE GROOMING</v>
      </c>
      <c r="N876" s="12" t="str">
        <f aca="false">VLOOKUP(M876,RECATALOGANDO!B:C,2,0)</f>
        <v>VENTA DE SERVICIO</v>
      </c>
      <c r="O876" s="2" t="s">
        <v>78</v>
      </c>
    </row>
    <row r="877" customFormat="false" ht="13.8" hidden="false" customHeight="false" outlineLevel="0" collapsed="false">
      <c r="A877" s="8" t="n">
        <v>45422</v>
      </c>
      <c r="B877" s="9" t="n">
        <f aca="false">DAY(A877)</f>
        <v>10</v>
      </c>
      <c r="C877" s="9" t="n">
        <f aca="false">MONTH(A877)</f>
        <v>5</v>
      </c>
      <c r="D877" s="9" t="n">
        <f aca="false">YEAR(A877)</f>
        <v>2024</v>
      </c>
      <c r="E877" s="9" t="n">
        <f aca="false">WEEKDAY(A877,2)</f>
        <v>5</v>
      </c>
      <c r="F877" s="10" t="n">
        <f aca="false">WEEKNUM(A877,2) - WEEKNUM(DATE(YEAR(A877),MONTH(A877),1),2) + 1</f>
        <v>2</v>
      </c>
      <c r="G877" s="10"/>
      <c r="H877" s="11" t="n">
        <v>1500</v>
      </c>
      <c r="I877" s="12" t="s">
        <v>15</v>
      </c>
      <c r="J877" s="12" t="s">
        <v>54</v>
      </c>
      <c r="K877" s="12"/>
      <c r="L877" s="9" t="n">
        <f aca="false">L876+H877</f>
        <v>21865.17</v>
      </c>
      <c r="M877" s="10" t="str">
        <f aca="false">VLOOKUP(J877,RECATALOGANDO!A:C,2,0)</f>
        <v>SERVICIO DE LABORATORIO</v>
      </c>
      <c r="N877" s="12" t="str">
        <f aca="false">VLOOKUP(M877,RECATALOGANDO!B:C,2,0)</f>
        <v>VENTA DE SERVICIO</v>
      </c>
      <c r="O877" s="2" t="s">
        <v>78</v>
      </c>
    </row>
    <row r="878" customFormat="false" ht="13.8" hidden="false" customHeight="false" outlineLevel="0" collapsed="false">
      <c r="A878" s="8" t="n">
        <v>45423</v>
      </c>
      <c r="B878" s="9" t="n">
        <f aca="false">DAY(A878)</f>
        <v>11</v>
      </c>
      <c r="C878" s="9" t="n">
        <f aca="false">MONTH(A878)</f>
        <v>5</v>
      </c>
      <c r="D878" s="9" t="n">
        <f aca="false">YEAR(A878)</f>
        <v>2024</v>
      </c>
      <c r="E878" s="9" t="n">
        <f aca="false">WEEKDAY(A878,2)</f>
        <v>6</v>
      </c>
      <c r="F878" s="10" t="n">
        <f aca="false">WEEKNUM(A878,2) - WEEKNUM(DATE(YEAR(A878),MONTH(A878),1),2) + 1</f>
        <v>2</v>
      </c>
      <c r="G878" s="10"/>
      <c r="H878" s="11" t="n">
        <v>1848.45</v>
      </c>
      <c r="I878" s="12" t="s">
        <v>15</v>
      </c>
      <c r="J878" s="22" t="s">
        <v>56</v>
      </c>
      <c r="K878" s="12"/>
      <c r="L878" s="9" t="n">
        <f aca="false">L877+H878</f>
        <v>23713.62</v>
      </c>
      <c r="M878" s="10" t="str">
        <f aca="false">VLOOKUP(J878,RECATALOGANDO!A:C,2,0)</f>
        <v>SERVICIO DE IMAGEN</v>
      </c>
      <c r="N878" s="12" t="str">
        <f aca="false">VLOOKUP(M878,RECATALOGANDO!B:C,2,0)</f>
        <v>VENTA DE SERVICIO</v>
      </c>
      <c r="O878" s="2" t="s">
        <v>78</v>
      </c>
    </row>
    <row r="879" customFormat="false" ht="13.8" hidden="false" customHeight="false" outlineLevel="0" collapsed="false">
      <c r="A879" s="8" t="n">
        <v>45425</v>
      </c>
      <c r="B879" s="9" t="n">
        <f aca="false">DAY(A879)</f>
        <v>13</v>
      </c>
      <c r="C879" s="9" t="n">
        <f aca="false">MONTH(A879)</f>
        <v>5</v>
      </c>
      <c r="D879" s="9" t="n">
        <f aca="false">YEAR(A879)</f>
        <v>2024</v>
      </c>
      <c r="E879" s="9" t="n">
        <f aca="false">WEEKDAY(A879,2)</f>
        <v>1</v>
      </c>
      <c r="F879" s="10" t="n">
        <f aca="false">WEEKNUM(A879,2) - WEEKNUM(DATE(YEAR(A879),MONTH(A879),1),2) + 1</f>
        <v>3</v>
      </c>
      <c r="G879" s="10"/>
      <c r="H879" s="11" t="n">
        <v>350</v>
      </c>
      <c r="I879" s="12" t="s">
        <v>20</v>
      </c>
      <c r="J879" s="12" t="s">
        <v>55</v>
      </c>
      <c r="K879" s="12"/>
      <c r="L879" s="9" t="n">
        <f aca="false">L878+H879</f>
        <v>24063.62</v>
      </c>
      <c r="M879" s="10" t="str">
        <f aca="false">VLOOKUP(J879,RECATALOGANDO!A:C,2,0)</f>
        <v>VENTA DE MEDICAMENTO</v>
      </c>
      <c r="N879" s="12" t="str">
        <f aca="false">VLOOKUP(M879,RECATALOGANDO!B:C,2,0)</f>
        <v>VENTA DE PRODUCTO</v>
      </c>
      <c r="O879" s="2" t="s">
        <v>78</v>
      </c>
    </row>
    <row r="880" customFormat="false" ht="13.8" hidden="false" customHeight="false" outlineLevel="0" collapsed="false">
      <c r="A880" s="8" t="n">
        <v>45425</v>
      </c>
      <c r="B880" s="9" t="n">
        <f aca="false">DAY(A880)</f>
        <v>13</v>
      </c>
      <c r="C880" s="9" t="n">
        <f aca="false">MONTH(A880)</f>
        <v>5</v>
      </c>
      <c r="D880" s="9" t="n">
        <f aca="false">YEAR(A880)</f>
        <v>2024</v>
      </c>
      <c r="E880" s="9" t="n">
        <f aca="false">WEEKDAY(A880,2)</f>
        <v>1</v>
      </c>
      <c r="F880" s="10" t="n">
        <f aca="false">WEEKNUM(A880,2) - WEEKNUM(DATE(YEAR(A880),MONTH(A880),1),2) + 1</f>
        <v>3</v>
      </c>
      <c r="G880" s="10"/>
      <c r="H880" s="11" t="n">
        <v>380</v>
      </c>
      <c r="I880" s="12" t="s">
        <v>20</v>
      </c>
      <c r="J880" s="12" t="s">
        <v>54</v>
      </c>
      <c r="K880" s="12"/>
      <c r="L880" s="9" t="n">
        <f aca="false">L879+H880</f>
        <v>24443.62</v>
      </c>
      <c r="M880" s="10" t="str">
        <f aca="false">VLOOKUP(J880,RECATALOGANDO!A:C,2,0)</f>
        <v>SERVICIO DE LABORATORIO</v>
      </c>
      <c r="N880" s="12" t="str">
        <f aca="false">VLOOKUP(M880,RECATALOGANDO!B:C,2,0)</f>
        <v>VENTA DE SERVICIO</v>
      </c>
      <c r="O880" s="2" t="s">
        <v>78</v>
      </c>
    </row>
    <row r="881" customFormat="false" ht="13.8" hidden="false" customHeight="false" outlineLevel="0" collapsed="false">
      <c r="A881" s="8" t="n">
        <v>45426</v>
      </c>
      <c r="B881" s="9" t="n">
        <f aca="false">DAY(A881)</f>
        <v>14</v>
      </c>
      <c r="C881" s="9" t="n">
        <f aca="false">MONTH(A881)</f>
        <v>5</v>
      </c>
      <c r="D881" s="9" t="n">
        <f aca="false">YEAR(A881)</f>
        <v>2024</v>
      </c>
      <c r="E881" s="9" t="n">
        <f aca="false">WEEKDAY(A881,2)</f>
        <v>2</v>
      </c>
      <c r="F881" s="10" t="n">
        <f aca="false">WEEKNUM(A881,2) - WEEKNUM(DATE(YEAR(A881),MONTH(A881),1),2) + 1</f>
        <v>3</v>
      </c>
      <c r="G881" s="10"/>
      <c r="H881" s="11" t="n">
        <v>336.34</v>
      </c>
      <c r="I881" s="12" t="s">
        <v>15</v>
      </c>
      <c r="J881" s="12" t="s">
        <v>49</v>
      </c>
      <c r="K881" s="12"/>
      <c r="L881" s="9" t="n">
        <f aca="false">L880+H881</f>
        <v>24779.96</v>
      </c>
      <c r="M881" s="10" t="str">
        <f aca="false">VLOOKUP(J881,RECATALOGANDO!A:C,2,0)</f>
        <v>SERVICIO DE GROOMING</v>
      </c>
      <c r="N881" s="12" t="str">
        <f aca="false">VLOOKUP(M881,RECATALOGANDO!B:C,2,0)</f>
        <v>VENTA DE SERVICIO</v>
      </c>
      <c r="O881" s="2" t="s">
        <v>78</v>
      </c>
    </row>
    <row r="882" customFormat="false" ht="13.8" hidden="false" customHeight="false" outlineLevel="0" collapsed="false">
      <c r="A882" s="8" t="n">
        <v>45427</v>
      </c>
      <c r="B882" s="9" t="n">
        <f aca="false">DAY(A882)</f>
        <v>15</v>
      </c>
      <c r="C882" s="9" t="n">
        <f aca="false">MONTH(A882)</f>
        <v>5</v>
      </c>
      <c r="D882" s="9" t="n">
        <f aca="false">YEAR(A882)</f>
        <v>2024</v>
      </c>
      <c r="E882" s="9" t="n">
        <f aca="false">WEEKDAY(A882,2)</f>
        <v>3</v>
      </c>
      <c r="F882" s="10" t="n">
        <f aca="false">WEEKNUM(A882,2) - WEEKNUM(DATE(YEAR(A882),MONTH(A882),1),2) + 1</f>
        <v>3</v>
      </c>
      <c r="G882" s="10" t="n">
        <v>1</v>
      </c>
      <c r="H882" s="11" t="n">
        <v>325</v>
      </c>
      <c r="I882" s="12" t="s">
        <v>20</v>
      </c>
      <c r="J882" s="12" t="s">
        <v>45</v>
      </c>
      <c r="K882" s="12"/>
      <c r="L882" s="9" t="n">
        <f aca="false">L881+H882</f>
        <v>25104.96</v>
      </c>
      <c r="M882" s="10" t="str">
        <f aca="false">VLOOKUP(J882,RECATALOGANDO!A:C,2,0)</f>
        <v>VENTA DE MEDICAMENTO</v>
      </c>
      <c r="N882" s="12" t="str">
        <f aca="false">VLOOKUP(M882,RECATALOGANDO!B:C,2,0)</f>
        <v>VENTA DE PRODUCTO</v>
      </c>
      <c r="O882" s="2" t="s">
        <v>78</v>
      </c>
    </row>
    <row r="883" customFormat="false" ht="13.8" hidden="false" customHeight="false" outlineLevel="0" collapsed="false">
      <c r="A883" s="8" t="n">
        <v>45428</v>
      </c>
      <c r="B883" s="9" t="n">
        <f aca="false">DAY(A883)</f>
        <v>16</v>
      </c>
      <c r="C883" s="9" t="n">
        <f aca="false">MONTH(A883)</f>
        <v>5</v>
      </c>
      <c r="D883" s="9" t="n">
        <f aca="false">YEAR(A883)</f>
        <v>2024</v>
      </c>
      <c r="E883" s="9" t="n">
        <f aca="false">WEEKDAY(A883,2)</f>
        <v>4</v>
      </c>
      <c r="F883" s="10" t="n">
        <f aca="false">WEEKNUM(A883,2) - WEEKNUM(DATE(YEAR(A883),MONTH(A883),1),2) + 1</f>
        <v>3</v>
      </c>
      <c r="G883" s="10"/>
      <c r="H883" s="11" t="n">
        <v>617.11</v>
      </c>
      <c r="I883" s="12" t="s">
        <v>15</v>
      </c>
      <c r="J883" s="12" t="s">
        <v>51</v>
      </c>
      <c r="K883" s="12"/>
      <c r="L883" s="9" t="n">
        <f aca="false">L882+H883</f>
        <v>25722.07</v>
      </c>
      <c r="M883" s="10" t="str">
        <f aca="false">VLOOKUP(J883,RECATALOGANDO!A:C,2,0)</f>
        <v>VENTA DE ALIMENTO</v>
      </c>
      <c r="N883" s="12" t="str">
        <f aca="false">VLOOKUP(M883,RECATALOGANDO!B:C,2,0)</f>
        <v>VENTA DE PRODUCTO</v>
      </c>
      <c r="O883" s="2" t="s">
        <v>78</v>
      </c>
    </row>
    <row r="884" customFormat="false" ht="13.8" hidden="false" customHeight="false" outlineLevel="0" collapsed="false">
      <c r="A884" s="8" t="n">
        <v>45428</v>
      </c>
      <c r="B884" s="9" t="n">
        <f aca="false">DAY(A884)</f>
        <v>16</v>
      </c>
      <c r="C884" s="9" t="n">
        <f aca="false">MONTH(A884)</f>
        <v>5</v>
      </c>
      <c r="D884" s="9" t="n">
        <f aca="false">YEAR(A884)</f>
        <v>2024</v>
      </c>
      <c r="E884" s="9" t="n">
        <f aca="false">WEEKDAY(A884,2)</f>
        <v>4</v>
      </c>
      <c r="F884" s="10" t="n">
        <f aca="false">WEEKNUM(A884,2) - WEEKNUM(DATE(YEAR(A884),MONTH(A884),1),2) + 1</f>
        <v>3</v>
      </c>
      <c r="G884" s="10"/>
      <c r="H884" s="11" t="n">
        <v>2334</v>
      </c>
      <c r="I884" s="12" t="s">
        <v>20</v>
      </c>
      <c r="J884" s="12" t="s">
        <v>51</v>
      </c>
      <c r="K884" s="12"/>
      <c r="L884" s="9" t="n">
        <f aca="false">L883+H884</f>
        <v>28056.07</v>
      </c>
      <c r="M884" s="10" t="str">
        <f aca="false">VLOOKUP(J884,RECATALOGANDO!A:C,2,0)</f>
        <v>VENTA DE ALIMENTO</v>
      </c>
      <c r="N884" s="12" t="str">
        <f aca="false">VLOOKUP(M884,RECATALOGANDO!B:C,2,0)</f>
        <v>VENTA DE PRODUCTO</v>
      </c>
      <c r="O884" s="2" t="s">
        <v>78</v>
      </c>
    </row>
    <row r="885" customFormat="false" ht="13.8" hidden="false" customHeight="false" outlineLevel="0" collapsed="false">
      <c r="A885" s="8" t="n">
        <v>45429</v>
      </c>
      <c r="B885" s="9" t="n">
        <f aca="false">DAY(A885)</f>
        <v>17</v>
      </c>
      <c r="C885" s="9" t="n">
        <f aca="false">MONTH(A885)</f>
        <v>5</v>
      </c>
      <c r="D885" s="9" t="n">
        <f aca="false">YEAR(A885)</f>
        <v>2024</v>
      </c>
      <c r="E885" s="9" t="n">
        <f aca="false">WEEKDAY(A885,2)</f>
        <v>5</v>
      </c>
      <c r="F885" s="10" t="n">
        <f aca="false">WEEKNUM(A885,2) - WEEKNUM(DATE(YEAR(A885),MONTH(A885),1),2) + 1</f>
        <v>3</v>
      </c>
      <c r="G885" s="10"/>
      <c r="H885" s="11" t="n">
        <v>250</v>
      </c>
      <c r="I885" s="12" t="s">
        <v>20</v>
      </c>
      <c r="J885" s="12" t="s">
        <v>49</v>
      </c>
      <c r="K885" s="12"/>
      <c r="L885" s="9" t="n">
        <f aca="false">L884+H885</f>
        <v>28306.07</v>
      </c>
      <c r="M885" s="10" t="str">
        <f aca="false">VLOOKUP(J885,RECATALOGANDO!A:C,2,0)</f>
        <v>SERVICIO DE GROOMING</v>
      </c>
      <c r="N885" s="12" t="str">
        <f aca="false">VLOOKUP(M885,RECATALOGANDO!B:C,2,0)</f>
        <v>VENTA DE SERVICIO</v>
      </c>
      <c r="O885" s="2" t="s">
        <v>78</v>
      </c>
    </row>
    <row r="886" customFormat="false" ht="13.8" hidden="false" customHeight="false" outlineLevel="0" collapsed="false">
      <c r="A886" s="8" t="n">
        <v>45430</v>
      </c>
      <c r="B886" s="9" t="n">
        <f aca="false">DAY(A886)</f>
        <v>18</v>
      </c>
      <c r="C886" s="9" t="n">
        <f aca="false">MONTH(A886)</f>
        <v>5</v>
      </c>
      <c r="D886" s="9" t="n">
        <f aca="false">YEAR(A886)</f>
        <v>2024</v>
      </c>
      <c r="E886" s="9" t="n">
        <f aca="false">WEEKDAY(A886,2)</f>
        <v>6</v>
      </c>
      <c r="F886" s="10" t="n">
        <f aca="false">WEEKNUM(A886,2) - WEEKNUM(DATE(YEAR(A886),MONTH(A886),1),2) + 1</f>
        <v>3</v>
      </c>
      <c r="G886" s="10"/>
      <c r="H886" s="11" t="n">
        <v>1082.81</v>
      </c>
      <c r="I886" s="12" t="s">
        <v>15</v>
      </c>
      <c r="J886" s="12" t="s">
        <v>54</v>
      </c>
      <c r="K886" s="12"/>
      <c r="L886" s="9" t="n">
        <f aca="false">L885+H886</f>
        <v>29388.88</v>
      </c>
      <c r="M886" s="10" t="str">
        <f aca="false">VLOOKUP(J886,RECATALOGANDO!A:C,2,0)</f>
        <v>SERVICIO DE LABORATORIO</v>
      </c>
      <c r="N886" s="12" t="str">
        <f aca="false">VLOOKUP(M886,RECATALOGANDO!B:C,2,0)</f>
        <v>VENTA DE SERVICIO</v>
      </c>
      <c r="O886" s="2" t="s">
        <v>78</v>
      </c>
    </row>
    <row r="887" customFormat="false" ht="13.8" hidden="false" customHeight="false" outlineLevel="0" collapsed="false">
      <c r="A887" s="8" t="n">
        <v>45431</v>
      </c>
      <c r="B887" s="9" t="n">
        <f aca="false">DAY(A887)</f>
        <v>19</v>
      </c>
      <c r="C887" s="9" t="n">
        <f aca="false">MONTH(A887)</f>
        <v>5</v>
      </c>
      <c r="D887" s="9" t="n">
        <f aca="false">YEAR(A887)</f>
        <v>2024</v>
      </c>
      <c r="E887" s="9" t="n">
        <f aca="false">WEEKDAY(A887,2)</f>
        <v>7</v>
      </c>
      <c r="F887" s="10" t="n">
        <f aca="false">WEEKNUM(A887,2) - WEEKNUM(DATE(YEAR(A887),MONTH(A887),1),2) + 1</f>
        <v>3</v>
      </c>
      <c r="G887" s="10"/>
      <c r="H887" s="11" t="n">
        <v>408.21</v>
      </c>
      <c r="I887" s="12" t="s">
        <v>15</v>
      </c>
      <c r="J887" s="12" t="s">
        <v>45</v>
      </c>
      <c r="K887" s="12"/>
      <c r="L887" s="9" t="n">
        <f aca="false">L886+H887</f>
        <v>29797.09</v>
      </c>
      <c r="M887" s="10" t="str">
        <f aca="false">VLOOKUP(J887,RECATALOGANDO!A:C,2,0)</f>
        <v>VENTA DE MEDICAMENTO</v>
      </c>
      <c r="N887" s="12" t="str">
        <f aca="false">VLOOKUP(M887,RECATALOGANDO!B:C,2,0)</f>
        <v>VENTA DE PRODUCTO</v>
      </c>
      <c r="O887" s="2" t="s">
        <v>78</v>
      </c>
    </row>
    <row r="888" customFormat="false" ht="13.8" hidden="false" customHeight="false" outlineLevel="0" collapsed="false">
      <c r="A888" s="8" t="n">
        <v>45432</v>
      </c>
      <c r="B888" s="9" t="n">
        <f aca="false">DAY(A888)</f>
        <v>20</v>
      </c>
      <c r="C888" s="9" t="n">
        <f aca="false">MONTH(A888)</f>
        <v>5</v>
      </c>
      <c r="D888" s="9" t="n">
        <f aca="false">YEAR(A888)</f>
        <v>2024</v>
      </c>
      <c r="E888" s="9" t="n">
        <f aca="false">WEEKDAY(A888,2)</f>
        <v>1</v>
      </c>
      <c r="F888" s="10" t="n">
        <f aca="false">WEEKNUM(A888,2) - WEEKNUM(DATE(YEAR(A888),MONTH(A888),1),2) + 1</f>
        <v>4</v>
      </c>
      <c r="G888" s="10"/>
      <c r="H888" s="11" t="n">
        <v>2087</v>
      </c>
      <c r="I888" s="12" t="s">
        <v>20</v>
      </c>
      <c r="J888" s="12" t="s">
        <v>51</v>
      </c>
      <c r="K888" s="12"/>
      <c r="L888" s="9" t="n">
        <f aca="false">L887+H888</f>
        <v>31884.09</v>
      </c>
      <c r="M888" s="10" t="str">
        <f aca="false">VLOOKUP(J888,RECATALOGANDO!A:C,2,0)</f>
        <v>VENTA DE ALIMENTO</v>
      </c>
      <c r="N888" s="12" t="str">
        <f aca="false">VLOOKUP(M888,RECATALOGANDO!B:C,2,0)</f>
        <v>VENTA DE PRODUCTO</v>
      </c>
      <c r="O888" s="2" t="s">
        <v>78</v>
      </c>
    </row>
    <row r="889" customFormat="false" ht="13.8" hidden="false" customHeight="false" outlineLevel="0" collapsed="false">
      <c r="A889" s="8" t="n">
        <v>45432</v>
      </c>
      <c r="B889" s="9" t="n">
        <f aca="false">DAY(A889)</f>
        <v>20</v>
      </c>
      <c r="C889" s="9" t="n">
        <f aca="false">MONTH(A889)</f>
        <v>5</v>
      </c>
      <c r="D889" s="9" t="n">
        <f aca="false">YEAR(A889)</f>
        <v>2024</v>
      </c>
      <c r="E889" s="9" t="n">
        <f aca="false">WEEKDAY(A889,2)</f>
        <v>1</v>
      </c>
      <c r="F889" s="10" t="n">
        <f aca="false">WEEKNUM(A889,2) - WEEKNUM(DATE(YEAR(A889),MONTH(A889),1),2) + 1</f>
        <v>4</v>
      </c>
      <c r="G889" s="10"/>
      <c r="H889" s="11" t="n">
        <v>200</v>
      </c>
      <c r="I889" s="12" t="s">
        <v>20</v>
      </c>
      <c r="J889" s="12" t="s">
        <v>44</v>
      </c>
      <c r="K889" s="12"/>
      <c r="L889" s="9" t="n">
        <f aca="false">L888+H889</f>
        <v>32084.09</v>
      </c>
      <c r="M889" s="10" t="str">
        <f aca="false">VLOOKUP(J889,RECATALOGANDO!A:C,2,0)</f>
        <v>HONORARIOS MEDICOS</v>
      </c>
      <c r="N889" s="12" t="str">
        <f aca="false">VLOOKUP(M889,RECATALOGANDO!B:C,2,0)</f>
        <v>VENTA DE SERVICIO</v>
      </c>
      <c r="O889" s="2" t="s">
        <v>78</v>
      </c>
    </row>
    <row r="890" customFormat="false" ht="13.8" hidden="false" customHeight="false" outlineLevel="0" collapsed="false">
      <c r="A890" s="8" t="n">
        <v>45432</v>
      </c>
      <c r="B890" s="9" t="n">
        <f aca="false">DAY(A890)</f>
        <v>20</v>
      </c>
      <c r="C890" s="9" t="n">
        <f aca="false">MONTH(A890)</f>
        <v>5</v>
      </c>
      <c r="D890" s="9" t="n">
        <f aca="false">YEAR(A890)</f>
        <v>2024</v>
      </c>
      <c r="E890" s="9" t="n">
        <f aca="false">WEEKDAY(A890,2)</f>
        <v>1</v>
      </c>
      <c r="F890" s="10" t="n">
        <f aca="false">WEEKNUM(A890,2) - WEEKNUM(DATE(YEAR(A890),MONTH(A890),1),2) + 1</f>
        <v>4</v>
      </c>
      <c r="G890" s="10"/>
      <c r="H890" s="11" t="n">
        <v>360</v>
      </c>
      <c r="I890" s="12" t="s">
        <v>20</v>
      </c>
      <c r="J890" s="12" t="s">
        <v>44</v>
      </c>
      <c r="K890" s="12"/>
      <c r="L890" s="9" t="n">
        <f aca="false">L889+H890</f>
        <v>32444.09</v>
      </c>
      <c r="M890" s="10" t="str">
        <f aca="false">VLOOKUP(J890,RECATALOGANDO!A:C,2,0)</f>
        <v>HONORARIOS MEDICOS</v>
      </c>
      <c r="N890" s="12" t="str">
        <f aca="false">VLOOKUP(M890,RECATALOGANDO!B:C,2,0)</f>
        <v>VENTA DE SERVICIO</v>
      </c>
      <c r="O890" s="2" t="s">
        <v>78</v>
      </c>
    </row>
    <row r="891" customFormat="false" ht="13.8" hidden="false" customHeight="false" outlineLevel="0" collapsed="false">
      <c r="A891" s="8" t="n">
        <v>45432</v>
      </c>
      <c r="B891" s="9" t="n">
        <f aca="false">DAY(A891)</f>
        <v>20</v>
      </c>
      <c r="C891" s="9" t="n">
        <f aca="false">MONTH(A891)</f>
        <v>5</v>
      </c>
      <c r="D891" s="9" t="n">
        <f aca="false">YEAR(A891)</f>
        <v>2024</v>
      </c>
      <c r="E891" s="9" t="n">
        <f aca="false">WEEKDAY(A891,2)</f>
        <v>1</v>
      </c>
      <c r="F891" s="10" t="n">
        <f aca="false">WEEKNUM(A891,2) - WEEKNUM(DATE(YEAR(A891),MONTH(A891),1),2) + 1</f>
        <v>4</v>
      </c>
      <c r="G891" s="10"/>
      <c r="H891" s="11" t="n">
        <v>1200</v>
      </c>
      <c r="I891" s="12" t="s">
        <v>20</v>
      </c>
      <c r="J891" s="12" t="s">
        <v>44</v>
      </c>
      <c r="K891" s="12"/>
      <c r="L891" s="9" t="n">
        <f aca="false">L890+H891</f>
        <v>33644.09</v>
      </c>
      <c r="M891" s="10" t="str">
        <f aca="false">VLOOKUP(J891,RECATALOGANDO!A:C,2,0)</f>
        <v>HONORARIOS MEDICOS</v>
      </c>
      <c r="N891" s="12" t="str">
        <f aca="false">VLOOKUP(M891,RECATALOGANDO!B:C,2,0)</f>
        <v>VENTA DE SERVICIO</v>
      </c>
      <c r="O891" s="2" t="s">
        <v>78</v>
      </c>
    </row>
    <row r="892" customFormat="false" ht="13.8" hidden="false" customHeight="false" outlineLevel="0" collapsed="false">
      <c r="A892" s="8" t="n">
        <v>45434</v>
      </c>
      <c r="B892" s="9" t="n">
        <f aca="false">DAY(A892)</f>
        <v>22</v>
      </c>
      <c r="C892" s="9" t="n">
        <f aca="false">MONTH(A892)</f>
        <v>5</v>
      </c>
      <c r="D892" s="9" t="n">
        <f aca="false">YEAR(A892)</f>
        <v>2024</v>
      </c>
      <c r="E892" s="9" t="n">
        <f aca="false">WEEKDAY(A892,2)</f>
        <v>3</v>
      </c>
      <c r="F892" s="10" t="n">
        <f aca="false">WEEKNUM(A892,2) - WEEKNUM(DATE(YEAR(A892),MONTH(A892),1),2) + 1</f>
        <v>4</v>
      </c>
      <c r="G892" s="10"/>
      <c r="H892" s="11" t="n">
        <v>260</v>
      </c>
      <c r="I892" s="12" t="s">
        <v>20</v>
      </c>
      <c r="J892" s="12" t="s">
        <v>55</v>
      </c>
      <c r="K892" s="12"/>
      <c r="L892" s="9" t="n">
        <f aca="false">L891+H892</f>
        <v>33904.09</v>
      </c>
      <c r="M892" s="10" t="str">
        <f aca="false">VLOOKUP(J892,RECATALOGANDO!A:C,2,0)</f>
        <v>VENTA DE MEDICAMENTO</v>
      </c>
      <c r="N892" s="12" t="str">
        <f aca="false">VLOOKUP(M892,RECATALOGANDO!B:C,2,0)</f>
        <v>VENTA DE PRODUCTO</v>
      </c>
      <c r="O892" s="2" t="s">
        <v>78</v>
      </c>
    </row>
    <row r="893" customFormat="false" ht="13.8" hidden="false" customHeight="false" outlineLevel="0" collapsed="false">
      <c r="A893" s="8" t="n">
        <v>45434</v>
      </c>
      <c r="B893" s="9" t="n">
        <f aca="false">DAY(A893)</f>
        <v>22</v>
      </c>
      <c r="C893" s="9" t="n">
        <f aca="false">MONTH(A893)</f>
        <v>5</v>
      </c>
      <c r="D893" s="9" t="n">
        <f aca="false">YEAR(A893)</f>
        <v>2024</v>
      </c>
      <c r="E893" s="9" t="n">
        <f aca="false">WEEKDAY(A893,2)</f>
        <v>3</v>
      </c>
      <c r="F893" s="10" t="n">
        <f aca="false">WEEKNUM(A893,2) - WEEKNUM(DATE(YEAR(A893),MONTH(A893),1),2) + 1</f>
        <v>4</v>
      </c>
      <c r="G893" s="10"/>
      <c r="H893" s="11" t="n">
        <v>1350</v>
      </c>
      <c r="I893" s="12" t="s">
        <v>15</v>
      </c>
      <c r="J893" s="12" t="s">
        <v>51</v>
      </c>
      <c r="K893" s="12"/>
      <c r="L893" s="9" t="n">
        <f aca="false">L892+H893</f>
        <v>35254.09</v>
      </c>
      <c r="M893" s="10" t="str">
        <f aca="false">VLOOKUP(J893,RECATALOGANDO!A:C,2,0)</f>
        <v>VENTA DE ALIMENTO</v>
      </c>
      <c r="N893" s="12" t="str">
        <f aca="false">VLOOKUP(M893,RECATALOGANDO!B:C,2,0)</f>
        <v>VENTA DE PRODUCTO</v>
      </c>
      <c r="O893" s="2" t="s">
        <v>78</v>
      </c>
    </row>
    <row r="894" customFormat="false" ht="13.8" hidden="false" customHeight="false" outlineLevel="0" collapsed="false">
      <c r="A894" s="8" t="n">
        <v>45434</v>
      </c>
      <c r="B894" s="9" t="n">
        <f aca="false">DAY(A894)</f>
        <v>22</v>
      </c>
      <c r="C894" s="9" t="n">
        <f aca="false">MONTH(A894)</f>
        <v>5</v>
      </c>
      <c r="D894" s="9" t="n">
        <f aca="false">YEAR(A894)</f>
        <v>2024</v>
      </c>
      <c r="E894" s="9" t="n">
        <f aca="false">WEEKDAY(A894,2)</f>
        <v>3</v>
      </c>
      <c r="F894" s="10" t="n">
        <f aca="false">WEEKNUM(A894,2) - WEEKNUM(DATE(YEAR(A894),MONTH(A894),1),2) + 1</f>
        <v>4</v>
      </c>
      <c r="G894" s="10"/>
      <c r="H894" s="11" t="n">
        <v>560</v>
      </c>
      <c r="I894" s="12" t="s">
        <v>20</v>
      </c>
      <c r="J894" s="12" t="s">
        <v>44</v>
      </c>
      <c r="K894" s="12"/>
      <c r="L894" s="9" t="n">
        <f aca="false">L893+H894</f>
        <v>35814.09</v>
      </c>
      <c r="M894" s="10" t="str">
        <f aca="false">VLOOKUP(J894,RECATALOGANDO!A:C,2,0)</f>
        <v>HONORARIOS MEDICOS</v>
      </c>
      <c r="N894" s="12" t="str">
        <f aca="false">VLOOKUP(M894,RECATALOGANDO!B:C,2,0)</f>
        <v>VENTA DE SERVICIO</v>
      </c>
      <c r="O894" s="2" t="s">
        <v>78</v>
      </c>
    </row>
    <row r="895" customFormat="false" ht="13.8" hidden="false" customHeight="false" outlineLevel="0" collapsed="false">
      <c r="A895" s="8" t="n">
        <v>45434</v>
      </c>
      <c r="B895" s="9" t="n">
        <f aca="false">DAY(A895)</f>
        <v>22</v>
      </c>
      <c r="C895" s="9" t="n">
        <f aca="false">MONTH(A895)</f>
        <v>5</v>
      </c>
      <c r="D895" s="9" t="n">
        <f aca="false">YEAR(A895)</f>
        <v>2024</v>
      </c>
      <c r="E895" s="9" t="n">
        <f aca="false">WEEKDAY(A895,2)</f>
        <v>3</v>
      </c>
      <c r="F895" s="10" t="n">
        <f aca="false">WEEKNUM(A895,2) - WEEKNUM(DATE(YEAR(A895),MONTH(A895),1),2) + 1</f>
        <v>4</v>
      </c>
      <c r="G895" s="10"/>
      <c r="H895" s="11" t="n">
        <v>894</v>
      </c>
      <c r="I895" s="12" t="s">
        <v>15</v>
      </c>
      <c r="J895" s="12" t="s">
        <v>44</v>
      </c>
      <c r="K895" s="12"/>
      <c r="L895" s="9" t="n">
        <f aca="false">L894+H895</f>
        <v>36708.09</v>
      </c>
      <c r="M895" s="10" t="str">
        <f aca="false">VLOOKUP(J895,RECATALOGANDO!A:C,2,0)</f>
        <v>HONORARIOS MEDICOS</v>
      </c>
      <c r="N895" s="12" t="str">
        <f aca="false">VLOOKUP(M895,RECATALOGANDO!B:C,2,0)</f>
        <v>VENTA DE SERVICIO</v>
      </c>
      <c r="O895" s="2" t="s">
        <v>78</v>
      </c>
    </row>
    <row r="896" customFormat="false" ht="13.8" hidden="false" customHeight="false" outlineLevel="0" collapsed="false">
      <c r="A896" s="8" t="n">
        <v>45435</v>
      </c>
      <c r="B896" s="9" t="n">
        <f aca="false">DAY(A896)</f>
        <v>23</v>
      </c>
      <c r="C896" s="9" t="n">
        <f aca="false">MONTH(A896)</f>
        <v>5</v>
      </c>
      <c r="D896" s="9" t="n">
        <f aca="false">YEAR(A896)</f>
        <v>2024</v>
      </c>
      <c r="E896" s="9" t="n">
        <f aca="false">WEEKDAY(A896,2)</f>
        <v>4</v>
      </c>
      <c r="F896" s="10" t="n">
        <f aca="false">WEEKNUM(A896,2) - WEEKNUM(DATE(YEAR(A896),MONTH(A896),1),2) + 1</f>
        <v>4</v>
      </c>
      <c r="G896" s="10"/>
      <c r="H896" s="11" t="n">
        <v>900</v>
      </c>
      <c r="I896" s="12" t="s">
        <v>15</v>
      </c>
      <c r="J896" s="12" t="s">
        <v>70</v>
      </c>
      <c r="K896" s="12"/>
      <c r="L896" s="9" t="n">
        <f aca="false">L895+H896</f>
        <v>37608.09</v>
      </c>
      <c r="M896" s="10" t="str">
        <f aca="false">VLOOKUP(J896,RECATALOGANDO!A:C,2,0)</f>
        <v>SERVICIO DE CREMACION</v>
      </c>
      <c r="N896" s="12" t="str">
        <f aca="false">VLOOKUP(M896,RECATALOGANDO!B:C,2,0)</f>
        <v>VENTA DE SERVICIO</v>
      </c>
      <c r="O896" s="2" t="s">
        <v>78</v>
      </c>
    </row>
    <row r="897" customFormat="false" ht="13.8" hidden="false" customHeight="false" outlineLevel="0" collapsed="false">
      <c r="A897" s="8" t="n">
        <v>45437</v>
      </c>
      <c r="B897" s="9" t="n">
        <f aca="false">DAY(A897)</f>
        <v>25</v>
      </c>
      <c r="C897" s="9" t="n">
        <f aca="false">MONTH(A897)</f>
        <v>5</v>
      </c>
      <c r="D897" s="9" t="n">
        <f aca="false">YEAR(A897)</f>
        <v>2024</v>
      </c>
      <c r="E897" s="9" t="n">
        <f aca="false">WEEKDAY(A897,2)</f>
        <v>6</v>
      </c>
      <c r="F897" s="10" t="n">
        <f aca="false">WEEKNUM(A897,2) - WEEKNUM(DATE(YEAR(A897),MONTH(A897),1),2) + 1</f>
        <v>4</v>
      </c>
      <c r="G897" s="10"/>
      <c r="H897" s="11" t="n">
        <v>1389.45</v>
      </c>
      <c r="I897" s="12" t="s">
        <v>15</v>
      </c>
      <c r="J897" s="12" t="s">
        <v>64</v>
      </c>
      <c r="K897" s="12"/>
      <c r="L897" s="9" t="n">
        <f aca="false">L896+H897</f>
        <v>38997.54</v>
      </c>
      <c r="M897" s="10" t="str">
        <f aca="false">VLOOKUP(J897,RECATALOGANDO!A:C,2,0)</f>
        <v>HONORARIOS QUIRURGICOS</v>
      </c>
      <c r="N897" s="12" t="str">
        <f aca="false">VLOOKUP(M897,RECATALOGANDO!B:C,2,0)</f>
        <v>VENTA DE SERVICIO</v>
      </c>
      <c r="O897" s="2" t="s">
        <v>78</v>
      </c>
    </row>
    <row r="898" customFormat="false" ht="13.8" hidden="false" customHeight="false" outlineLevel="0" collapsed="false">
      <c r="A898" s="8" t="n">
        <v>45438</v>
      </c>
      <c r="B898" s="9" t="n">
        <f aca="false">DAY(A898)</f>
        <v>26</v>
      </c>
      <c r="C898" s="9" t="n">
        <f aca="false">MONTH(A898)</f>
        <v>5</v>
      </c>
      <c r="D898" s="9" t="n">
        <f aca="false">YEAR(A898)</f>
        <v>2024</v>
      </c>
      <c r="E898" s="9" t="n">
        <f aca="false">WEEKDAY(A898,2)</f>
        <v>7</v>
      </c>
      <c r="F898" s="10" t="n">
        <f aca="false">WEEKNUM(A898,2) - WEEKNUM(DATE(YEAR(A898),MONTH(A898),1),2) + 1</f>
        <v>4</v>
      </c>
      <c r="G898" s="10"/>
      <c r="H898" s="11" t="n">
        <v>4347.54</v>
      </c>
      <c r="I898" s="12" t="s">
        <v>15</v>
      </c>
      <c r="J898" s="12" t="s">
        <v>51</v>
      </c>
      <c r="K898" s="12"/>
      <c r="L898" s="9" t="n">
        <f aca="false">L897+H898</f>
        <v>43345.08</v>
      </c>
      <c r="M898" s="10" t="str">
        <f aca="false">VLOOKUP(J898,RECATALOGANDO!A:C,2,0)</f>
        <v>VENTA DE ALIMENTO</v>
      </c>
      <c r="N898" s="12" t="str">
        <f aca="false">VLOOKUP(M898,RECATALOGANDO!B:C,2,0)</f>
        <v>VENTA DE PRODUCTO</v>
      </c>
      <c r="O898" s="2" t="s">
        <v>78</v>
      </c>
    </row>
    <row r="899" customFormat="false" ht="13.8" hidden="false" customHeight="false" outlineLevel="0" collapsed="false">
      <c r="A899" s="8" t="n">
        <v>45439</v>
      </c>
      <c r="B899" s="9" t="n">
        <f aca="false">DAY(A899)</f>
        <v>27</v>
      </c>
      <c r="C899" s="9" t="n">
        <f aca="false">MONTH(A899)</f>
        <v>5</v>
      </c>
      <c r="D899" s="9" t="n">
        <f aca="false">YEAR(A899)</f>
        <v>2024</v>
      </c>
      <c r="E899" s="9" t="n">
        <f aca="false">WEEKDAY(A899,2)</f>
        <v>1</v>
      </c>
      <c r="F899" s="10" t="n">
        <f aca="false">WEEKNUM(A899,2) - WEEKNUM(DATE(YEAR(A899),MONTH(A899),1),2) + 1</f>
        <v>5</v>
      </c>
      <c r="G899" s="10"/>
      <c r="H899" s="11" t="n">
        <v>420</v>
      </c>
      <c r="I899" s="12" t="s">
        <v>20</v>
      </c>
      <c r="J899" s="12" t="s">
        <v>45</v>
      </c>
      <c r="K899" s="12"/>
      <c r="L899" s="9" t="n">
        <f aca="false">L898+H899</f>
        <v>43765.08</v>
      </c>
      <c r="M899" s="10" t="str">
        <f aca="false">VLOOKUP(J899,RECATALOGANDO!A:C,2,0)</f>
        <v>VENTA DE MEDICAMENTO</v>
      </c>
      <c r="N899" s="12" t="str">
        <f aca="false">VLOOKUP(M899,RECATALOGANDO!B:C,2,0)</f>
        <v>VENTA DE PRODUCTO</v>
      </c>
      <c r="O899" s="2" t="s">
        <v>78</v>
      </c>
    </row>
    <row r="900" customFormat="false" ht="13.8" hidden="false" customHeight="false" outlineLevel="0" collapsed="false">
      <c r="A900" s="8" t="n">
        <v>45439</v>
      </c>
      <c r="B900" s="9" t="n">
        <f aca="false">DAY(A900)</f>
        <v>27</v>
      </c>
      <c r="C900" s="9" t="n">
        <f aca="false">MONTH(A900)</f>
        <v>5</v>
      </c>
      <c r="D900" s="9" t="n">
        <f aca="false">YEAR(A900)</f>
        <v>2024</v>
      </c>
      <c r="E900" s="9" t="n">
        <f aca="false">WEEKDAY(A900,2)</f>
        <v>1</v>
      </c>
      <c r="F900" s="10" t="n">
        <f aca="false">WEEKNUM(A900,2) - WEEKNUM(DATE(YEAR(A900),MONTH(A900),1),2) + 1</f>
        <v>5</v>
      </c>
      <c r="G900" s="10"/>
      <c r="H900" s="11" t="n">
        <v>725</v>
      </c>
      <c r="I900" s="12" t="s">
        <v>20</v>
      </c>
      <c r="J900" s="12" t="s">
        <v>45</v>
      </c>
      <c r="K900" s="12"/>
      <c r="L900" s="9" t="n">
        <f aca="false">L899+H900</f>
        <v>44490.08</v>
      </c>
      <c r="M900" s="10" t="str">
        <f aca="false">VLOOKUP(J900,RECATALOGANDO!A:C,2,0)</f>
        <v>VENTA DE MEDICAMENTO</v>
      </c>
      <c r="N900" s="12" t="str">
        <f aca="false">VLOOKUP(M900,RECATALOGANDO!B:C,2,0)</f>
        <v>VENTA DE PRODUCTO</v>
      </c>
      <c r="O900" s="2" t="s">
        <v>78</v>
      </c>
    </row>
    <row r="901" customFormat="false" ht="13.8" hidden="false" customHeight="false" outlineLevel="0" collapsed="false">
      <c r="A901" s="8" t="n">
        <v>45439</v>
      </c>
      <c r="B901" s="9" t="n">
        <f aca="false">DAY(A901)</f>
        <v>27</v>
      </c>
      <c r="C901" s="9" t="n">
        <f aca="false">MONTH(A901)</f>
        <v>5</v>
      </c>
      <c r="D901" s="9" t="n">
        <f aca="false">YEAR(A901)</f>
        <v>2024</v>
      </c>
      <c r="E901" s="9" t="n">
        <f aca="false">WEEKDAY(A901,2)</f>
        <v>1</v>
      </c>
      <c r="F901" s="10" t="n">
        <f aca="false">WEEKNUM(A901,2) - WEEKNUM(DATE(YEAR(A901),MONTH(A901),1),2) + 1</f>
        <v>5</v>
      </c>
      <c r="G901" s="10"/>
      <c r="H901" s="11" t="n">
        <v>2850</v>
      </c>
      <c r="I901" s="12" t="s">
        <v>20</v>
      </c>
      <c r="J901" s="12" t="s">
        <v>51</v>
      </c>
      <c r="K901" s="12"/>
      <c r="L901" s="9" t="n">
        <f aca="false">L900+H901</f>
        <v>47340.08</v>
      </c>
      <c r="M901" s="10" t="str">
        <f aca="false">VLOOKUP(J901,RECATALOGANDO!A:C,2,0)</f>
        <v>VENTA DE ALIMENTO</v>
      </c>
      <c r="N901" s="12" t="str">
        <f aca="false">VLOOKUP(M901,RECATALOGANDO!B:C,2,0)</f>
        <v>VENTA DE PRODUCTO</v>
      </c>
      <c r="O901" s="2" t="s">
        <v>78</v>
      </c>
    </row>
    <row r="902" customFormat="false" ht="13.8" hidden="false" customHeight="false" outlineLevel="0" collapsed="false">
      <c r="A902" s="8" t="n">
        <v>45439</v>
      </c>
      <c r="B902" s="9" t="n">
        <f aca="false">DAY(A902)</f>
        <v>27</v>
      </c>
      <c r="C902" s="9" t="n">
        <f aca="false">MONTH(A902)</f>
        <v>5</v>
      </c>
      <c r="D902" s="9" t="n">
        <f aca="false">YEAR(A902)</f>
        <v>2024</v>
      </c>
      <c r="E902" s="9" t="n">
        <f aca="false">WEEKDAY(A902,2)</f>
        <v>1</v>
      </c>
      <c r="F902" s="10" t="n">
        <f aca="false">WEEKNUM(A902,2) - WEEKNUM(DATE(YEAR(A902),MONTH(A902),1),2) + 1</f>
        <v>5</v>
      </c>
      <c r="G902" s="10"/>
      <c r="H902" s="11" t="n">
        <v>190</v>
      </c>
      <c r="I902" s="12" t="s">
        <v>20</v>
      </c>
      <c r="J902" s="12" t="s">
        <v>49</v>
      </c>
      <c r="K902" s="12"/>
      <c r="L902" s="9" t="n">
        <f aca="false">L901+H902</f>
        <v>47530.08</v>
      </c>
      <c r="M902" s="10" t="str">
        <f aca="false">VLOOKUP(J902,RECATALOGANDO!A:C,2,0)</f>
        <v>SERVICIO DE GROOMING</v>
      </c>
      <c r="N902" s="12" t="str">
        <f aca="false">VLOOKUP(M902,RECATALOGANDO!B:C,2,0)</f>
        <v>VENTA DE SERVICIO</v>
      </c>
      <c r="O902" s="2" t="s">
        <v>78</v>
      </c>
    </row>
    <row r="903" customFormat="false" ht="13.8" hidden="false" customHeight="false" outlineLevel="0" collapsed="false">
      <c r="A903" s="8" t="n">
        <v>45439</v>
      </c>
      <c r="B903" s="9" t="n">
        <f aca="false">DAY(A903)</f>
        <v>27</v>
      </c>
      <c r="C903" s="9" t="n">
        <f aca="false">MONTH(A903)</f>
        <v>5</v>
      </c>
      <c r="D903" s="9" t="n">
        <f aca="false">YEAR(A903)</f>
        <v>2024</v>
      </c>
      <c r="E903" s="9" t="n">
        <f aca="false">WEEKDAY(A903,2)</f>
        <v>1</v>
      </c>
      <c r="F903" s="10" t="n">
        <f aca="false">WEEKNUM(A903,2) - WEEKNUM(DATE(YEAR(A903),MONTH(A903),1),2) + 1</f>
        <v>5</v>
      </c>
      <c r="G903" s="10"/>
      <c r="H903" s="11" t="n">
        <v>960</v>
      </c>
      <c r="I903" s="12" t="s">
        <v>20</v>
      </c>
      <c r="J903" s="12" t="s">
        <v>59</v>
      </c>
      <c r="K903" s="12"/>
      <c r="L903" s="9" t="n">
        <f aca="false">L902+H903</f>
        <v>48490.08</v>
      </c>
      <c r="M903" s="10" t="str">
        <f aca="false">VLOOKUP(J903,RECATALOGANDO!A:C,2,0)</f>
        <v>SERVICIO DE PENSION</v>
      </c>
      <c r="N903" s="12" t="str">
        <f aca="false">VLOOKUP(M903,RECATALOGANDO!B:C,2,0)</f>
        <v>VENTA DE SERVICIO</v>
      </c>
      <c r="O903" s="2" t="s">
        <v>78</v>
      </c>
    </row>
    <row r="904" customFormat="false" ht="13.8" hidden="false" customHeight="false" outlineLevel="0" collapsed="false">
      <c r="A904" s="8" t="n">
        <v>45439</v>
      </c>
      <c r="B904" s="9" t="n">
        <f aca="false">DAY(A904)</f>
        <v>27</v>
      </c>
      <c r="C904" s="9" t="n">
        <f aca="false">MONTH(A904)</f>
        <v>5</v>
      </c>
      <c r="D904" s="9" t="n">
        <f aca="false">YEAR(A904)</f>
        <v>2024</v>
      </c>
      <c r="E904" s="9" t="n">
        <f aca="false">WEEKDAY(A904,2)</f>
        <v>1</v>
      </c>
      <c r="F904" s="10" t="n">
        <f aca="false">WEEKNUM(A904,2) - WEEKNUM(DATE(YEAR(A904),MONTH(A904),1),2) + 1</f>
        <v>5</v>
      </c>
      <c r="G904" s="10"/>
      <c r="H904" s="11" t="n">
        <v>1900</v>
      </c>
      <c r="I904" s="12" t="s">
        <v>20</v>
      </c>
      <c r="J904" s="12" t="s">
        <v>44</v>
      </c>
      <c r="K904" s="12"/>
      <c r="L904" s="9" t="n">
        <f aca="false">L903+H904</f>
        <v>50390.08</v>
      </c>
      <c r="M904" s="10" t="str">
        <f aca="false">VLOOKUP(J904,RECATALOGANDO!A:C,2,0)</f>
        <v>HONORARIOS MEDICOS</v>
      </c>
      <c r="N904" s="12" t="str">
        <f aca="false">VLOOKUP(M904,RECATALOGANDO!B:C,2,0)</f>
        <v>VENTA DE SERVICIO</v>
      </c>
      <c r="O904" s="2" t="s">
        <v>78</v>
      </c>
    </row>
    <row r="905" customFormat="false" ht="13.8" hidden="false" customHeight="false" outlineLevel="0" collapsed="false">
      <c r="A905" s="8" t="n">
        <v>45440</v>
      </c>
      <c r="B905" s="9" t="n">
        <f aca="false">DAY(A905)</f>
        <v>28</v>
      </c>
      <c r="C905" s="9" t="n">
        <f aca="false">MONTH(A905)</f>
        <v>5</v>
      </c>
      <c r="D905" s="9" t="n">
        <f aca="false">YEAR(A905)</f>
        <v>2024</v>
      </c>
      <c r="E905" s="9" t="n">
        <f aca="false">WEEKDAY(A905,2)</f>
        <v>2</v>
      </c>
      <c r="F905" s="10" t="n">
        <f aca="false">WEEKNUM(A905,2) - WEEKNUM(DATE(YEAR(A905),MONTH(A905),1),2) + 1</f>
        <v>5</v>
      </c>
      <c r="G905" s="10"/>
      <c r="H905" s="11" t="n">
        <v>855</v>
      </c>
      <c r="I905" s="12" t="s">
        <v>15</v>
      </c>
      <c r="J905" s="12" t="s">
        <v>44</v>
      </c>
      <c r="K905" s="12"/>
      <c r="L905" s="9" t="n">
        <f aca="false">L904+H905</f>
        <v>51245.08</v>
      </c>
      <c r="M905" s="10" t="str">
        <f aca="false">VLOOKUP(J905,RECATALOGANDO!A:C,2,0)</f>
        <v>HONORARIOS MEDICOS</v>
      </c>
      <c r="N905" s="12" t="str">
        <f aca="false">VLOOKUP(M905,RECATALOGANDO!B:C,2,0)</f>
        <v>VENTA DE SERVICIO</v>
      </c>
      <c r="O905" s="2" t="s">
        <v>78</v>
      </c>
    </row>
    <row r="906" customFormat="false" ht="13.8" hidden="false" customHeight="false" outlineLevel="0" collapsed="false">
      <c r="A906" s="8" t="n">
        <v>45441</v>
      </c>
      <c r="B906" s="9" t="n">
        <f aca="false">DAY(A906)</f>
        <v>29</v>
      </c>
      <c r="C906" s="9" t="n">
        <f aca="false">MONTH(A906)</f>
        <v>5</v>
      </c>
      <c r="D906" s="9" t="n">
        <f aca="false">YEAR(A906)</f>
        <v>2024</v>
      </c>
      <c r="E906" s="9" t="n">
        <f aca="false">WEEKDAY(A906,2)</f>
        <v>3</v>
      </c>
      <c r="F906" s="10" t="n">
        <f aca="false">WEEKNUM(A906,2) - WEEKNUM(DATE(YEAR(A906),MONTH(A906),1),2) + 1</f>
        <v>5</v>
      </c>
      <c r="G906" s="10"/>
      <c r="H906" s="11" t="n">
        <v>420</v>
      </c>
      <c r="I906" s="12" t="s">
        <v>20</v>
      </c>
      <c r="J906" s="12" t="s">
        <v>49</v>
      </c>
      <c r="K906" s="12"/>
      <c r="L906" s="9" t="n">
        <f aca="false">L905+H906</f>
        <v>51665.08</v>
      </c>
      <c r="M906" s="10" t="str">
        <f aca="false">VLOOKUP(J906,RECATALOGANDO!A:C,2,0)</f>
        <v>SERVICIO DE GROOMING</v>
      </c>
      <c r="N906" s="12" t="str">
        <f aca="false">VLOOKUP(M906,RECATALOGANDO!B:C,2,0)</f>
        <v>VENTA DE SERVICIO</v>
      </c>
      <c r="O906" s="2" t="s">
        <v>78</v>
      </c>
    </row>
    <row r="907" customFormat="false" ht="13.8" hidden="false" customHeight="false" outlineLevel="0" collapsed="false">
      <c r="A907" s="8" t="n">
        <v>45442</v>
      </c>
      <c r="B907" s="9" t="n">
        <f aca="false">DAY(A907)</f>
        <v>30</v>
      </c>
      <c r="C907" s="9" t="n">
        <f aca="false">MONTH(A907)</f>
        <v>5</v>
      </c>
      <c r="D907" s="9" t="n">
        <f aca="false">YEAR(A907)</f>
        <v>2024</v>
      </c>
      <c r="E907" s="9" t="n">
        <f aca="false">WEEKDAY(A907,2)</f>
        <v>4</v>
      </c>
      <c r="F907" s="10" t="n">
        <f aca="false">WEEKNUM(A907,2) - WEEKNUM(DATE(YEAR(A907),MONTH(A907),1),2) + 1</f>
        <v>5</v>
      </c>
      <c r="G907" s="10" t="n">
        <v>2</v>
      </c>
      <c r="H907" s="11" t="n">
        <v>860</v>
      </c>
      <c r="I907" s="12" t="s">
        <v>20</v>
      </c>
      <c r="J907" s="12" t="s">
        <v>45</v>
      </c>
      <c r="K907" s="12"/>
      <c r="L907" s="9" t="n">
        <f aca="false">L906+H907</f>
        <v>52525.08</v>
      </c>
      <c r="M907" s="10" t="str">
        <f aca="false">VLOOKUP(J907,RECATALOGANDO!A:C,2,0)</f>
        <v>VENTA DE MEDICAMENTO</v>
      </c>
      <c r="N907" s="12" t="str">
        <f aca="false">VLOOKUP(M907,RECATALOGANDO!B:C,2,0)</f>
        <v>VENTA DE PRODUCTO</v>
      </c>
      <c r="O907" s="2" t="s">
        <v>78</v>
      </c>
    </row>
    <row r="908" customFormat="false" ht="13.8" hidden="false" customHeight="false" outlineLevel="0" collapsed="false">
      <c r="A908" s="8" t="n">
        <v>45442</v>
      </c>
      <c r="B908" s="9" t="n">
        <f aca="false">DAY(A908)</f>
        <v>30</v>
      </c>
      <c r="C908" s="9" t="n">
        <f aca="false">MONTH(A908)</f>
        <v>5</v>
      </c>
      <c r="D908" s="9" t="n">
        <f aca="false">YEAR(A908)</f>
        <v>2024</v>
      </c>
      <c r="E908" s="9" t="n">
        <f aca="false">WEEKDAY(A908,2)</f>
        <v>4</v>
      </c>
      <c r="F908" s="10" t="n">
        <f aca="false">WEEKNUM(A908,2) - WEEKNUM(DATE(YEAR(A908),MONTH(A908),1),2) + 1</f>
        <v>5</v>
      </c>
      <c r="G908" s="10" t="n">
        <v>2</v>
      </c>
      <c r="H908" s="11" t="n">
        <v>890</v>
      </c>
      <c r="I908" s="12" t="s">
        <v>20</v>
      </c>
      <c r="J908" s="12" t="s">
        <v>51</v>
      </c>
      <c r="K908" s="12"/>
      <c r="L908" s="9" t="n">
        <f aca="false">L907+H908</f>
        <v>53415.08</v>
      </c>
      <c r="M908" s="10" t="str">
        <f aca="false">VLOOKUP(J908,RECATALOGANDO!A:C,2,0)</f>
        <v>VENTA DE ALIMENTO</v>
      </c>
      <c r="N908" s="12" t="str">
        <f aca="false">VLOOKUP(M908,RECATALOGANDO!B:C,2,0)</f>
        <v>VENTA DE PRODUCTO</v>
      </c>
      <c r="O908" s="2" t="s">
        <v>78</v>
      </c>
    </row>
    <row r="909" customFormat="false" ht="13.8" hidden="false" customHeight="false" outlineLevel="0" collapsed="false">
      <c r="A909" s="8" t="n">
        <v>45443</v>
      </c>
      <c r="B909" s="9" t="n">
        <f aca="false">DAY(A909)</f>
        <v>31</v>
      </c>
      <c r="C909" s="9" t="n">
        <f aca="false">MONTH(A909)</f>
        <v>5</v>
      </c>
      <c r="D909" s="9" t="n">
        <f aca="false">YEAR(A909)</f>
        <v>2024</v>
      </c>
      <c r="E909" s="9" t="n">
        <f aca="false">WEEKDAY(A909,2)</f>
        <v>5</v>
      </c>
      <c r="F909" s="10" t="n">
        <f aca="false">WEEKNUM(A909,2) - WEEKNUM(DATE(YEAR(A909),MONTH(A909),1),2) + 1</f>
        <v>5</v>
      </c>
      <c r="G909" s="10"/>
      <c r="H909" s="11" t="n">
        <v>2639</v>
      </c>
      <c r="I909" s="12" t="s">
        <v>20</v>
      </c>
      <c r="J909" s="12" t="s">
        <v>51</v>
      </c>
      <c r="K909" s="12"/>
      <c r="L909" s="9" t="n">
        <f aca="false">L908+H909</f>
        <v>56054.08</v>
      </c>
      <c r="M909" s="10" t="str">
        <f aca="false">VLOOKUP(J909,RECATALOGANDO!A:C,2,0)</f>
        <v>VENTA DE ALIMENTO</v>
      </c>
      <c r="N909" s="12" t="str">
        <f aca="false">VLOOKUP(M909,RECATALOGANDO!B:C,2,0)</f>
        <v>VENTA DE PRODUCTO</v>
      </c>
      <c r="O909" s="2" t="s">
        <v>78</v>
      </c>
    </row>
    <row r="910" customFormat="false" ht="13.8" hidden="false" customHeight="false" outlineLevel="0" collapsed="false">
      <c r="A910" s="8" t="n">
        <v>45443</v>
      </c>
      <c r="B910" s="9" t="n">
        <f aca="false">DAY(A910)</f>
        <v>31</v>
      </c>
      <c r="C910" s="9" t="n">
        <f aca="false">MONTH(A910)</f>
        <v>5</v>
      </c>
      <c r="D910" s="9" t="n">
        <f aca="false">YEAR(A910)</f>
        <v>2024</v>
      </c>
      <c r="E910" s="9" t="n">
        <f aca="false">WEEKDAY(A910,2)</f>
        <v>5</v>
      </c>
      <c r="F910" s="10" t="n">
        <f aca="false">WEEKNUM(A910,2) - WEEKNUM(DATE(YEAR(A910),MONTH(A910),1),2) + 1</f>
        <v>5</v>
      </c>
      <c r="G910" s="10"/>
      <c r="H910" s="11" t="n">
        <v>350</v>
      </c>
      <c r="I910" s="12" t="s">
        <v>20</v>
      </c>
      <c r="J910" s="12" t="s">
        <v>49</v>
      </c>
      <c r="K910" s="12"/>
      <c r="L910" s="9" t="n">
        <f aca="false">L909+H910</f>
        <v>56404.08</v>
      </c>
      <c r="M910" s="10" t="str">
        <f aca="false">VLOOKUP(J910,RECATALOGANDO!A:C,2,0)</f>
        <v>SERVICIO DE GROOMING</v>
      </c>
      <c r="N910" s="12" t="str">
        <f aca="false">VLOOKUP(M910,RECATALOGANDO!B:C,2,0)</f>
        <v>VENTA DE SERVICIO</v>
      </c>
      <c r="O910" s="2" t="s">
        <v>78</v>
      </c>
    </row>
    <row r="911" customFormat="false" ht="13.8" hidden="false" customHeight="false" outlineLevel="0" collapsed="false">
      <c r="A911" s="8" t="n">
        <v>45443</v>
      </c>
      <c r="B911" s="9" t="n">
        <f aca="false">DAY(A911)</f>
        <v>31</v>
      </c>
      <c r="C911" s="9" t="n">
        <f aca="false">MONTH(A911)</f>
        <v>5</v>
      </c>
      <c r="D911" s="9" t="n">
        <f aca="false">YEAR(A911)</f>
        <v>2024</v>
      </c>
      <c r="E911" s="9" t="n">
        <f aca="false">WEEKDAY(A911,2)</f>
        <v>5</v>
      </c>
      <c r="F911" s="10" t="n">
        <f aca="false">WEEKNUM(A911,2) - WEEKNUM(DATE(YEAR(A911),MONTH(A911),1),2) + 1</f>
        <v>5</v>
      </c>
      <c r="G911" s="10"/>
      <c r="H911" s="11" t="n">
        <v>1600</v>
      </c>
      <c r="I911" s="12" t="s">
        <v>20</v>
      </c>
      <c r="J911" s="12" t="s">
        <v>64</v>
      </c>
      <c r="K911" s="12"/>
      <c r="L911" s="9" t="n">
        <f aca="false">L910+H911</f>
        <v>58004.08</v>
      </c>
      <c r="M911" s="10" t="str">
        <f aca="false">VLOOKUP(J911,RECATALOGANDO!A:C,2,0)</f>
        <v>HONORARIOS QUIRURGICOS</v>
      </c>
      <c r="N911" s="12" t="str">
        <f aca="false">VLOOKUP(M911,RECATALOGANDO!B:C,2,0)</f>
        <v>VENTA DE SERVICIO</v>
      </c>
      <c r="O911" s="2" t="s">
        <v>78</v>
      </c>
    </row>
    <row r="912" customFormat="false" ht="13.8" hidden="false" customHeight="false" outlineLevel="0" collapsed="false">
      <c r="A912" s="8" t="n">
        <v>45446</v>
      </c>
      <c r="B912" s="9" t="n">
        <f aca="false">DAY(A912)</f>
        <v>3</v>
      </c>
      <c r="C912" s="9" t="n">
        <f aca="false">MONTH(A912)</f>
        <v>6</v>
      </c>
      <c r="D912" s="9" t="n">
        <f aca="false">YEAR(A912)</f>
        <v>2024</v>
      </c>
      <c r="E912" s="9" t="n">
        <f aca="false">WEEKDAY(A912,2)</f>
        <v>1</v>
      </c>
      <c r="F912" s="10" t="n">
        <f aca="false">WEEKNUM(A912,2) - WEEKNUM(DATE(YEAR(A912),MONTH(A912),1),2) + 1</f>
        <v>2</v>
      </c>
      <c r="G912" s="10"/>
      <c r="H912" s="11" t="n">
        <v>430</v>
      </c>
      <c r="I912" s="12" t="s">
        <v>20</v>
      </c>
      <c r="J912" s="22" t="s">
        <v>51</v>
      </c>
      <c r="K912" s="12"/>
      <c r="L912" s="9" t="n">
        <f aca="false">H912</f>
        <v>430</v>
      </c>
      <c r="M912" s="10" t="str">
        <f aca="false">VLOOKUP(J912,RECATALOGANDO!A:C,2,0)</f>
        <v>VENTA DE ALIMENTO</v>
      </c>
      <c r="N912" s="12" t="str">
        <f aca="false">VLOOKUP(M912,RECATALOGANDO!B:C,2,0)</f>
        <v>VENTA DE PRODUCTO</v>
      </c>
      <c r="O912" s="2" t="s">
        <v>78</v>
      </c>
    </row>
    <row r="913" customFormat="false" ht="13.8" hidden="false" customHeight="false" outlineLevel="0" collapsed="false">
      <c r="A913" s="8" t="n">
        <v>45446</v>
      </c>
      <c r="B913" s="9" t="n">
        <f aca="false">DAY(A913)</f>
        <v>3</v>
      </c>
      <c r="C913" s="9" t="n">
        <f aca="false">MONTH(A913)</f>
        <v>6</v>
      </c>
      <c r="D913" s="9" t="n">
        <f aca="false">YEAR(A913)</f>
        <v>2024</v>
      </c>
      <c r="E913" s="9" t="n">
        <f aca="false">WEEKDAY(A913,2)</f>
        <v>1</v>
      </c>
      <c r="F913" s="10" t="n">
        <f aca="false">WEEKNUM(A913,2) - WEEKNUM(DATE(YEAR(A913),MONTH(A913),1),2) + 1</f>
        <v>2</v>
      </c>
      <c r="G913" s="10"/>
      <c r="H913" s="11" t="n">
        <v>860</v>
      </c>
      <c r="I913" s="12" t="s">
        <v>20</v>
      </c>
      <c r="J913" s="12" t="s">
        <v>45</v>
      </c>
      <c r="K913" s="12"/>
      <c r="L913" s="9" t="n">
        <f aca="false">L912+H913</f>
        <v>1290</v>
      </c>
      <c r="M913" s="10" t="str">
        <f aca="false">VLOOKUP(J913,RECATALOGANDO!A:C,2,0)</f>
        <v>VENTA DE MEDICAMENTO</v>
      </c>
      <c r="N913" s="12" t="str">
        <f aca="false">VLOOKUP(M913,RECATALOGANDO!B:C,2,0)</f>
        <v>VENTA DE PRODUCTO</v>
      </c>
      <c r="O913" s="2" t="s">
        <v>78</v>
      </c>
    </row>
    <row r="914" customFormat="false" ht="13.8" hidden="false" customHeight="false" outlineLevel="0" collapsed="false">
      <c r="A914" s="8" t="n">
        <v>45446</v>
      </c>
      <c r="B914" s="9" t="n">
        <f aca="false">DAY(A914)</f>
        <v>3</v>
      </c>
      <c r="C914" s="9" t="n">
        <f aca="false">MONTH(A914)</f>
        <v>6</v>
      </c>
      <c r="D914" s="9" t="n">
        <f aca="false">YEAR(A914)</f>
        <v>2024</v>
      </c>
      <c r="E914" s="9" t="n">
        <f aca="false">WEEKDAY(A914,2)</f>
        <v>1</v>
      </c>
      <c r="F914" s="10" t="n">
        <f aca="false">WEEKNUM(A914,2) - WEEKNUM(DATE(YEAR(A914),MONTH(A914),1),2) + 1</f>
        <v>2</v>
      </c>
      <c r="G914" s="10"/>
      <c r="H914" s="11" t="n">
        <v>930</v>
      </c>
      <c r="I914" s="12" t="s">
        <v>20</v>
      </c>
      <c r="J914" s="12" t="s">
        <v>45</v>
      </c>
      <c r="K914" s="12"/>
      <c r="L914" s="9" t="n">
        <f aca="false">L913+H914</f>
        <v>2220</v>
      </c>
      <c r="M914" s="10" t="str">
        <f aca="false">VLOOKUP(J914,RECATALOGANDO!A:C,2,0)</f>
        <v>VENTA DE MEDICAMENTO</v>
      </c>
      <c r="N914" s="12" t="str">
        <f aca="false">VLOOKUP(M914,RECATALOGANDO!B:C,2,0)</f>
        <v>VENTA DE PRODUCTO</v>
      </c>
      <c r="O914" s="2" t="s">
        <v>78</v>
      </c>
    </row>
    <row r="915" customFormat="false" ht="13.8" hidden="false" customHeight="false" outlineLevel="0" collapsed="false">
      <c r="A915" s="8" t="n">
        <v>45446</v>
      </c>
      <c r="B915" s="9" t="n">
        <f aca="false">DAY(A915)</f>
        <v>3</v>
      </c>
      <c r="C915" s="9" t="n">
        <f aca="false">MONTH(A915)</f>
        <v>6</v>
      </c>
      <c r="D915" s="9" t="n">
        <f aca="false">YEAR(A915)</f>
        <v>2024</v>
      </c>
      <c r="E915" s="9" t="n">
        <f aca="false">WEEKDAY(A915,2)</f>
        <v>1</v>
      </c>
      <c r="F915" s="10" t="n">
        <f aca="false">WEEKNUM(A915,2) - WEEKNUM(DATE(YEAR(A915),MONTH(A915),1),2) + 1</f>
        <v>2</v>
      </c>
      <c r="G915" s="10"/>
      <c r="H915" s="11" t="n">
        <v>200</v>
      </c>
      <c r="I915" s="12" t="s">
        <v>20</v>
      </c>
      <c r="J915" s="12" t="s">
        <v>49</v>
      </c>
      <c r="K915" s="12"/>
      <c r="L915" s="9" t="n">
        <f aca="false">L914+H915</f>
        <v>2420</v>
      </c>
      <c r="M915" s="10" t="str">
        <f aca="false">VLOOKUP(J915,RECATALOGANDO!A:C,2,0)</f>
        <v>SERVICIO DE GROOMING</v>
      </c>
      <c r="N915" s="12" t="str">
        <f aca="false">VLOOKUP(M915,RECATALOGANDO!B:C,2,0)</f>
        <v>VENTA DE SERVICIO</v>
      </c>
      <c r="O915" s="2" t="s">
        <v>78</v>
      </c>
    </row>
    <row r="916" customFormat="false" ht="13.8" hidden="false" customHeight="false" outlineLevel="0" collapsed="false">
      <c r="A916" s="8" t="n">
        <v>45447</v>
      </c>
      <c r="B916" s="9" t="n">
        <f aca="false">DAY(A916)</f>
        <v>4</v>
      </c>
      <c r="C916" s="9" t="n">
        <f aca="false">MONTH(A916)</f>
        <v>6</v>
      </c>
      <c r="D916" s="9" t="n">
        <f aca="false">YEAR(A916)</f>
        <v>2024</v>
      </c>
      <c r="E916" s="9" t="n">
        <f aca="false">WEEKDAY(A916,2)</f>
        <v>2</v>
      </c>
      <c r="F916" s="10" t="n">
        <f aca="false">WEEKNUM(A916,2) - WEEKNUM(DATE(YEAR(A916),MONTH(A916),1),2) + 1</f>
        <v>2</v>
      </c>
      <c r="G916" s="10"/>
      <c r="H916" s="11" t="n">
        <v>5950</v>
      </c>
      <c r="I916" s="12" t="s">
        <v>20</v>
      </c>
      <c r="J916" s="12" t="s">
        <v>54</v>
      </c>
      <c r="K916" s="12"/>
      <c r="L916" s="9" t="n">
        <f aca="false">L915+H916</f>
        <v>8370</v>
      </c>
      <c r="M916" s="10" t="str">
        <f aca="false">VLOOKUP(J916,RECATALOGANDO!A:C,2,0)</f>
        <v>SERVICIO DE LABORATORIO</v>
      </c>
      <c r="N916" s="12" t="str">
        <f aca="false">VLOOKUP(M916,RECATALOGANDO!B:C,2,0)</f>
        <v>VENTA DE SERVICIO</v>
      </c>
      <c r="O916" s="2" t="s">
        <v>78</v>
      </c>
    </row>
    <row r="917" customFormat="false" ht="13.8" hidden="false" customHeight="false" outlineLevel="0" collapsed="false">
      <c r="A917" s="8" t="n">
        <v>45449</v>
      </c>
      <c r="B917" s="9" t="n">
        <f aca="false">DAY(A917)</f>
        <v>6</v>
      </c>
      <c r="C917" s="9" t="n">
        <f aca="false">MONTH(A917)</f>
        <v>6</v>
      </c>
      <c r="D917" s="9" t="n">
        <f aca="false">YEAR(A917)</f>
        <v>2024</v>
      </c>
      <c r="E917" s="9" t="n">
        <f aca="false">WEEKDAY(A917,2)</f>
        <v>4</v>
      </c>
      <c r="F917" s="10" t="n">
        <f aca="false">WEEKNUM(A917,2) - WEEKNUM(DATE(YEAR(A917),MONTH(A917),1),2) + 1</f>
        <v>2</v>
      </c>
      <c r="G917" s="10"/>
      <c r="H917" s="11" t="n">
        <v>2000</v>
      </c>
      <c r="I917" s="12" t="s">
        <v>20</v>
      </c>
      <c r="J917" s="12" t="s">
        <v>64</v>
      </c>
      <c r="K917" s="12"/>
      <c r="L917" s="9" t="n">
        <f aca="false">L916+H917</f>
        <v>10370</v>
      </c>
      <c r="M917" s="10" t="str">
        <f aca="false">VLOOKUP(J917,RECATALOGANDO!A:C,2,0)</f>
        <v>HONORARIOS QUIRURGICOS</v>
      </c>
      <c r="N917" s="12" t="str">
        <f aca="false">VLOOKUP(M917,RECATALOGANDO!B:C,2,0)</f>
        <v>VENTA DE SERVICIO</v>
      </c>
      <c r="O917" s="2" t="s">
        <v>78</v>
      </c>
    </row>
    <row r="918" customFormat="false" ht="13.8" hidden="false" customHeight="false" outlineLevel="0" collapsed="false">
      <c r="A918" s="8" t="n">
        <v>45450</v>
      </c>
      <c r="B918" s="9" t="n">
        <f aca="false">DAY(A918)</f>
        <v>7</v>
      </c>
      <c r="C918" s="9" t="n">
        <f aca="false">MONTH(A918)</f>
        <v>6</v>
      </c>
      <c r="D918" s="9" t="n">
        <f aca="false">YEAR(A918)</f>
        <v>2024</v>
      </c>
      <c r="E918" s="9" t="n">
        <f aca="false">WEEKDAY(A918,2)</f>
        <v>5</v>
      </c>
      <c r="F918" s="10" t="n">
        <f aca="false">WEEKNUM(A918,2) - WEEKNUM(DATE(YEAR(A918),MONTH(A918),1),2) + 1</f>
        <v>2</v>
      </c>
      <c r="G918" s="10"/>
      <c r="H918" s="11" t="n">
        <v>1040</v>
      </c>
      <c r="I918" s="12" t="s">
        <v>20</v>
      </c>
      <c r="J918" s="12" t="s">
        <v>55</v>
      </c>
      <c r="K918" s="12"/>
      <c r="L918" s="9" t="n">
        <f aca="false">L917+H918</f>
        <v>11410</v>
      </c>
      <c r="M918" s="10" t="str">
        <f aca="false">VLOOKUP(J918,RECATALOGANDO!A:C,2,0)</f>
        <v>VENTA DE MEDICAMENTO</v>
      </c>
      <c r="N918" s="12" t="str">
        <f aca="false">VLOOKUP(M918,RECATALOGANDO!B:C,2,0)</f>
        <v>VENTA DE PRODUCTO</v>
      </c>
      <c r="O918" s="2" t="s">
        <v>78</v>
      </c>
    </row>
    <row r="919" customFormat="false" ht="13.8" hidden="false" customHeight="false" outlineLevel="0" collapsed="false">
      <c r="A919" s="8" t="n">
        <v>45450</v>
      </c>
      <c r="B919" s="9" t="n">
        <f aca="false">DAY(A919)</f>
        <v>7</v>
      </c>
      <c r="C919" s="9" t="n">
        <f aca="false">MONTH(A919)</f>
        <v>6</v>
      </c>
      <c r="D919" s="9" t="n">
        <f aca="false">YEAR(A919)</f>
        <v>2024</v>
      </c>
      <c r="E919" s="9" t="n">
        <f aca="false">WEEKDAY(A919,2)</f>
        <v>5</v>
      </c>
      <c r="F919" s="10" t="n">
        <f aca="false">WEEKNUM(A919,2) - WEEKNUM(DATE(YEAR(A919),MONTH(A919),1),2) + 1</f>
        <v>2</v>
      </c>
      <c r="G919" s="10"/>
      <c r="H919" s="11" t="n">
        <v>180</v>
      </c>
      <c r="I919" s="12" t="s">
        <v>20</v>
      </c>
      <c r="J919" s="12" t="s">
        <v>44</v>
      </c>
      <c r="K919" s="12"/>
      <c r="L919" s="9" t="n">
        <f aca="false">L918+H919</f>
        <v>11590</v>
      </c>
      <c r="M919" s="10" t="str">
        <f aca="false">VLOOKUP(J919,RECATALOGANDO!A:C,2,0)</f>
        <v>HONORARIOS MEDICOS</v>
      </c>
      <c r="N919" s="12" t="str">
        <f aca="false">VLOOKUP(M919,RECATALOGANDO!B:C,2,0)</f>
        <v>VENTA DE SERVICIO</v>
      </c>
      <c r="O919" s="2" t="s">
        <v>78</v>
      </c>
    </row>
    <row r="920" customFormat="false" ht="13.8" hidden="false" customHeight="false" outlineLevel="0" collapsed="false">
      <c r="A920" s="8" t="n">
        <v>45450</v>
      </c>
      <c r="B920" s="9" t="n">
        <f aca="false">DAY(A920)</f>
        <v>7</v>
      </c>
      <c r="C920" s="9" t="n">
        <f aca="false">MONTH(A920)</f>
        <v>6</v>
      </c>
      <c r="D920" s="9" t="n">
        <f aca="false">YEAR(A920)</f>
        <v>2024</v>
      </c>
      <c r="E920" s="9" t="n">
        <f aca="false">WEEKDAY(A920,2)</f>
        <v>5</v>
      </c>
      <c r="F920" s="10" t="n">
        <f aca="false">WEEKNUM(A920,2) - WEEKNUM(DATE(YEAR(A920),MONTH(A920),1),2) + 1</f>
        <v>2</v>
      </c>
      <c r="G920" s="10"/>
      <c r="H920" s="11" t="n">
        <v>430</v>
      </c>
      <c r="I920" s="12" t="s">
        <v>20</v>
      </c>
      <c r="J920" s="12" t="s">
        <v>44</v>
      </c>
      <c r="K920" s="12"/>
      <c r="L920" s="9" t="n">
        <f aca="false">L919+H920</f>
        <v>12020</v>
      </c>
      <c r="M920" s="10" t="str">
        <f aca="false">VLOOKUP(J920,RECATALOGANDO!A:C,2,0)</f>
        <v>HONORARIOS MEDICOS</v>
      </c>
      <c r="N920" s="12" t="str">
        <f aca="false">VLOOKUP(M920,RECATALOGANDO!B:C,2,0)</f>
        <v>VENTA DE SERVICIO</v>
      </c>
      <c r="O920" s="2" t="s">
        <v>78</v>
      </c>
    </row>
    <row r="921" customFormat="false" ht="13.8" hidden="false" customHeight="false" outlineLevel="0" collapsed="false">
      <c r="A921" s="8" t="n">
        <v>45450</v>
      </c>
      <c r="B921" s="9" t="n">
        <f aca="false">DAY(A921)</f>
        <v>7</v>
      </c>
      <c r="C921" s="9" t="n">
        <f aca="false">MONTH(A921)</f>
        <v>6</v>
      </c>
      <c r="D921" s="9" t="n">
        <f aca="false">YEAR(A921)</f>
        <v>2024</v>
      </c>
      <c r="E921" s="9" t="n">
        <f aca="false">WEEKDAY(A921,2)</f>
        <v>5</v>
      </c>
      <c r="F921" s="10" t="n">
        <f aca="false">WEEKNUM(A921,2) - WEEKNUM(DATE(YEAR(A921),MONTH(A921),1),2) + 1</f>
        <v>2</v>
      </c>
      <c r="G921" s="10"/>
      <c r="H921" s="11" t="n">
        <v>450</v>
      </c>
      <c r="I921" s="12" t="s">
        <v>15</v>
      </c>
      <c r="J921" s="12" t="s">
        <v>49</v>
      </c>
      <c r="K921" s="12"/>
      <c r="L921" s="9" t="n">
        <f aca="false">L920+H921</f>
        <v>12470</v>
      </c>
      <c r="M921" s="10" t="str">
        <f aca="false">VLOOKUP(J921,RECATALOGANDO!A:C,2,0)</f>
        <v>SERVICIO DE GROOMING</v>
      </c>
      <c r="N921" s="12" t="str">
        <f aca="false">VLOOKUP(M921,RECATALOGANDO!B:C,2,0)</f>
        <v>VENTA DE SERVICIO</v>
      </c>
      <c r="O921" s="2" t="s">
        <v>78</v>
      </c>
    </row>
    <row r="922" customFormat="false" ht="13.8" hidden="false" customHeight="false" outlineLevel="0" collapsed="false">
      <c r="A922" s="8" t="n">
        <v>45451</v>
      </c>
      <c r="B922" s="9" t="n">
        <f aca="false">DAY(A922)</f>
        <v>8</v>
      </c>
      <c r="C922" s="9" t="n">
        <f aca="false">MONTH(A922)</f>
        <v>6</v>
      </c>
      <c r="D922" s="9" t="n">
        <f aca="false">YEAR(A922)</f>
        <v>2024</v>
      </c>
      <c r="E922" s="9" t="n">
        <f aca="false">WEEKDAY(A922,2)</f>
        <v>6</v>
      </c>
      <c r="F922" s="10" t="n">
        <f aca="false">WEEKNUM(A922,2) - WEEKNUM(DATE(YEAR(A922),MONTH(A922),1),2) + 1</f>
        <v>2</v>
      </c>
      <c r="G922" s="10"/>
      <c r="H922" s="11" t="n">
        <v>1002</v>
      </c>
      <c r="I922" s="12" t="s">
        <v>15</v>
      </c>
      <c r="J922" s="12" t="s">
        <v>44</v>
      </c>
      <c r="K922" s="12"/>
      <c r="L922" s="9" t="n">
        <f aca="false">L921+H922</f>
        <v>13472</v>
      </c>
      <c r="M922" s="10" t="str">
        <f aca="false">VLOOKUP(J922,RECATALOGANDO!A:C,2,0)</f>
        <v>HONORARIOS MEDICOS</v>
      </c>
      <c r="N922" s="12" t="str">
        <f aca="false">VLOOKUP(M922,RECATALOGANDO!B:C,2,0)</f>
        <v>VENTA DE SERVICIO</v>
      </c>
      <c r="O922" s="2" t="s">
        <v>78</v>
      </c>
    </row>
    <row r="923" customFormat="false" ht="13.8" hidden="false" customHeight="false" outlineLevel="0" collapsed="false">
      <c r="A923" s="8" t="n">
        <v>45452</v>
      </c>
      <c r="B923" s="9" t="n">
        <f aca="false">DAY(A923)</f>
        <v>9</v>
      </c>
      <c r="C923" s="9" t="n">
        <f aca="false">MONTH(A923)</f>
        <v>6</v>
      </c>
      <c r="D923" s="9" t="n">
        <f aca="false">YEAR(A923)</f>
        <v>2024</v>
      </c>
      <c r="E923" s="9" t="n">
        <f aca="false">WEEKDAY(A923,2)</f>
        <v>7</v>
      </c>
      <c r="F923" s="10" t="n">
        <f aca="false">WEEKNUM(A923,2) - WEEKNUM(DATE(YEAR(A923),MONTH(A923),1),2) + 1</f>
        <v>2</v>
      </c>
      <c r="G923" s="10"/>
      <c r="H923" s="11" t="n">
        <v>967</v>
      </c>
      <c r="I923" s="12" t="s">
        <v>15</v>
      </c>
      <c r="J923" s="12" t="s">
        <v>51</v>
      </c>
      <c r="K923" s="12"/>
      <c r="L923" s="9" t="n">
        <f aca="false">L922+H923</f>
        <v>14439</v>
      </c>
      <c r="M923" s="10" t="str">
        <f aca="false">VLOOKUP(J923,RECATALOGANDO!A:C,2,0)</f>
        <v>VENTA DE ALIMENTO</v>
      </c>
      <c r="N923" s="12" t="str">
        <f aca="false">VLOOKUP(M923,RECATALOGANDO!B:C,2,0)</f>
        <v>VENTA DE PRODUCTO</v>
      </c>
      <c r="O923" s="2" t="s">
        <v>78</v>
      </c>
    </row>
    <row r="924" customFormat="false" ht="13.8" hidden="false" customHeight="false" outlineLevel="0" collapsed="false">
      <c r="A924" s="8" t="n">
        <v>45452</v>
      </c>
      <c r="B924" s="9" t="n">
        <f aca="false">DAY(A924)</f>
        <v>9</v>
      </c>
      <c r="C924" s="9" t="n">
        <f aca="false">MONTH(A924)</f>
        <v>6</v>
      </c>
      <c r="D924" s="9" t="n">
        <f aca="false">YEAR(A924)</f>
        <v>2024</v>
      </c>
      <c r="E924" s="9" t="n">
        <f aca="false">WEEKDAY(A924,2)</f>
        <v>7</v>
      </c>
      <c r="F924" s="10" t="n">
        <f aca="false">WEEKNUM(A924,2) - WEEKNUM(DATE(YEAR(A924),MONTH(A924),1),2) + 1</f>
        <v>2</v>
      </c>
      <c r="G924" s="10"/>
      <c r="H924" s="11" t="n">
        <v>693</v>
      </c>
      <c r="I924" s="12" t="s">
        <v>15</v>
      </c>
      <c r="J924" s="12" t="s">
        <v>57</v>
      </c>
      <c r="K924" s="12"/>
      <c r="L924" s="9" t="n">
        <f aca="false">L923+H924</f>
        <v>15132</v>
      </c>
      <c r="M924" s="10" t="str">
        <f aca="false">VLOOKUP(J924,RECATALOGANDO!A:C,2,0)</f>
        <v>SERVICIO DE CREMACION</v>
      </c>
      <c r="N924" s="12" t="str">
        <f aca="false">VLOOKUP(M924,RECATALOGANDO!B:C,2,0)</f>
        <v>VENTA DE SERVICIO</v>
      </c>
      <c r="O924" s="2" t="s">
        <v>78</v>
      </c>
    </row>
    <row r="925" customFormat="false" ht="13.8" hidden="false" customHeight="false" outlineLevel="0" collapsed="false">
      <c r="A925" s="8" t="n">
        <v>45453</v>
      </c>
      <c r="B925" s="9" t="n">
        <f aca="false">DAY(A925)</f>
        <v>10</v>
      </c>
      <c r="C925" s="9" t="n">
        <f aca="false">MONTH(A925)</f>
        <v>6</v>
      </c>
      <c r="D925" s="9" t="n">
        <f aca="false">YEAR(A925)</f>
        <v>2024</v>
      </c>
      <c r="E925" s="9" t="n">
        <f aca="false">WEEKDAY(A925,2)</f>
        <v>1</v>
      </c>
      <c r="F925" s="10" t="n">
        <f aca="false">WEEKNUM(A925,2) - WEEKNUM(DATE(YEAR(A925),MONTH(A925),1),2) + 1</f>
        <v>3</v>
      </c>
      <c r="G925" s="10"/>
      <c r="H925" s="11" t="n">
        <v>420</v>
      </c>
      <c r="I925" s="12" t="s">
        <v>20</v>
      </c>
      <c r="J925" s="12" t="s">
        <v>45</v>
      </c>
      <c r="K925" s="12"/>
      <c r="L925" s="9" t="n">
        <f aca="false">L924+H925</f>
        <v>15552</v>
      </c>
      <c r="M925" s="10" t="str">
        <f aca="false">VLOOKUP(J925,RECATALOGANDO!A:C,2,0)</f>
        <v>VENTA DE MEDICAMENTO</v>
      </c>
      <c r="N925" s="12" t="str">
        <f aca="false">VLOOKUP(M925,RECATALOGANDO!B:C,2,0)</f>
        <v>VENTA DE PRODUCTO</v>
      </c>
      <c r="O925" s="2" t="s">
        <v>78</v>
      </c>
    </row>
    <row r="926" customFormat="false" ht="13.8" hidden="false" customHeight="false" outlineLevel="0" collapsed="false">
      <c r="A926" s="8" t="n">
        <v>45453</v>
      </c>
      <c r="B926" s="9" t="n">
        <f aca="false">DAY(A926)</f>
        <v>10</v>
      </c>
      <c r="C926" s="9" t="n">
        <f aca="false">MONTH(A926)</f>
        <v>6</v>
      </c>
      <c r="D926" s="9" t="n">
        <f aca="false">YEAR(A926)</f>
        <v>2024</v>
      </c>
      <c r="E926" s="9" t="n">
        <f aca="false">WEEKDAY(A926,2)</f>
        <v>1</v>
      </c>
      <c r="F926" s="10" t="n">
        <f aca="false">WEEKNUM(A926,2) - WEEKNUM(DATE(YEAR(A926),MONTH(A926),1),2) + 1</f>
        <v>3</v>
      </c>
      <c r="G926" s="10"/>
      <c r="H926" s="11" t="n">
        <v>1550</v>
      </c>
      <c r="I926" s="12" t="s">
        <v>20</v>
      </c>
      <c r="J926" s="12" t="s">
        <v>51</v>
      </c>
      <c r="K926" s="12"/>
      <c r="L926" s="9" t="n">
        <f aca="false">L925+H926</f>
        <v>17102</v>
      </c>
      <c r="M926" s="10" t="str">
        <f aca="false">VLOOKUP(J926,RECATALOGANDO!A:C,2,0)</f>
        <v>VENTA DE ALIMENTO</v>
      </c>
      <c r="N926" s="12" t="str">
        <f aca="false">VLOOKUP(M926,RECATALOGANDO!B:C,2,0)</f>
        <v>VENTA DE PRODUCTO</v>
      </c>
      <c r="O926" s="2" t="s">
        <v>78</v>
      </c>
    </row>
    <row r="927" customFormat="false" ht="13.8" hidden="false" customHeight="false" outlineLevel="0" collapsed="false">
      <c r="A927" s="8" t="n">
        <v>45453</v>
      </c>
      <c r="B927" s="9" t="n">
        <f aca="false">DAY(A927)</f>
        <v>10</v>
      </c>
      <c r="C927" s="9" t="n">
        <f aca="false">MONTH(A927)</f>
        <v>6</v>
      </c>
      <c r="D927" s="9" t="n">
        <f aca="false">YEAR(A927)</f>
        <v>2024</v>
      </c>
      <c r="E927" s="9" t="n">
        <f aca="false">WEEKDAY(A927,2)</f>
        <v>1</v>
      </c>
      <c r="F927" s="10" t="n">
        <f aca="false">WEEKNUM(A927,2) - WEEKNUM(DATE(YEAR(A927),MONTH(A927),1),2) + 1</f>
        <v>3</v>
      </c>
      <c r="G927" s="10"/>
      <c r="H927" s="11" t="n">
        <v>1585</v>
      </c>
      <c r="I927" s="12" t="s">
        <v>20</v>
      </c>
      <c r="J927" s="12" t="s">
        <v>55</v>
      </c>
      <c r="K927" s="12"/>
      <c r="L927" s="9" t="n">
        <f aca="false">L926+H927</f>
        <v>18687</v>
      </c>
      <c r="M927" s="10" t="str">
        <f aca="false">VLOOKUP(J927,RECATALOGANDO!A:C,2,0)</f>
        <v>VENTA DE MEDICAMENTO</v>
      </c>
      <c r="N927" s="12" t="str">
        <f aca="false">VLOOKUP(M927,RECATALOGANDO!B:C,2,0)</f>
        <v>VENTA DE PRODUCTO</v>
      </c>
      <c r="O927" s="2" t="s">
        <v>78</v>
      </c>
    </row>
    <row r="928" customFormat="false" ht="13.8" hidden="false" customHeight="false" outlineLevel="0" collapsed="false">
      <c r="A928" s="8" t="n">
        <v>45453</v>
      </c>
      <c r="B928" s="9" t="n">
        <f aca="false">DAY(A928)</f>
        <v>10</v>
      </c>
      <c r="C928" s="9" t="n">
        <f aca="false">MONTH(A928)</f>
        <v>6</v>
      </c>
      <c r="D928" s="9" t="n">
        <f aca="false">YEAR(A928)</f>
        <v>2024</v>
      </c>
      <c r="E928" s="9" t="n">
        <f aca="false">WEEKDAY(A928,2)</f>
        <v>1</v>
      </c>
      <c r="F928" s="10" t="n">
        <f aca="false">WEEKNUM(A928,2) - WEEKNUM(DATE(YEAR(A928),MONTH(A928),1),2) + 1</f>
        <v>3</v>
      </c>
      <c r="G928" s="10"/>
      <c r="H928" s="11" t="n">
        <v>200</v>
      </c>
      <c r="I928" s="12" t="s">
        <v>20</v>
      </c>
      <c r="J928" s="12" t="s">
        <v>49</v>
      </c>
      <c r="K928" s="12"/>
      <c r="L928" s="9" t="n">
        <f aca="false">L927+H928</f>
        <v>18887</v>
      </c>
      <c r="M928" s="10" t="str">
        <f aca="false">VLOOKUP(J928,RECATALOGANDO!A:C,2,0)</f>
        <v>SERVICIO DE GROOMING</v>
      </c>
      <c r="N928" s="12" t="str">
        <f aca="false">VLOOKUP(M928,RECATALOGANDO!B:C,2,0)</f>
        <v>VENTA DE SERVICIO</v>
      </c>
      <c r="O928" s="2" t="s">
        <v>78</v>
      </c>
    </row>
    <row r="929" customFormat="false" ht="13.8" hidden="false" customHeight="false" outlineLevel="0" collapsed="false">
      <c r="A929" s="8" t="n">
        <v>45455</v>
      </c>
      <c r="B929" s="9" t="n">
        <f aca="false">DAY(A929)</f>
        <v>12</v>
      </c>
      <c r="C929" s="9" t="n">
        <f aca="false">MONTH(A929)</f>
        <v>6</v>
      </c>
      <c r="D929" s="9" t="n">
        <f aca="false">YEAR(A929)</f>
        <v>2024</v>
      </c>
      <c r="E929" s="9" t="n">
        <f aca="false">WEEKDAY(A929,2)</f>
        <v>3</v>
      </c>
      <c r="F929" s="10" t="n">
        <f aca="false">WEEKNUM(A929,2) - WEEKNUM(DATE(YEAR(A929),MONTH(A929),1),2) + 1</f>
        <v>3</v>
      </c>
      <c r="G929" s="10"/>
      <c r="H929" s="11" t="n">
        <v>700</v>
      </c>
      <c r="I929" s="12" t="s">
        <v>20</v>
      </c>
      <c r="J929" s="12" t="s">
        <v>54</v>
      </c>
      <c r="K929" s="12"/>
      <c r="L929" s="9" t="n">
        <f aca="false">L928+H929</f>
        <v>19587</v>
      </c>
      <c r="M929" s="10" t="str">
        <f aca="false">VLOOKUP(J929,RECATALOGANDO!A:C,2,0)</f>
        <v>SERVICIO DE LABORATORIO</v>
      </c>
      <c r="N929" s="12" t="str">
        <f aca="false">VLOOKUP(M929,RECATALOGANDO!B:C,2,0)</f>
        <v>VENTA DE SERVICIO</v>
      </c>
      <c r="O929" s="2" t="s">
        <v>78</v>
      </c>
    </row>
    <row r="930" customFormat="false" ht="13.8" hidden="false" customHeight="false" outlineLevel="0" collapsed="false">
      <c r="A930" s="8" t="n">
        <v>45455</v>
      </c>
      <c r="B930" s="9" t="n">
        <f aca="false">DAY(A930)</f>
        <v>12</v>
      </c>
      <c r="C930" s="9" t="n">
        <f aca="false">MONTH(A930)</f>
        <v>6</v>
      </c>
      <c r="D930" s="9" t="n">
        <f aca="false">YEAR(A930)</f>
        <v>2024</v>
      </c>
      <c r="E930" s="9" t="n">
        <f aca="false">WEEKDAY(A930,2)</f>
        <v>3</v>
      </c>
      <c r="F930" s="10" t="n">
        <f aca="false">WEEKNUM(A930,2) - WEEKNUM(DATE(YEAR(A930),MONTH(A930),1),2) + 1</f>
        <v>3</v>
      </c>
      <c r="G930" s="10"/>
      <c r="H930" s="11" t="n">
        <v>713</v>
      </c>
      <c r="I930" s="12" t="s">
        <v>15</v>
      </c>
      <c r="J930" s="12" t="s">
        <v>59</v>
      </c>
      <c r="K930" s="12"/>
      <c r="L930" s="9" t="n">
        <f aca="false">L929+H930</f>
        <v>20300</v>
      </c>
      <c r="M930" s="10" t="str">
        <f aca="false">VLOOKUP(J930,RECATALOGANDO!A:C,2,0)</f>
        <v>SERVICIO DE PENSION</v>
      </c>
      <c r="N930" s="12" t="str">
        <f aca="false">VLOOKUP(M930,RECATALOGANDO!B:C,2,0)</f>
        <v>VENTA DE SERVICIO</v>
      </c>
      <c r="O930" s="2" t="s">
        <v>78</v>
      </c>
    </row>
    <row r="931" customFormat="false" ht="13.8" hidden="false" customHeight="false" outlineLevel="0" collapsed="false">
      <c r="A931" s="8" t="n">
        <v>45456</v>
      </c>
      <c r="B931" s="9" t="n">
        <f aca="false">DAY(A931)</f>
        <v>13</v>
      </c>
      <c r="C931" s="9" t="n">
        <f aca="false">MONTH(A931)</f>
        <v>6</v>
      </c>
      <c r="D931" s="9" t="n">
        <f aca="false">YEAR(A931)</f>
        <v>2024</v>
      </c>
      <c r="E931" s="9" t="n">
        <f aca="false">WEEKDAY(A931,2)</f>
        <v>4</v>
      </c>
      <c r="F931" s="10" t="n">
        <f aca="false">WEEKNUM(A931,2) - WEEKNUM(DATE(YEAR(A931),MONTH(A931),1),2) + 1</f>
        <v>3</v>
      </c>
      <c r="G931" s="10"/>
      <c r="H931" s="11" t="n">
        <v>2410</v>
      </c>
      <c r="I931" s="12" t="s">
        <v>15</v>
      </c>
      <c r="J931" s="12" t="s">
        <v>55</v>
      </c>
      <c r="K931" s="12"/>
      <c r="L931" s="9" t="n">
        <f aca="false">L930+H931</f>
        <v>22710</v>
      </c>
      <c r="M931" s="10" t="str">
        <f aca="false">VLOOKUP(J931,RECATALOGANDO!A:C,2,0)</f>
        <v>VENTA DE MEDICAMENTO</v>
      </c>
      <c r="N931" s="12" t="str">
        <f aca="false">VLOOKUP(M931,RECATALOGANDO!B:C,2,0)</f>
        <v>VENTA DE PRODUCTO</v>
      </c>
      <c r="O931" s="2" t="s">
        <v>78</v>
      </c>
    </row>
    <row r="932" customFormat="false" ht="13.8" hidden="false" customHeight="false" outlineLevel="0" collapsed="false">
      <c r="A932" s="8" t="n">
        <v>45458</v>
      </c>
      <c r="B932" s="9" t="n">
        <f aca="false">DAY(A932)</f>
        <v>15</v>
      </c>
      <c r="C932" s="9" t="n">
        <f aca="false">MONTH(A932)</f>
        <v>6</v>
      </c>
      <c r="D932" s="9" t="n">
        <f aca="false">YEAR(A932)</f>
        <v>2024</v>
      </c>
      <c r="E932" s="9" t="n">
        <f aca="false">WEEKDAY(A932,2)</f>
        <v>6</v>
      </c>
      <c r="F932" s="10" t="n">
        <f aca="false">WEEKNUM(A932,2) - WEEKNUM(DATE(YEAR(A932),MONTH(A932),1),2) + 1</f>
        <v>3</v>
      </c>
      <c r="G932" s="10"/>
      <c r="H932" s="11" t="n">
        <v>2471</v>
      </c>
      <c r="I932" s="12" t="s">
        <v>15</v>
      </c>
      <c r="J932" s="12" t="s">
        <v>51</v>
      </c>
      <c r="K932" s="12"/>
      <c r="L932" s="9" t="n">
        <f aca="false">L931+H932</f>
        <v>25181</v>
      </c>
      <c r="M932" s="10" t="str">
        <f aca="false">VLOOKUP(J932,RECATALOGANDO!A:C,2,0)</f>
        <v>VENTA DE ALIMENTO</v>
      </c>
      <c r="N932" s="12" t="str">
        <f aca="false">VLOOKUP(M932,RECATALOGANDO!B:C,2,0)</f>
        <v>VENTA DE PRODUCTO</v>
      </c>
      <c r="O932" s="2" t="s">
        <v>78</v>
      </c>
    </row>
    <row r="933" customFormat="false" ht="13.8" hidden="false" customHeight="false" outlineLevel="0" collapsed="false">
      <c r="A933" s="8" t="n">
        <v>45460</v>
      </c>
      <c r="B933" s="9" t="n">
        <f aca="false">DAY(A933)</f>
        <v>17</v>
      </c>
      <c r="C933" s="9" t="n">
        <f aca="false">MONTH(A933)</f>
        <v>6</v>
      </c>
      <c r="D933" s="9" t="n">
        <f aca="false">YEAR(A933)</f>
        <v>2024</v>
      </c>
      <c r="E933" s="9" t="n">
        <f aca="false">WEEKDAY(A933,2)</f>
        <v>1</v>
      </c>
      <c r="F933" s="10" t="n">
        <f aca="false">WEEKNUM(A933,2) - WEEKNUM(DATE(YEAR(A933),MONTH(A933),1),2) + 1</f>
        <v>4</v>
      </c>
      <c r="G933" s="10"/>
      <c r="H933" s="11" t="n">
        <v>182</v>
      </c>
      <c r="I933" s="12" t="s">
        <v>20</v>
      </c>
      <c r="J933" s="12" t="s">
        <v>45</v>
      </c>
      <c r="K933" s="12"/>
      <c r="L933" s="9" t="n">
        <f aca="false">L932+H933</f>
        <v>25363</v>
      </c>
      <c r="M933" s="10" t="str">
        <f aca="false">VLOOKUP(J933,RECATALOGANDO!A:C,2,0)</f>
        <v>VENTA DE MEDICAMENTO</v>
      </c>
      <c r="N933" s="12" t="str">
        <f aca="false">VLOOKUP(M933,RECATALOGANDO!B:C,2,0)</f>
        <v>VENTA DE PRODUCTO</v>
      </c>
      <c r="O933" s="2" t="s">
        <v>78</v>
      </c>
    </row>
    <row r="934" customFormat="false" ht="13.8" hidden="false" customHeight="false" outlineLevel="0" collapsed="false">
      <c r="A934" s="8" t="n">
        <v>45460</v>
      </c>
      <c r="B934" s="9" t="n">
        <f aca="false">DAY(A934)</f>
        <v>17</v>
      </c>
      <c r="C934" s="9" t="n">
        <f aca="false">MONTH(A934)</f>
        <v>6</v>
      </c>
      <c r="D934" s="9" t="n">
        <f aca="false">YEAR(A934)</f>
        <v>2024</v>
      </c>
      <c r="E934" s="9" t="n">
        <f aca="false">WEEKDAY(A934,2)</f>
        <v>1</v>
      </c>
      <c r="F934" s="10" t="n">
        <f aca="false">WEEKNUM(A934,2) - WEEKNUM(DATE(YEAR(A934),MONTH(A934),1),2) + 1</f>
        <v>4</v>
      </c>
      <c r="G934" s="10"/>
      <c r="H934" s="11" t="n">
        <v>1160</v>
      </c>
      <c r="I934" s="12" t="s">
        <v>20</v>
      </c>
      <c r="J934" s="12" t="s">
        <v>45</v>
      </c>
      <c r="K934" s="12"/>
      <c r="L934" s="9" t="n">
        <f aca="false">L933+H934</f>
        <v>26523</v>
      </c>
      <c r="M934" s="10" t="str">
        <f aca="false">VLOOKUP(J934,RECATALOGANDO!A:C,2,0)</f>
        <v>VENTA DE MEDICAMENTO</v>
      </c>
      <c r="N934" s="12" t="str">
        <f aca="false">VLOOKUP(M934,RECATALOGANDO!B:C,2,0)</f>
        <v>VENTA DE PRODUCTO</v>
      </c>
      <c r="O934" s="2" t="s">
        <v>78</v>
      </c>
    </row>
    <row r="935" customFormat="false" ht="13.8" hidden="false" customHeight="false" outlineLevel="0" collapsed="false">
      <c r="A935" s="8" t="n">
        <v>45460</v>
      </c>
      <c r="B935" s="9" t="n">
        <f aca="false">DAY(A935)</f>
        <v>17</v>
      </c>
      <c r="C935" s="9" t="n">
        <f aca="false">MONTH(A935)</f>
        <v>6</v>
      </c>
      <c r="D935" s="9" t="n">
        <f aca="false">YEAR(A935)</f>
        <v>2024</v>
      </c>
      <c r="E935" s="9" t="n">
        <f aca="false">WEEKDAY(A935,2)</f>
        <v>1</v>
      </c>
      <c r="F935" s="10" t="n">
        <f aca="false">WEEKNUM(A935,2) - WEEKNUM(DATE(YEAR(A935),MONTH(A935),1),2) + 1</f>
        <v>4</v>
      </c>
      <c r="G935" s="10"/>
      <c r="H935" s="11" t="n">
        <v>70</v>
      </c>
      <c r="I935" s="12" t="s">
        <v>20</v>
      </c>
      <c r="J935" s="12" t="s">
        <v>44</v>
      </c>
      <c r="K935" s="12"/>
      <c r="L935" s="9" t="n">
        <f aca="false">L934+H935</f>
        <v>26593</v>
      </c>
      <c r="M935" s="10" t="str">
        <f aca="false">VLOOKUP(J935,RECATALOGANDO!A:C,2,0)</f>
        <v>HONORARIOS MEDICOS</v>
      </c>
      <c r="N935" s="12" t="str">
        <f aca="false">VLOOKUP(M935,RECATALOGANDO!B:C,2,0)</f>
        <v>VENTA DE SERVICIO</v>
      </c>
      <c r="O935" s="2" t="s">
        <v>78</v>
      </c>
    </row>
    <row r="936" customFormat="false" ht="13.8" hidden="false" customHeight="false" outlineLevel="0" collapsed="false">
      <c r="A936" s="8" t="n">
        <v>45460</v>
      </c>
      <c r="B936" s="9" t="n">
        <f aca="false">DAY(A936)</f>
        <v>17</v>
      </c>
      <c r="C936" s="9" t="n">
        <f aca="false">MONTH(A936)</f>
        <v>6</v>
      </c>
      <c r="D936" s="9" t="n">
        <f aca="false">YEAR(A936)</f>
        <v>2024</v>
      </c>
      <c r="E936" s="9" t="n">
        <f aca="false">WEEKDAY(A936,2)</f>
        <v>1</v>
      </c>
      <c r="F936" s="10" t="n">
        <f aca="false">WEEKNUM(A936,2) - WEEKNUM(DATE(YEAR(A936),MONTH(A936),1),2) + 1</f>
        <v>4</v>
      </c>
      <c r="G936" s="10"/>
      <c r="H936" s="11" t="n">
        <v>350</v>
      </c>
      <c r="I936" s="12" t="s">
        <v>20</v>
      </c>
      <c r="J936" s="12" t="s">
        <v>44</v>
      </c>
      <c r="K936" s="12"/>
      <c r="L936" s="9" t="n">
        <f aca="false">L935+H936</f>
        <v>26943</v>
      </c>
      <c r="M936" s="10" t="str">
        <f aca="false">VLOOKUP(J936,RECATALOGANDO!A:C,2,0)</f>
        <v>HONORARIOS MEDICOS</v>
      </c>
      <c r="N936" s="12" t="str">
        <f aca="false">VLOOKUP(M936,RECATALOGANDO!B:C,2,0)</f>
        <v>VENTA DE SERVICIO</v>
      </c>
      <c r="O936" s="2" t="s">
        <v>78</v>
      </c>
    </row>
    <row r="937" customFormat="false" ht="13.8" hidden="false" customHeight="false" outlineLevel="0" collapsed="false">
      <c r="A937" s="8" t="n">
        <v>45461</v>
      </c>
      <c r="B937" s="9" t="n">
        <f aca="false">DAY(A937)</f>
        <v>18</v>
      </c>
      <c r="C937" s="9" t="n">
        <f aca="false">MONTH(A937)</f>
        <v>6</v>
      </c>
      <c r="D937" s="9" t="n">
        <f aca="false">YEAR(A937)</f>
        <v>2024</v>
      </c>
      <c r="E937" s="9" t="n">
        <f aca="false">WEEKDAY(A937,2)</f>
        <v>2</v>
      </c>
      <c r="F937" s="10" t="n">
        <f aca="false">WEEKNUM(A937,2) - WEEKNUM(DATE(YEAR(A937),MONTH(A937),1),2) + 1</f>
        <v>4</v>
      </c>
      <c r="G937" s="10"/>
      <c r="H937" s="11" t="n">
        <v>899</v>
      </c>
      <c r="I937" s="12" t="s">
        <v>20</v>
      </c>
      <c r="J937" s="12" t="s">
        <v>51</v>
      </c>
      <c r="K937" s="12"/>
      <c r="L937" s="9" t="n">
        <f aca="false">L936+H937</f>
        <v>27842</v>
      </c>
      <c r="M937" s="10" t="str">
        <f aca="false">VLOOKUP(J937,RECATALOGANDO!A:C,2,0)</f>
        <v>VENTA DE ALIMENTO</v>
      </c>
      <c r="N937" s="12" t="str">
        <f aca="false">VLOOKUP(M937,RECATALOGANDO!B:C,2,0)</f>
        <v>VENTA DE PRODUCTO</v>
      </c>
      <c r="O937" s="2" t="s">
        <v>78</v>
      </c>
    </row>
    <row r="938" customFormat="false" ht="13.8" hidden="false" customHeight="false" outlineLevel="0" collapsed="false">
      <c r="A938" s="8" t="n">
        <v>45461</v>
      </c>
      <c r="B938" s="9" t="n">
        <f aca="false">DAY(A938)</f>
        <v>18</v>
      </c>
      <c r="C938" s="9" t="n">
        <f aca="false">MONTH(A938)</f>
        <v>6</v>
      </c>
      <c r="D938" s="9" t="n">
        <f aca="false">YEAR(A938)</f>
        <v>2024</v>
      </c>
      <c r="E938" s="9" t="n">
        <f aca="false">WEEKDAY(A938,2)</f>
        <v>2</v>
      </c>
      <c r="F938" s="10" t="n">
        <f aca="false">WEEKNUM(A938,2) - WEEKNUM(DATE(YEAR(A938),MONTH(A938),1),2) + 1</f>
        <v>4</v>
      </c>
      <c r="G938" s="10"/>
      <c r="H938" s="11" t="n">
        <v>4625</v>
      </c>
      <c r="I938" s="12" t="s">
        <v>15</v>
      </c>
      <c r="J938" s="12" t="s">
        <v>51</v>
      </c>
      <c r="K938" s="12"/>
      <c r="L938" s="9" t="n">
        <f aca="false">L937+H938</f>
        <v>32467</v>
      </c>
      <c r="M938" s="10" t="str">
        <f aca="false">VLOOKUP(J938,RECATALOGANDO!A:C,2,0)</f>
        <v>VENTA DE ALIMENTO</v>
      </c>
      <c r="N938" s="12" t="str">
        <f aca="false">VLOOKUP(M938,RECATALOGANDO!B:C,2,0)</f>
        <v>VENTA DE PRODUCTO</v>
      </c>
      <c r="O938" s="2" t="s">
        <v>78</v>
      </c>
    </row>
    <row r="939" customFormat="false" ht="13.8" hidden="false" customHeight="false" outlineLevel="0" collapsed="false">
      <c r="A939" s="8" t="n">
        <v>45461</v>
      </c>
      <c r="B939" s="9" t="n">
        <f aca="false">DAY(A939)</f>
        <v>18</v>
      </c>
      <c r="C939" s="9" t="n">
        <f aca="false">MONTH(A939)</f>
        <v>6</v>
      </c>
      <c r="D939" s="9" t="n">
        <f aca="false">YEAR(A939)</f>
        <v>2024</v>
      </c>
      <c r="E939" s="9" t="n">
        <f aca="false">WEEKDAY(A939,2)</f>
        <v>2</v>
      </c>
      <c r="F939" s="10" t="n">
        <f aca="false">WEEKNUM(A939,2) - WEEKNUM(DATE(YEAR(A939),MONTH(A939),1),2) + 1</f>
        <v>4</v>
      </c>
      <c r="G939" s="10"/>
      <c r="H939" s="11" t="n">
        <v>2231</v>
      </c>
      <c r="I939" s="12" t="s">
        <v>20</v>
      </c>
      <c r="J939" s="12" t="s">
        <v>64</v>
      </c>
      <c r="K939" s="12"/>
      <c r="L939" s="9" t="n">
        <f aca="false">L938+H939</f>
        <v>34698</v>
      </c>
      <c r="M939" s="10" t="str">
        <f aca="false">VLOOKUP(J939,RECATALOGANDO!A:C,2,0)</f>
        <v>HONORARIOS QUIRURGICOS</v>
      </c>
      <c r="N939" s="12" t="str">
        <f aca="false">VLOOKUP(M939,RECATALOGANDO!B:C,2,0)</f>
        <v>VENTA DE SERVICIO</v>
      </c>
      <c r="O939" s="2" t="s">
        <v>78</v>
      </c>
    </row>
    <row r="940" customFormat="false" ht="13.8" hidden="false" customHeight="false" outlineLevel="0" collapsed="false">
      <c r="A940" s="8" t="n">
        <v>45462</v>
      </c>
      <c r="B940" s="9" t="n">
        <f aca="false">DAY(A940)</f>
        <v>19</v>
      </c>
      <c r="C940" s="9" t="n">
        <f aca="false">MONTH(A940)</f>
        <v>6</v>
      </c>
      <c r="D940" s="9" t="n">
        <f aca="false">YEAR(A940)</f>
        <v>2024</v>
      </c>
      <c r="E940" s="9" t="n">
        <f aca="false">WEEKDAY(A940,2)</f>
        <v>3</v>
      </c>
      <c r="F940" s="10" t="n">
        <f aca="false">WEEKNUM(A940,2) - WEEKNUM(DATE(YEAR(A940),MONTH(A940),1),2) + 1</f>
        <v>4</v>
      </c>
      <c r="G940" s="10"/>
      <c r="H940" s="11" t="n">
        <v>140</v>
      </c>
      <c r="I940" s="12" t="s">
        <v>20</v>
      </c>
      <c r="J940" s="12" t="s">
        <v>49</v>
      </c>
      <c r="K940" s="12"/>
      <c r="L940" s="9" t="n">
        <f aca="false">L939+H940</f>
        <v>34838</v>
      </c>
      <c r="M940" s="10" t="str">
        <f aca="false">VLOOKUP(J940,RECATALOGANDO!A:C,2,0)</f>
        <v>SERVICIO DE GROOMING</v>
      </c>
      <c r="N940" s="12" t="str">
        <f aca="false">VLOOKUP(M940,RECATALOGANDO!B:C,2,0)</f>
        <v>VENTA DE SERVICIO</v>
      </c>
      <c r="O940" s="2" t="s">
        <v>78</v>
      </c>
    </row>
    <row r="941" customFormat="false" ht="13.8" hidden="false" customHeight="false" outlineLevel="0" collapsed="false">
      <c r="A941" s="8" t="n">
        <v>45462</v>
      </c>
      <c r="B941" s="9" t="n">
        <f aca="false">DAY(A941)</f>
        <v>19</v>
      </c>
      <c r="C941" s="9" t="n">
        <f aca="false">MONTH(A941)</f>
        <v>6</v>
      </c>
      <c r="D941" s="9" t="n">
        <f aca="false">YEAR(A941)</f>
        <v>2024</v>
      </c>
      <c r="E941" s="9" t="n">
        <f aca="false">WEEKDAY(A941,2)</f>
        <v>3</v>
      </c>
      <c r="F941" s="10" t="n">
        <f aca="false">WEEKNUM(A941,2) - WEEKNUM(DATE(YEAR(A941),MONTH(A941),1),2) + 1</f>
        <v>4</v>
      </c>
      <c r="G941" s="10"/>
      <c r="H941" s="11" t="n">
        <v>150</v>
      </c>
      <c r="I941" s="12" t="s">
        <v>20</v>
      </c>
      <c r="J941" s="12" t="s">
        <v>49</v>
      </c>
      <c r="K941" s="12"/>
      <c r="L941" s="9" t="n">
        <f aca="false">L940+H941</f>
        <v>34988</v>
      </c>
      <c r="M941" s="10" t="str">
        <f aca="false">VLOOKUP(J941,RECATALOGANDO!A:C,2,0)</f>
        <v>SERVICIO DE GROOMING</v>
      </c>
      <c r="N941" s="12" t="str">
        <f aca="false">VLOOKUP(M941,RECATALOGANDO!B:C,2,0)</f>
        <v>VENTA DE SERVICIO</v>
      </c>
      <c r="O941" s="2" t="s">
        <v>78</v>
      </c>
    </row>
    <row r="942" customFormat="false" ht="13.8" hidden="false" customHeight="false" outlineLevel="0" collapsed="false">
      <c r="A942" s="8" t="n">
        <v>45462</v>
      </c>
      <c r="B942" s="9" t="n">
        <f aca="false">DAY(A942)</f>
        <v>19</v>
      </c>
      <c r="C942" s="9" t="n">
        <f aca="false">MONTH(A942)</f>
        <v>6</v>
      </c>
      <c r="D942" s="9" t="n">
        <f aca="false">YEAR(A942)</f>
        <v>2024</v>
      </c>
      <c r="E942" s="9" t="n">
        <f aca="false">WEEKDAY(A942,2)</f>
        <v>3</v>
      </c>
      <c r="F942" s="10" t="n">
        <f aca="false">WEEKNUM(A942,2) - WEEKNUM(DATE(YEAR(A942),MONTH(A942),1),2) + 1</f>
        <v>4</v>
      </c>
      <c r="G942" s="10"/>
      <c r="H942" s="11" t="n">
        <v>1300</v>
      </c>
      <c r="I942" s="12" t="s">
        <v>15</v>
      </c>
      <c r="J942" s="12" t="s">
        <v>57</v>
      </c>
      <c r="K942" s="12"/>
      <c r="L942" s="9" t="n">
        <f aca="false">L941+H942</f>
        <v>36288</v>
      </c>
      <c r="M942" s="10" t="str">
        <f aca="false">VLOOKUP(J942,RECATALOGANDO!A:C,2,0)</f>
        <v>SERVICIO DE CREMACION</v>
      </c>
      <c r="N942" s="12" t="str">
        <f aca="false">VLOOKUP(M942,RECATALOGANDO!B:C,2,0)</f>
        <v>VENTA DE SERVICIO</v>
      </c>
      <c r="O942" s="2" t="s">
        <v>78</v>
      </c>
    </row>
    <row r="943" customFormat="false" ht="13.8" hidden="false" customHeight="false" outlineLevel="0" collapsed="false">
      <c r="A943" s="8" t="n">
        <v>45469</v>
      </c>
      <c r="B943" s="9" t="n">
        <f aca="false">DAY(A943)</f>
        <v>26</v>
      </c>
      <c r="C943" s="9" t="n">
        <f aca="false">MONTH(A943)</f>
        <v>6</v>
      </c>
      <c r="D943" s="9" t="n">
        <f aca="false">YEAR(A943)</f>
        <v>2024</v>
      </c>
      <c r="E943" s="9" t="n">
        <f aca="false">WEEKDAY(A943,2)</f>
        <v>3</v>
      </c>
      <c r="F943" s="10" t="n">
        <f aca="false">WEEKNUM(A943,2) - WEEKNUM(DATE(YEAR(A943),MONTH(A943),1),2) + 1</f>
        <v>5</v>
      </c>
      <c r="G943" s="10"/>
      <c r="H943" s="11" t="n">
        <v>555</v>
      </c>
      <c r="I943" s="12" t="s">
        <v>15</v>
      </c>
      <c r="J943" s="12" t="s">
        <v>59</v>
      </c>
      <c r="K943" s="12"/>
      <c r="L943" s="9" t="n">
        <f aca="false">L942+H943</f>
        <v>36843</v>
      </c>
      <c r="M943" s="10" t="str">
        <f aca="false">VLOOKUP(J943,RECATALOGANDO!A:C,2,0)</f>
        <v>SERVICIO DE PENSION</v>
      </c>
      <c r="N943" s="12" t="str">
        <f aca="false">VLOOKUP(M943,RECATALOGANDO!B:C,2,0)</f>
        <v>VENTA DE SERVICIO</v>
      </c>
      <c r="O943" s="2" t="s">
        <v>78</v>
      </c>
    </row>
    <row r="944" customFormat="false" ht="13.8" hidden="false" customHeight="false" outlineLevel="0" collapsed="false">
      <c r="A944" s="8" t="n">
        <v>45470</v>
      </c>
      <c r="B944" s="9" t="n">
        <f aca="false">DAY(A944)</f>
        <v>27</v>
      </c>
      <c r="C944" s="9" t="n">
        <f aca="false">MONTH(A944)</f>
        <v>6</v>
      </c>
      <c r="D944" s="9" t="n">
        <f aca="false">YEAR(A944)</f>
        <v>2024</v>
      </c>
      <c r="E944" s="9" t="n">
        <f aca="false">WEEKDAY(A944,2)</f>
        <v>4</v>
      </c>
      <c r="F944" s="10" t="n">
        <f aca="false">WEEKNUM(A944,2) - WEEKNUM(DATE(YEAR(A944),MONTH(A944),1),2) + 1</f>
        <v>5</v>
      </c>
      <c r="G944" s="10"/>
      <c r="H944" s="11" t="n">
        <v>387</v>
      </c>
      <c r="I944" s="12" t="s">
        <v>15</v>
      </c>
      <c r="J944" s="12" t="s">
        <v>51</v>
      </c>
      <c r="K944" s="12"/>
      <c r="L944" s="9" t="n">
        <f aca="false">L943+H944</f>
        <v>37230</v>
      </c>
      <c r="M944" s="10" t="str">
        <f aca="false">VLOOKUP(J944,RECATALOGANDO!A:C,2,0)</f>
        <v>VENTA DE ALIMENTO</v>
      </c>
      <c r="N944" s="12" t="str">
        <f aca="false">VLOOKUP(M944,RECATALOGANDO!B:C,2,0)</f>
        <v>VENTA DE PRODUCTO</v>
      </c>
      <c r="O944" s="2" t="s">
        <v>78</v>
      </c>
    </row>
    <row r="945" customFormat="false" ht="13.8" hidden="false" customHeight="false" outlineLevel="0" collapsed="false">
      <c r="A945" s="8" t="n">
        <v>45471</v>
      </c>
      <c r="B945" s="9" t="n">
        <f aca="false">DAY(A945)</f>
        <v>28</v>
      </c>
      <c r="C945" s="9" t="n">
        <f aca="false">MONTH(A945)</f>
        <v>6</v>
      </c>
      <c r="D945" s="9" t="n">
        <f aca="false">YEAR(A945)</f>
        <v>2024</v>
      </c>
      <c r="E945" s="9" t="n">
        <f aca="false">WEEKDAY(A945,2)</f>
        <v>5</v>
      </c>
      <c r="F945" s="10" t="n">
        <f aca="false">WEEKNUM(A945,2) - WEEKNUM(DATE(YEAR(A945),MONTH(A945),1),2) + 1</f>
        <v>5</v>
      </c>
      <c r="G945" s="10" t="n">
        <v>2</v>
      </c>
      <c r="H945" s="11" t="n">
        <v>855</v>
      </c>
      <c r="I945" s="12" t="s">
        <v>15</v>
      </c>
      <c r="J945" s="12" t="s">
        <v>44</v>
      </c>
      <c r="K945" s="12"/>
      <c r="L945" s="9" t="n">
        <f aca="false">L944+H945</f>
        <v>38085</v>
      </c>
      <c r="M945" s="10" t="str">
        <f aca="false">VLOOKUP(J945,RECATALOGANDO!A:C,2,0)</f>
        <v>HONORARIOS MEDICOS</v>
      </c>
      <c r="N945" s="12" t="str">
        <f aca="false">VLOOKUP(M945,RECATALOGANDO!B:C,2,0)</f>
        <v>VENTA DE SERVICIO</v>
      </c>
      <c r="O945" s="2" t="s">
        <v>78</v>
      </c>
    </row>
    <row r="946" customFormat="false" ht="13.8" hidden="false" customHeight="false" outlineLevel="0" collapsed="false">
      <c r="A946" s="8" t="n">
        <v>45474</v>
      </c>
      <c r="B946" s="9" t="n">
        <f aca="false">DAY(A946)</f>
        <v>1</v>
      </c>
      <c r="C946" s="9" t="n">
        <f aca="false">MONTH(A946)</f>
        <v>7</v>
      </c>
      <c r="D946" s="9" t="n">
        <f aca="false">YEAR(A946)</f>
        <v>2024</v>
      </c>
      <c r="E946" s="9" t="n">
        <f aca="false">WEEKDAY(A946,2)</f>
        <v>1</v>
      </c>
      <c r="F946" s="10" t="n">
        <f aca="false">WEEKNUM(A946,2) - WEEKNUM(DATE(YEAR(A946),MONTH(A946),1),2) + 1</f>
        <v>1</v>
      </c>
      <c r="G946" s="10"/>
      <c r="H946" s="11" t="n">
        <v>194.52</v>
      </c>
      <c r="I946" s="12" t="s">
        <v>15</v>
      </c>
      <c r="J946" s="22" t="s">
        <v>53</v>
      </c>
      <c r="K946" s="12"/>
      <c r="L946" s="9" t="n">
        <f aca="false">H946</f>
        <v>194.52</v>
      </c>
      <c r="M946" s="10" t="str">
        <f aca="false">VLOOKUP(J946,RECATALOGANDO!A:C,2,0)</f>
        <v>SERVICIO DE GROOMING</v>
      </c>
      <c r="N946" s="12" t="str">
        <f aca="false">VLOOKUP(M946,RECATALOGANDO!B:C,2,0)</f>
        <v>VENTA DE SERVICIO</v>
      </c>
      <c r="O946" s="2" t="s">
        <v>78</v>
      </c>
    </row>
    <row r="947" customFormat="false" ht="13.8" hidden="false" customHeight="false" outlineLevel="0" collapsed="false">
      <c r="A947" s="8" t="n">
        <v>45475</v>
      </c>
      <c r="B947" s="9" t="n">
        <f aca="false">DAY(A947)</f>
        <v>2</v>
      </c>
      <c r="C947" s="9" t="n">
        <f aca="false">MONTH(A947)</f>
        <v>7</v>
      </c>
      <c r="D947" s="9" t="n">
        <f aca="false">YEAR(A947)</f>
        <v>2024</v>
      </c>
      <c r="E947" s="9" t="n">
        <f aca="false">WEEKDAY(A947,2)</f>
        <v>2</v>
      </c>
      <c r="F947" s="10" t="n">
        <f aca="false">WEEKNUM(A947,2) - WEEKNUM(DATE(YEAR(A947),MONTH(A947),1),2) + 1</f>
        <v>1</v>
      </c>
      <c r="G947" s="10"/>
      <c r="H947" s="11" t="n">
        <v>4600</v>
      </c>
      <c r="I947" s="12" t="s">
        <v>15</v>
      </c>
      <c r="J947" s="22" t="s">
        <v>45</v>
      </c>
      <c r="K947" s="12"/>
      <c r="L947" s="9" t="n">
        <f aca="false">L946+H947</f>
        <v>4794.52</v>
      </c>
      <c r="M947" s="10" t="str">
        <f aca="false">VLOOKUP(J947,RECATALOGANDO!A:C,2,0)</f>
        <v>VENTA DE MEDICAMENTO</v>
      </c>
      <c r="N947" s="12" t="str">
        <f aca="false">VLOOKUP(M947,RECATALOGANDO!B:C,2,0)</f>
        <v>VENTA DE PRODUCTO</v>
      </c>
      <c r="O947" s="2" t="s">
        <v>78</v>
      </c>
    </row>
    <row r="948" customFormat="false" ht="13.8" hidden="false" customHeight="false" outlineLevel="0" collapsed="false">
      <c r="A948" s="8" t="n">
        <v>45476</v>
      </c>
      <c r="B948" s="9" t="n">
        <f aca="false">DAY(A948)</f>
        <v>3</v>
      </c>
      <c r="C948" s="9" t="n">
        <f aca="false">MONTH(A948)</f>
        <v>7</v>
      </c>
      <c r="D948" s="9" t="n">
        <f aca="false">YEAR(A948)</f>
        <v>2024</v>
      </c>
      <c r="E948" s="9" t="n">
        <f aca="false">WEEKDAY(A948,2)</f>
        <v>3</v>
      </c>
      <c r="F948" s="10" t="n">
        <f aca="false">WEEKNUM(A948,2) - WEEKNUM(DATE(YEAR(A948),MONTH(A948),1),2) + 1</f>
        <v>1</v>
      </c>
      <c r="G948" s="10"/>
      <c r="H948" s="11" t="n">
        <v>400</v>
      </c>
      <c r="I948" s="12" t="s">
        <v>15</v>
      </c>
      <c r="J948" s="22" t="s">
        <v>44</v>
      </c>
      <c r="K948" s="12"/>
      <c r="L948" s="9" t="n">
        <f aca="false">L947+H948</f>
        <v>5194.52</v>
      </c>
      <c r="M948" s="10" t="str">
        <f aca="false">VLOOKUP(J948,RECATALOGANDO!A:C,2,0)</f>
        <v>HONORARIOS MEDICOS</v>
      </c>
      <c r="N948" s="12" t="str">
        <f aca="false">VLOOKUP(M948,RECATALOGANDO!B:C,2,0)</f>
        <v>VENTA DE SERVICIO</v>
      </c>
      <c r="O948" s="2" t="s">
        <v>78</v>
      </c>
    </row>
    <row r="949" customFormat="false" ht="13.8" hidden="false" customHeight="false" outlineLevel="0" collapsed="false">
      <c r="A949" s="8" t="n">
        <v>45477</v>
      </c>
      <c r="B949" s="9" t="n">
        <f aca="false">DAY(A949)</f>
        <v>4</v>
      </c>
      <c r="C949" s="9" t="n">
        <f aca="false">MONTH(A949)</f>
        <v>7</v>
      </c>
      <c r="D949" s="9" t="n">
        <f aca="false">YEAR(A949)</f>
        <v>2024</v>
      </c>
      <c r="E949" s="9" t="n">
        <f aca="false">WEEKDAY(A949,2)</f>
        <v>4</v>
      </c>
      <c r="F949" s="10" t="n">
        <f aca="false">WEEKNUM(A949,2) - WEEKNUM(DATE(YEAR(A949),MONTH(A949),1),2) + 1</f>
        <v>1</v>
      </c>
      <c r="G949" s="10"/>
      <c r="H949" s="11" t="n">
        <v>660</v>
      </c>
      <c r="I949" s="12" t="s">
        <v>20</v>
      </c>
      <c r="J949" s="22" t="s">
        <v>45</v>
      </c>
      <c r="K949" s="12"/>
      <c r="L949" s="9" t="n">
        <f aca="false">L948+H949</f>
        <v>5854.52</v>
      </c>
      <c r="M949" s="10" t="str">
        <f aca="false">VLOOKUP(J949,RECATALOGANDO!A:C,2,0)</f>
        <v>VENTA DE MEDICAMENTO</v>
      </c>
      <c r="N949" s="12" t="str">
        <f aca="false">VLOOKUP(M949,RECATALOGANDO!B:C,2,0)</f>
        <v>VENTA DE PRODUCTO</v>
      </c>
      <c r="O949" s="2" t="s">
        <v>78</v>
      </c>
    </row>
    <row r="950" customFormat="false" ht="13.8" hidden="false" customHeight="false" outlineLevel="0" collapsed="false">
      <c r="A950" s="8" t="n">
        <v>45477</v>
      </c>
      <c r="B950" s="9" t="n">
        <f aca="false">DAY(A950)</f>
        <v>4</v>
      </c>
      <c r="C950" s="9" t="n">
        <f aca="false">MONTH(A950)</f>
        <v>7</v>
      </c>
      <c r="D950" s="9" t="n">
        <f aca="false">YEAR(A950)</f>
        <v>2024</v>
      </c>
      <c r="E950" s="9" t="n">
        <f aca="false">WEEKDAY(A950,2)</f>
        <v>4</v>
      </c>
      <c r="F950" s="10" t="n">
        <f aca="false">WEEKNUM(A950,2) - WEEKNUM(DATE(YEAR(A950),MONTH(A950),1),2) + 1</f>
        <v>1</v>
      </c>
      <c r="G950" s="10"/>
      <c r="H950" s="11" t="n">
        <v>1365</v>
      </c>
      <c r="I950" s="12" t="s">
        <v>20</v>
      </c>
      <c r="J950" s="22" t="s">
        <v>51</v>
      </c>
      <c r="K950" s="12"/>
      <c r="L950" s="9" t="n">
        <f aca="false">L949+H950</f>
        <v>7219.52</v>
      </c>
      <c r="M950" s="10" t="str">
        <f aca="false">VLOOKUP(J950,RECATALOGANDO!A:C,2,0)</f>
        <v>VENTA DE ALIMENTO</v>
      </c>
      <c r="N950" s="12" t="str">
        <f aca="false">VLOOKUP(M950,RECATALOGANDO!B:C,2,0)</f>
        <v>VENTA DE PRODUCTO</v>
      </c>
      <c r="O950" s="2" t="s">
        <v>78</v>
      </c>
    </row>
    <row r="951" customFormat="false" ht="13.8" hidden="false" customHeight="false" outlineLevel="0" collapsed="false">
      <c r="A951" s="8" t="n">
        <v>45477</v>
      </c>
      <c r="B951" s="9" t="n">
        <f aca="false">DAY(A951)</f>
        <v>4</v>
      </c>
      <c r="C951" s="9" t="n">
        <f aca="false">MONTH(A951)</f>
        <v>7</v>
      </c>
      <c r="D951" s="9" t="n">
        <f aca="false">YEAR(A951)</f>
        <v>2024</v>
      </c>
      <c r="E951" s="9" t="n">
        <f aca="false">WEEKDAY(A951,2)</f>
        <v>4</v>
      </c>
      <c r="F951" s="10" t="n">
        <f aca="false">WEEKNUM(A951,2) - WEEKNUM(DATE(YEAR(A951),MONTH(A951),1),2) + 1</f>
        <v>1</v>
      </c>
      <c r="G951" s="10"/>
      <c r="H951" s="11" t="n">
        <v>160</v>
      </c>
      <c r="I951" s="12" t="s">
        <v>15</v>
      </c>
      <c r="J951" s="22" t="s">
        <v>53</v>
      </c>
      <c r="K951" s="12"/>
      <c r="L951" s="9" t="n">
        <f aca="false">L950+H951</f>
        <v>7379.52</v>
      </c>
      <c r="M951" s="10" t="str">
        <f aca="false">VLOOKUP(J951,RECATALOGANDO!A:C,2,0)</f>
        <v>SERVICIO DE GROOMING</v>
      </c>
      <c r="N951" s="12" t="str">
        <f aca="false">VLOOKUP(M951,RECATALOGANDO!B:C,2,0)</f>
        <v>VENTA DE SERVICIO</v>
      </c>
      <c r="O951" s="2" t="s">
        <v>78</v>
      </c>
    </row>
    <row r="952" customFormat="false" ht="13.8" hidden="false" customHeight="false" outlineLevel="0" collapsed="false">
      <c r="A952" s="8" t="n">
        <v>45477</v>
      </c>
      <c r="B952" s="9" t="n">
        <f aca="false">DAY(A952)</f>
        <v>4</v>
      </c>
      <c r="C952" s="9" t="n">
        <f aca="false">MONTH(A952)</f>
        <v>7</v>
      </c>
      <c r="D952" s="9" t="n">
        <f aca="false">YEAR(A952)</f>
        <v>2024</v>
      </c>
      <c r="E952" s="9" t="n">
        <f aca="false">WEEKDAY(A952,2)</f>
        <v>4</v>
      </c>
      <c r="F952" s="10" t="n">
        <f aca="false">WEEKNUM(A952,2) - WEEKNUM(DATE(YEAR(A952),MONTH(A952),1),2) + 1</f>
        <v>1</v>
      </c>
      <c r="G952" s="10"/>
      <c r="H952" s="11" t="n">
        <v>760</v>
      </c>
      <c r="I952" s="12" t="s">
        <v>20</v>
      </c>
      <c r="J952" s="22" t="s">
        <v>44</v>
      </c>
      <c r="K952" s="12"/>
      <c r="L952" s="9" t="n">
        <f aca="false">L951+H952</f>
        <v>8139.52</v>
      </c>
      <c r="M952" s="10" t="str">
        <f aca="false">VLOOKUP(J952,RECATALOGANDO!A:C,2,0)</f>
        <v>HONORARIOS MEDICOS</v>
      </c>
      <c r="N952" s="12" t="str">
        <f aca="false">VLOOKUP(M952,RECATALOGANDO!B:C,2,0)</f>
        <v>VENTA DE SERVICIO</v>
      </c>
      <c r="O952" s="2" t="s">
        <v>78</v>
      </c>
    </row>
    <row r="953" customFormat="false" ht="13.8" hidden="false" customHeight="false" outlineLevel="0" collapsed="false">
      <c r="A953" s="8" t="n">
        <v>45478</v>
      </c>
      <c r="B953" s="9" t="n">
        <f aca="false">DAY(A953)</f>
        <v>5</v>
      </c>
      <c r="C953" s="9" t="n">
        <f aca="false">MONTH(A953)</f>
        <v>7</v>
      </c>
      <c r="D953" s="9" t="n">
        <f aca="false">YEAR(A953)</f>
        <v>2024</v>
      </c>
      <c r="E953" s="9" t="n">
        <f aca="false">WEEKDAY(A953,2)</f>
        <v>5</v>
      </c>
      <c r="F953" s="10" t="n">
        <f aca="false">WEEKNUM(A953,2) - WEEKNUM(DATE(YEAR(A953),MONTH(A953),1),2) + 1</f>
        <v>1</v>
      </c>
      <c r="G953" s="10"/>
      <c r="H953" s="11" t="n">
        <v>660</v>
      </c>
      <c r="I953" s="12" t="s">
        <v>15</v>
      </c>
      <c r="J953" s="22" t="s">
        <v>51</v>
      </c>
      <c r="K953" s="12"/>
      <c r="L953" s="9" t="n">
        <f aca="false">L952+H953</f>
        <v>8799.52</v>
      </c>
      <c r="M953" s="10" t="str">
        <f aca="false">VLOOKUP(J953,RECATALOGANDO!A:C,2,0)</f>
        <v>VENTA DE ALIMENTO</v>
      </c>
      <c r="N953" s="12" t="str">
        <f aca="false">VLOOKUP(M953,RECATALOGANDO!B:C,2,0)</f>
        <v>VENTA DE PRODUCTO</v>
      </c>
      <c r="O953" s="2" t="s">
        <v>78</v>
      </c>
    </row>
    <row r="954" customFormat="false" ht="13.8" hidden="false" customHeight="false" outlineLevel="0" collapsed="false">
      <c r="A954" s="8" t="n">
        <v>45479</v>
      </c>
      <c r="B954" s="9" t="n">
        <f aca="false">DAY(A954)</f>
        <v>6</v>
      </c>
      <c r="C954" s="9" t="n">
        <f aca="false">MONTH(A954)</f>
        <v>7</v>
      </c>
      <c r="D954" s="9" t="n">
        <f aca="false">YEAR(A954)</f>
        <v>2024</v>
      </c>
      <c r="E954" s="9" t="n">
        <f aca="false">WEEKDAY(A954,2)</f>
        <v>6</v>
      </c>
      <c r="F954" s="10" t="n">
        <f aca="false">WEEKNUM(A954,2) - WEEKNUM(DATE(YEAR(A954),MONTH(A954),1),2) + 1</f>
        <v>1</v>
      </c>
      <c r="G954" s="10"/>
      <c r="H954" s="11" t="n">
        <v>1625</v>
      </c>
      <c r="I954" s="12" t="s">
        <v>20</v>
      </c>
      <c r="J954" s="22" t="s">
        <v>44</v>
      </c>
      <c r="K954" s="12"/>
      <c r="L954" s="9" t="n">
        <f aca="false">L953+H954</f>
        <v>10424.52</v>
      </c>
      <c r="M954" s="10" t="str">
        <f aca="false">VLOOKUP(J954,RECATALOGANDO!A:C,2,0)</f>
        <v>HONORARIOS MEDICOS</v>
      </c>
      <c r="N954" s="12" t="str">
        <f aca="false">VLOOKUP(M954,RECATALOGANDO!B:C,2,0)</f>
        <v>VENTA DE SERVICIO</v>
      </c>
      <c r="O954" s="2" t="s">
        <v>78</v>
      </c>
    </row>
    <row r="955" customFormat="false" ht="13.8" hidden="false" customHeight="false" outlineLevel="0" collapsed="false">
      <c r="A955" s="8" t="n">
        <v>45479</v>
      </c>
      <c r="B955" s="9" t="n">
        <f aca="false">DAY(A955)</f>
        <v>6</v>
      </c>
      <c r="C955" s="9" t="n">
        <f aca="false">MONTH(A955)</f>
        <v>7</v>
      </c>
      <c r="D955" s="9" t="n">
        <f aca="false">YEAR(A955)</f>
        <v>2024</v>
      </c>
      <c r="E955" s="9" t="n">
        <f aca="false">WEEKDAY(A955,2)</f>
        <v>6</v>
      </c>
      <c r="F955" s="10" t="n">
        <f aca="false">WEEKNUM(A955,2) - WEEKNUM(DATE(YEAR(A955),MONTH(A955),1),2) + 1</f>
        <v>1</v>
      </c>
      <c r="G955" s="10"/>
      <c r="H955" s="11" t="n">
        <v>1725</v>
      </c>
      <c r="I955" s="12" t="s">
        <v>20</v>
      </c>
      <c r="J955" s="22" t="s">
        <v>41</v>
      </c>
      <c r="K955" s="12"/>
      <c r="L955" s="9" t="n">
        <f aca="false">L954+H955</f>
        <v>12149.52</v>
      </c>
      <c r="M955" s="10" t="str">
        <f aca="false">VLOOKUP(J955,RECATALOGANDO!A:C,2,0)</f>
        <v>HONORARIOS QUIRURGICOS</v>
      </c>
      <c r="N955" s="12" t="str">
        <f aca="false">VLOOKUP(M955,RECATALOGANDO!B:C,2,0)</f>
        <v>VENTA DE SERVICIO</v>
      </c>
      <c r="O955" s="2" t="s">
        <v>78</v>
      </c>
    </row>
    <row r="956" customFormat="false" ht="13.8" hidden="false" customHeight="false" outlineLevel="0" collapsed="false">
      <c r="A956" s="8" t="n">
        <v>45480</v>
      </c>
      <c r="B956" s="9" t="n">
        <f aca="false">DAY(A956)</f>
        <v>7</v>
      </c>
      <c r="C956" s="9" t="n">
        <f aca="false">MONTH(A956)</f>
        <v>7</v>
      </c>
      <c r="D956" s="9" t="n">
        <f aca="false">YEAR(A956)</f>
        <v>2024</v>
      </c>
      <c r="E956" s="9" t="n">
        <f aca="false">WEEKDAY(A956,2)</f>
        <v>7</v>
      </c>
      <c r="F956" s="10" t="n">
        <f aca="false">WEEKNUM(A956,2) - WEEKNUM(DATE(YEAR(A956),MONTH(A956),1),2) + 1</f>
        <v>1</v>
      </c>
      <c r="G956" s="10"/>
      <c r="H956" s="11" t="n">
        <v>1691</v>
      </c>
      <c r="I956" s="12" t="s">
        <v>15</v>
      </c>
      <c r="J956" s="22" t="s">
        <v>51</v>
      </c>
      <c r="K956" s="12"/>
      <c r="L956" s="9" t="n">
        <f aca="false">L955+H956</f>
        <v>13840.52</v>
      </c>
      <c r="M956" s="10" t="str">
        <f aca="false">VLOOKUP(J956,RECATALOGANDO!A:C,2,0)</f>
        <v>VENTA DE ALIMENTO</v>
      </c>
      <c r="N956" s="12" t="str">
        <f aca="false">VLOOKUP(M956,RECATALOGANDO!B:C,2,0)</f>
        <v>VENTA DE PRODUCTO</v>
      </c>
      <c r="O956" s="2" t="s">
        <v>78</v>
      </c>
    </row>
    <row r="957" customFormat="false" ht="13.8" hidden="false" customHeight="false" outlineLevel="0" collapsed="false">
      <c r="A957" s="8" t="n">
        <v>45480</v>
      </c>
      <c r="B957" s="9" t="n">
        <f aca="false">DAY(A957)</f>
        <v>7</v>
      </c>
      <c r="C957" s="9" t="n">
        <f aca="false">MONTH(A957)</f>
        <v>7</v>
      </c>
      <c r="D957" s="9" t="n">
        <f aca="false">YEAR(A957)</f>
        <v>2024</v>
      </c>
      <c r="E957" s="9" t="n">
        <f aca="false">WEEKDAY(A957,2)</f>
        <v>7</v>
      </c>
      <c r="F957" s="10" t="n">
        <f aca="false">WEEKNUM(A957,2) - WEEKNUM(DATE(YEAR(A957),MONTH(A957),1),2) + 1</f>
        <v>1</v>
      </c>
      <c r="G957" s="10"/>
      <c r="H957" s="11" t="n">
        <v>370</v>
      </c>
      <c r="I957" s="12" t="s">
        <v>15</v>
      </c>
      <c r="J957" s="22" t="s">
        <v>53</v>
      </c>
      <c r="K957" s="12"/>
      <c r="L957" s="9" t="n">
        <f aca="false">L956+H957</f>
        <v>14210.52</v>
      </c>
      <c r="M957" s="10" t="str">
        <f aca="false">VLOOKUP(J957,RECATALOGANDO!A:C,2,0)</f>
        <v>SERVICIO DE GROOMING</v>
      </c>
      <c r="N957" s="12" t="str">
        <f aca="false">VLOOKUP(M957,RECATALOGANDO!B:C,2,0)</f>
        <v>VENTA DE SERVICIO</v>
      </c>
      <c r="O957" s="2" t="s">
        <v>78</v>
      </c>
    </row>
    <row r="958" customFormat="false" ht="13.8" hidden="false" customHeight="false" outlineLevel="0" collapsed="false">
      <c r="A958" s="8" t="n">
        <v>45483</v>
      </c>
      <c r="B958" s="9" t="n">
        <f aca="false">DAY(A958)</f>
        <v>10</v>
      </c>
      <c r="C958" s="9" t="n">
        <f aca="false">MONTH(A958)</f>
        <v>7</v>
      </c>
      <c r="D958" s="9" t="n">
        <f aca="false">YEAR(A958)</f>
        <v>2024</v>
      </c>
      <c r="E958" s="9" t="n">
        <f aca="false">WEEKDAY(A958,2)</f>
        <v>3</v>
      </c>
      <c r="F958" s="10" t="n">
        <f aca="false">WEEKNUM(A958,2) - WEEKNUM(DATE(YEAR(A958),MONTH(A958),1),2) + 1</f>
        <v>2</v>
      </c>
      <c r="G958" s="10"/>
      <c r="H958" s="11" t="n">
        <v>150</v>
      </c>
      <c r="I958" s="12" t="s">
        <v>15</v>
      </c>
      <c r="J958" s="22" t="s">
        <v>53</v>
      </c>
      <c r="K958" s="12"/>
      <c r="L958" s="9" t="n">
        <f aca="false">L957+H958</f>
        <v>14360.52</v>
      </c>
      <c r="M958" s="10" t="str">
        <f aca="false">VLOOKUP(J958,RECATALOGANDO!A:C,2,0)</f>
        <v>SERVICIO DE GROOMING</v>
      </c>
      <c r="N958" s="12" t="str">
        <f aca="false">VLOOKUP(M958,RECATALOGANDO!B:C,2,0)</f>
        <v>VENTA DE SERVICIO</v>
      </c>
      <c r="O958" s="2" t="s">
        <v>78</v>
      </c>
    </row>
    <row r="959" customFormat="false" ht="13.8" hidden="false" customHeight="false" outlineLevel="0" collapsed="false">
      <c r="A959" s="8" t="n">
        <v>45484</v>
      </c>
      <c r="B959" s="9" t="n">
        <f aca="false">DAY(A959)</f>
        <v>11</v>
      </c>
      <c r="C959" s="9" t="n">
        <f aca="false">MONTH(A959)</f>
        <v>7</v>
      </c>
      <c r="D959" s="9" t="n">
        <f aca="false">YEAR(A959)</f>
        <v>2024</v>
      </c>
      <c r="E959" s="9" t="n">
        <f aca="false">WEEKDAY(A959,2)</f>
        <v>4</v>
      </c>
      <c r="F959" s="10" t="n">
        <f aca="false">WEEKNUM(A959,2) - WEEKNUM(DATE(YEAR(A959),MONTH(A959),1),2) + 1</f>
        <v>2</v>
      </c>
      <c r="G959" s="10"/>
      <c r="H959" s="11" t="n">
        <v>430</v>
      </c>
      <c r="I959" s="12" t="s">
        <v>20</v>
      </c>
      <c r="J959" s="22" t="s">
        <v>45</v>
      </c>
      <c r="K959" s="12"/>
      <c r="L959" s="9" t="n">
        <f aca="false">L958+H959</f>
        <v>14790.52</v>
      </c>
      <c r="M959" s="10" t="str">
        <f aca="false">VLOOKUP(J959,RECATALOGANDO!A:C,2,0)</f>
        <v>VENTA DE MEDICAMENTO</v>
      </c>
      <c r="N959" s="12" t="str">
        <f aca="false">VLOOKUP(M959,RECATALOGANDO!B:C,2,0)</f>
        <v>VENTA DE PRODUCTO</v>
      </c>
      <c r="O959" s="2" t="s">
        <v>78</v>
      </c>
    </row>
    <row r="960" customFormat="false" ht="13.8" hidden="false" customHeight="false" outlineLevel="0" collapsed="false">
      <c r="A960" s="8" t="n">
        <v>45484</v>
      </c>
      <c r="B960" s="9" t="n">
        <f aca="false">DAY(A960)</f>
        <v>11</v>
      </c>
      <c r="C960" s="9" t="n">
        <f aca="false">MONTH(A960)</f>
        <v>7</v>
      </c>
      <c r="D960" s="9" t="n">
        <f aca="false">YEAR(A960)</f>
        <v>2024</v>
      </c>
      <c r="E960" s="9" t="n">
        <f aca="false">WEEKDAY(A960,2)</f>
        <v>4</v>
      </c>
      <c r="F960" s="10" t="n">
        <f aca="false">WEEKNUM(A960,2) - WEEKNUM(DATE(YEAR(A960),MONTH(A960),1),2) + 1</f>
        <v>2</v>
      </c>
      <c r="G960" s="10"/>
      <c r="H960" s="11" t="n">
        <v>763.72</v>
      </c>
      <c r="I960" s="12" t="s">
        <v>15</v>
      </c>
      <c r="J960" s="22" t="s">
        <v>44</v>
      </c>
      <c r="K960" s="12"/>
      <c r="L960" s="9" t="n">
        <f aca="false">L959+H960</f>
        <v>15554.24</v>
      </c>
      <c r="M960" s="10" t="str">
        <f aca="false">VLOOKUP(J960,RECATALOGANDO!A:C,2,0)</f>
        <v>HONORARIOS MEDICOS</v>
      </c>
      <c r="N960" s="12" t="str">
        <f aca="false">VLOOKUP(M960,RECATALOGANDO!B:C,2,0)</f>
        <v>VENTA DE SERVICIO</v>
      </c>
      <c r="O960" s="2" t="s">
        <v>78</v>
      </c>
    </row>
    <row r="961" customFormat="false" ht="13.8" hidden="false" customHeight="false" outlineLevel="0" collapsed="false">
      <c r="A961" s="8" t="n">
        <v>45484</v>
      </c>
      <c r="B961" s="9" t="n">
        <f aca="false">DAY(A961)</f>
        <v>11</v>
      </c>
      <c r="C961" s="9" t="n">
        <f aca="false">MONTH(A961)</f>
        <v>7</v>
      </c>
      <c r="D961" s="9" t="n">
        <f aca="false">YEAR(A961)</f>
        <v>2024</v>
      </c>
      <c r="E961" s="9" t="n">
        <f aca="false">WEEKDAY(A961,2)</f>
        <v>4</v>
      </c>
      <c r="F961" s="10" t="n">
        <f aca="false">WEEKNUM(A961,2) - WEEKNUM(DATE(YEAR(A961),MONTH(A961),1),2) + 1</f>
        <v>2</v>
      </c>
      <c r="G961" s="10"/>
      <c r="H961" s="11" t="n">
        <v>2380</v>
      </c>
      <c r="I961" s="12" t="s">
        <v>20</v>
      </c>
      <c r="J961" s="22" t="s">
        <v>41</v>
      </c>
      <c r="K961" s="12"/>
      <c r="L961" s="9" t="n">
        <f aca="false">L960+H961</f>
        <v>17934.24</v>
      </c>
      <c r="M961" s="10" t="str">
        <f aca="false">VLOOKUP(J961,RECATALOGANDO!A:C,2,0)</f>
        <v>HONORARIOS QUIRURGICOS</v>
      </c>
      <c r="N961" s="12" t="str">
        <f aca="false">VLOOKUP(M961,RECATALOGANDO!B:C,2,0)</f>
        <v>VENTA DE SERVICIO</v>
      </c>
      <c r="O961" s="2" t="s">
        <v>78</v>
      </c>
    </row>
    <row r="962" customFormat="false" ht="13.8" hidden="false" customHeight="false" outlineLevel="0" collapsed="false">
      <c r="A962" s="8" t="n">
        <v>45485</v>
      </c>
      <c r="B962" s="9" t="n">
        <f aca="false">DAY(A962)</f>
        <v>12</v>
      </c>
      <c r="C962" s="9" t="n">
        <f aca="false">MONTH(A962)</f>
        <v>7</v>
      </c>
      <c r="D962" s="9" t="n">
        <f aca="false">YEAR(A962)</f>
        <v>2024</v>
      </c>
      <c r="E962" s="9" t="n">
        <f aca="false">WEEKDAY(A962,2)</f>
        <v>5</v>
      </c>
      <c r="F962" s="10" t="n">
        <f aca="false">WEEKNUM(A962,2) - WEEKNUM(DATE(YEAR(A962),MONTH(A962),1),2) + 1</f>
        <v>2</v>
      </c>
      <c r="G962" s="10"/>
      <c r="H962" s="11" t="n">
        <v>150</v>
      </c>
      <c r="I962" s="12" t="s">
        <v>15</v>
      </c>
      <c r="J962" s="22" t="s">
        <v>53</v>
      </c>
      <c r="K962" s="12"/>
      <c r="L962" s="9" t="n">
        <f aca="false">L961+H962</f>
        <v>18084.24</v>
      </c>
      <c r="M962" s="10" t="str">
        <f aca="false">VLOOKUP(J962,RECATALOGANDO!A:C,2,0)</f>
        <v>SERVICIO DE GROOMING</v>
      </c>
      <c r="N962" s="12" t="str">
        <f aca="false">VLOOKUP(M962,RECATALOGANDO!B:C,2,0)</f>
        <v>VENTA DE SERVICIO</v>
      </c>
      <c r="O962" s="2" t="s">
        <v>78</v>
      </c>
    </row>
    <row r="963" customFormat="false" ht="13.8" hidden="false" customHeight="false" outlineLevel="0" collapsed="false">
      <c r="A963" s="8" t="n">
        <v>45486</v>
      </c>
      <c r="B963" s="9" t="n">
        <f aca="false">DAY(A963)</f>
        <v>13</v>
      </c>
      <c r="C963" s="9" t="n">
        <f aca="false">MONTH(A963)</f>
        <v>7</v>
      </c>
      <c r="D963" s="9" t="n">
        <f aca="false">YEAR(A963)</f>
        <v>2024</v>
      </c>
      <c r="E963" s="9" t="n">
        <f aca="false">WEEKDAY(A963,2)</f>
        <v>6</v>
      </c>
      <c r="F963" s="10" t="n">
        <f aca="false">WEEKNUM(A963,2) - WEEKNUM(DATE(YEAR(A963),MONTH(A963),1),2) + 1</f>
        <v>2</v>
      </c>
      <c r="G963" s="10"/>
      <c r="H963" s="11" t="n">
        <v>675</v>
      </c>
      <c r="I963" s="12" t="s">
        <v>15</v>
      </c>
      <c r="J963" s="22" t="s">
        <v>44</v>
      </c>
      <c r="K963" s="12"/>
      <c r="L963" s="9" t="n">
        <f aca="false">L962+H963</f>
        <v>18759.24</v>
      </c>
      <c r="M963" s="10" t="str">
        <f aca="false">VLOOKUP(J963,RECATALOGANDO!A:C,2,0)</f>
        <v>HONORARIOS MEDICOS</v>
      </c>
      <c r="N963" s="12" t="str">
        <f aca="false">VLOOKUP(M963,RECATALOGANDO!B:C,2,0)</f>
        <v>VENTA DE SERVICIO</v>
      </c>
      <c r="O963" s="2" t="s">
        <v>78</v>
      </c>
    </row>
    <row r="964" customFormat="false" ht="13.8" hidden="false" customHeight="false" outlineLevel="0" collapsed="false">
      <c r="A964" s="8" t="n">
        <v>45488</v>
      </c>
      <c r="B964" s="9" t="n">
        <f aca="false">DAY(A964)</f>
        <v>15</v>
      </c>
      <c r="C964" s="9" t="n">
        <f aca="false">MONTH(A964)</f>
        <v>7</v>
      </c>
      <c r="D964" s="9" t="n">
        <f aca="false">YEAR(A964)</f>
        <v>2024</v>
      </c>
      <c r="E964" s="9" t="n">
        <f aca="false">WEEKDAY(A964,2)</f>
        <v>1</v>
      </c>
      <c r="F964" s="10" t="n">
        <f aca="false">WEEKNUM(A964,2) - WEEKNUM(DATE(YEAR(A964),MONTH(A964),1),2) + 1</f>
        <v>3</v>
      </c>
      <c r="G964" s="10" t="n">
        <v>1</v>
      </c>
      <c r="H964" s="11" t="n">
        <v>2324.69</v>
      </c>
      <c r="I964" s="12" t="s">
        <v>15</v>
      </c>
      <c r="J964" s="22" t="s">
        <v>51</v>
      </c>
      <c r="K964" s="12"/>
      <c r="L964" s="9" t="n">
        <f aca="false">L963+H964</f>
        <v>21083.93</v>
      </c>
      <c r="M964" s="10" t="str">
        <f aca="false">VLOOKUP(J964,RECATALOGANDO!A:C,2,0)</f>
        <v>VENTA DE ALIMENTO</v>
      </c>
      <c r="N964" s="12" t="str">
        <f aca="false">VLOOKUP(M964,RECATALOGANDO!B:C,2,0)</f>
        <v>VENTA DE PRODUCTO</v>
      </c>
      <c r="O964" s="2" t="s">
        <v>78</v>
      </c>
    </row>
    <row r="965" customFormat="false" ht="13.8" hidden="false" customHeight="false" outlineLevel="0" collapsed="false">
      <c r="A965" s="8" t="n">
        <v>45488</v>
      </c>
      <c r="B965" s="9" t="n">
        <f aca="false">DAY(A965)</f>
        <v>15</v>
      </c>
      <c r="C965" s="9" t="n">
        <f aca="false">MONTH(A965)</f>
        <v>7</v>
      </c>
      <c r="D965" s="9" t="n">
        <f aca="false">YEAR(A965)</f>
        <v>2024</v>
      </c>
      <c r="E965" s="9" t="n">
        <f aca="false">WEEKDAY(A965,2)</f>
        <v>1</v>
      </c>
      <c r="F965" s="10" t="n">
        <f aca="false">WEEKNUM(A965,2) - WEEKNUM(DATE(YEAR(A965),MONTH(A965),1),2) + 1</f>
        <v>3</v>
      </c>
      <c r="G965" s="10" t="n">
        <v>1</v>
      </c>
      <c r="H965" s="11" t="n">
        <v>912</v>
      </c>
      <c r="I965" s="12" t="s">
        <v>20</v>
      </c>
      <c r="J965" s="22" t="s">
        <v>58</v>
      </c>
      <c r="K965" s="12"/>
      <c r="L965" s="9" t="n">
        <f aca="false">L964+H965</f>
        <v>21995.93</v>
      </c>
      <c r="M965" s="10" t="str">
        <f aca="false">VLOOKUP(J965,RECATALOGANDO!A:C,2,0)</f>
        <v>SERVICIO DE LABORATORIO</v>
      </c>
      <c r="N965" s="12" t="str">
        <f aca="false">VLOOKUP(M965,RECATALOGANDO!B:C,2,0)</f>
        <v>VENTA DE SERVICIO</v>
      </c>
      <c r="O965" s="2" t="s">
        <v>78</v>
      </c>
    </row>
    <row r="966" customFormat="false" ht="13.8" hidden="false" customHeight="false" outlineLevel="0" collapsed="false">
      <c r="A966" s="8" t="n">
        <v>45489</v>
      </c>
      <c r="B966" s="9" t="n">
        <f aca="false">DAY(A966)</f>
        <v>16</v>
      </c>
      <c r="C966" s="9" t="n">
        <f aca="false">MONTH(A966)</f>
        <v>7</v>
      </c>
      <c r="D966" s="9" t="n">
        <f aca="false">YEAR(A966)</f>
        <v>2024</v>
      </c>
      <c r="E966" s="9" t="n">
        <f aca="false">WEEKDAY(A966,2)</f>
        <v>2</v>
      </c>
      <c r="F966" s="10" t="n">
        <f aca="false">WEEKNUM(A966,2) - WEEKNUM(DATE(YEAR(A966),MONTH(A966),1),2) + 1</f>
        <v>3</v>
      </c>
      <c r="G966" s="10"/>
      <c r="H966" s="11" t="n">
        <v>140</v>
      </c>
      <c r="I966" s="12" t="s">
        <v>20</v>
      </c>
      <c r="J966" s="22" t="s">
        <v>53</v>
      </c>
      <c r="K966" s="12"/>
      <c r="L966" s="9" t="n">
        <f aca="false">L965+H966</f>
        <v>22135.93</v>
      </c>
      <c r="M966" s="10" t="str">
        <f aca="false">VLOOKUP(J966,RECATALOGANDO!A:C,2,0)</f>
        <v>SERVICIO DE GROOMING</v>
      </c>
      <c r="N966" s="12" t="str">
        <f aca="false">VLOOKUP(M966,RECATALOGANDO!B:C,2,0)</f>
        <v>VENTA DE SERVICIO</v>
      </c>
      <c r="O966" s="2" t="s">
        <v>78</v>
      </c>
    </row>
    <row r="967" customFormat="false" ht="13.8" hidden="false" customHeight="false" outlineLevel="0" collapsed="false">
      <c r="A967" s="8" t="n">
        <v>45490</v>
      </c>
      <c r="B967" s="9" t="n">
        <f aca="false">DAY(A967)</f>
        <v>17</v>
      </c>
      <c r="C967" s="9" t="n">
        <f aca="false">MONTH(A967)</f>
        <v>7</v>
      </c>
      <c r="D967" s="9" t="n">
        <f aca="false">YEAR(A967)</f>
        <v>2024</v>
      </c>
      <c r="E967" s="9" t="n">
        <f aca="false">WEEKDAY(A967,2)</f>
        <v>3</v>
      </c>
      <c r="F967" s="10" t="n">
        <f aca="false">WEEKNUM(A967,2) - WEEKNUM(DATE(YEAR(A967),MONTH(A967),1),2) + 1</f>
        <v>3</v>
      </c>
      <c r="G967" s="10"/>
      <c r="H967" s="11" t="n">
        <v>600</v>
      </c>
      <c r="I967" s="12" t="s">
        <v>20</v>
      </c>
      <c r="J967" s="22" t="s">
        <v>44</v>
      </c>
      <c r="K967" s="12"/>
      <c r="L967" s="9" t="n">
        <f aca="false">L966+H967</f>
        <v>22735.93</v>
      </c>
      <c r="M967" s="10" t="str">
        <f aca="false">VLOOKUP(J967,RECATALOGANDO!A:C,2,0)</f>
        <v>HONORARIOS MEDICOS</v>
      </c>
      <c r="N967" s="12" t="str">
        <f aca="false">VLOOKUP(M967,RECATALOGANDO!B:C,2,0)</f>
        <v>VENTA DE SERVICIO</v>
      </c>
      <c r="O967" s="2" t="s">
        <v>78</v>
      </c>
    </row>
    <row r="968" customFormat="false" ht="13.8" hidden="false" customHeight="false" outlineLevel="0" collapsed="false">
      <c r="A968" s="8" t="n">
        <v>45491</v>
      </c>
      <c r="B968" s="9" t="n">
        <f aca="false">DAY(A968)</f>
        <v>18</v>
      </c>
      <c r="C968" s="9" t="n">
        <f aca="false">MONTH(A968)</f>
        <v>7</v>
      </c>
      <c r="D968" s="9" t="n">
        <f aca="false">YEAR(A968)</f>
        <v>2024</v>
      </c>
      <c r="E968" s="9" t="n">
        <f aca="false">WEEKDAY(A968,2)</f>
        <v>4</v>
      </c>
      <c r="F968" s="10" t="n">
        <f aca="false">WEEKNUM(A968,2) - WEEKNUM(DATE(YEAR(A968),MONTH(A968),1),2) + 1</f>
        <v>3</v>
      </c>
      <c r="G968" s="10"/>
      <c r="H968" s="11" t="n">
        <v>579</v>
      </c>
      <c r="I968" s="12" t="s">
        <v>20</v>
      </c>
      <c r="J968" s="22" t="s">
        <v>51</v>
      </c>
      <c r="K968" s="12"/>
      <c r="L968" s="9" t="n">
        <f aca="false">L967+H968</f>
        <v>23314.93</v>
      </c>
      <c r="M968" s="10" t="str">
        <f aca="false">VLOOKUP(J968,RECATALOGANDO!A:C,2,0)</f>
        <v>VENTA DE ALIMENTO</v>
      </c>
      <c r="N968" s="12" t="str">
        <f aca="false">VLOOKUP(M968,RECATALOGANDO!B:C,2,0)</f>
        <v>VENTA DE PRODUCTO</v>
      </c>
      <c r="O968" s="2" t="s">
        <v>78</v>
      </c>
    </row>
    <row r="969" customFormat="false" ht="13.8" hidden="false" customHeight="false" outlineLevel="0" collapsed="false">
      <c r="A969" s="8" t="n">
        <v>45491</v>
      </c>
      <c r="B969" s="9" t="n">
        <f aca="false">DAY(A969)</f>
        <v>18</v>
      </c>
      <c r="C969" s="9" t="n">
        <f aca="false">MONTH(A969)</f>
        <v>7</v>
      </c>
      <c r="D969" s="9" t="n">
        <f aca="false">YEAR(A969)</f>
        <v>2024</v>
      </c>
      <c r="E969" s="9" t="n">
        <f aca="false">WEEKDAY(A969,2)</f>
        <v>4</v>
      </c>
      <c r="F969" s="10" t="n">
        <f aca="false">WEEKNUM(A969,2) - WEEKNUM(DATE(YEAR(A969),MONTH(A969),1),2) + 1</f>
        <v>3</v>
      </c>
      <c r="G969" s="10"/>
      <c r="H969" s="11" t="n">
        <v>725</v>
      </c>
      <c r="I969" s="12" t="s">
        <v>20</v>
      </c>
      <c r="J969" s="22" t="s">
        <v>45</v>
      </c>
      <c r="K969" s="12"/>
      <c r="L969" s="9" t="n">
        <f aca="false">L968+H969</f>
        <v>24039.93</v>
      </c>
      <c r="M969" s="10" t="str">
        <f aca="false">VLOOKUP(J969,RECATALOGANDO!A:C,2,0)</f>
        <v>VENTA DE MEDICAMENTO</v>
      </c>
      <c r="N969" s="12" t="str">
        <f aca="false">VLOOKUP(M969,RECATALOGANDO!B:C,2,0)</f>
        <v>VENTA DE PRODUCTO</v>
      </c>
      <c r="O969" s="2" t="s">
        <v>78</v>
      </c>
    </row>
    <row r="970" customFormat="false" ht="13.8" hidden="false" customHeight="false" outlineLevel="0" collapsed="false">
      <c r="A970" s="8" t="n">
        <v>45491</v>
      </c>
      <c r="B970" s="9" t="n">
        <f aca="false">DAY(A970)</f>
        <v>18</v>
      </c>
      <c r="C970" s="9" t="n">
        <f aca="false">MONTH(A970)</f>
        <v>7</v>
      </c>
      <c r="D970" s="9" t="n">
        <f aca="false">YEAR(A970)</f>
        <v>2024</v>
      </c>
      <c r="E970" s="9" t="n">
        <f aca="false">WEEKDAY(A970,2)</f>
        <v>4</v>
      </c>
      <c r="F970" s="10" t="n">
        <f aca="false">WEEKNUM(A970,2) - WEEKNUM(DATE(YEAR(A970),MONTH(A970),1),2) + 1</f>
        <v>3</v>
      </c>
      <c r="G970" s="10"/>
      <c r="H970" s="11" t="n">
        <v>2000</v>
      </c>
      <c r="I970" s="12" t="s">
        <v>20</v>
      </c>
      <c r="J970" s="22" t="s">
        <v>58</v>
      </c>
      <c r="K970" s="12"/>
      <c r="L970" s="9" t="n">
        <f aca="false">L969+H970</f>
        <v>26039.93</v>
      </c>
      <c r="M970" s="10" t="str">
        <f aca="false">VLOOKUP(J970,RECATALOGANDO!A:C,2,0)</f>
        <v>SERVICIO DE LABORATORIO</v>
      </c>
      <c r="N970" s="12" t="str">
        <f aca="false">VLOOKUP(M970,RECATALOGANDO!B:C,2,0)</f>
        <v>VENTA DE SERVICIO</v>
      </c>
      <c r="O970" s="2" t="s">
        <v>78</v>
      </c>
    </row>
    <row r="971" customFormat="false" ht="13.8" hidden="false" customHeight="false" outlineLevel="0" collapsed="false">
      <c r="A971" s="8" t="n">
        <v>45491</v>
      </c>
      <c r="B971" s="9" t="n">
        <f aca="false">DAY(A971)</f>
        <v>18</v>
      </c>
      <c r="C971" s="9" t="n">
        <f aca="false">MONTH(A971)</f>
        <v>7</v>
      </c>
      <c r="D971" s="9" t="n">
        <f aca="false">YEAR(A971)</f>
        <v>2024</v>
      </c>
      <c r="E971" s="9" t="n">
        <f aca="false">WEEKDAY(A971,2)</f>
        <v>4</v>
      </c>
      <c r="F971" s="10" t="n">
        <f aca="false">WEEKNUM(A971,2) - WEEKNUM(DATE(YEAR(A971),MONTH(A971),1),2) + 1</f>
        <v>3</v>
      </c>
      <c r="G971" s="10"/>
      <c r="H971" s="11" t="n">
        <v>2600</v>
      </c>
      <c r="I971" s="12" t="s">
        <v>20</v>
      </c>
      <c r="J971" s="22" t="s">
        <v>41</v>
      </c>
      <c r="K971" s="12"/>
      <c r="L971" s="9" t="n">
        <f aca="false">L970+H971</f>
        <v>28639.93</v>
      </c>
      <c r="M971" s="10" t="str">
        <f aca="false">VLOOKUP(J971,RECATALOGANDO!A:C,2,0)</f>
        <v>HONORARIOS QUIRURGICOS</v>
      </c>
      <c r="N971" s="12" t="str">
        <f aca="false">VLOOKUP(M971,RECATALOGANDO!B:C,2,0)</f>
        <v>VENTA DE SERVICIO</v>
      </c>
      <c r="O971" s="2" t="s">
        <v>78</v>
      </c>
    </row>
    <row r="972" customFormat="false" ht="13.8" hidden="false" customHeight="false" outlineLevel="0" collapsed="false">
      <c r="A972" s="8" t="n">
        <v>45493</v>
      </c>
      <c r="B972" s="9" t="n">
        <f aca="false">DAY(A972)</f>
        <v>20</v>
      </c>
      <c r="C972" s="9" t="n">
        <f aca="false">MONTH(A972)</f>
        <v>7</v>
      </c>
      <c r="D972" s="9" t="n">
        <f aca="false">YEAR(A972)</f>
        <v>2024</v>
      </c>
      <c r="E972" s="9" t="n">
        <f aca="false">WEEKDAY(A972,2)</f>
        <v>6</v>
      </c>
      <c r="F972" s="10" t="n">
        <f aca="false">WEEKNUM(A972,2) - WEEKNUM(DATE(YEAR(A972),MONTH(A972),1),2) + 1</f>
        <v>3</v>
      </c>
      <c r="G972" s="10"/>
      <c r="H972" s="11" t="n">
        <v>502</v>
      </c>
      <c r="I972" s="12" t="s">
        <v>20</v>
      </c>
      <c r="J972" s="22" t="s">
        <v>44</v>
      </c>
      <c r="K972" s="12"/>
      <c r="L972" s="9" t="n">
        <f aca="false">L971+H972</f>
        <v>29141.93</v>
      </c>
      <c r="M972" s="10" t="str">
        <f aca="false">VLOOKUP(J972,RECATALOGANDO!A:C,2,0)</f>
        <v>HONORARIOS MEDICOS</v>
      </c>
      <c r="N972" s="12" t="str">
        <f aca="false">VLOOKUP(M972,RECATALOGANDO!B:C,2,0)</f>
        <v>VENTA DE SERVICIO</v>
      </c>
      <c r="O972" s="2" t="s">
        <v>78</v>
      </c>
    </row>
    <row r="973" customFormat="false" ht="13.8" hidden="false" customHeight="false" outlineLevel="0" collapsed="false">
      <c r="A973" s="8" t="n">
        <v>45494</v>
      </c>
      <c r="B973" s="9" t="n">
        <f aca="false">DAY(A973)</f>
        <v>21</v>
      </c>
      <c r="C973" s="9" t="n">
        <f aca="false">MONTH(A973)</f>
        <v>7</v>
      </c>
      <c r="D973" s="9" t="n">
        <f aca="false">YEAR(A973)</f>
        <v>2024</v>
      </c>
      <c r="E973" s="9" t="n">
        <f aca="false">WEEKDAY(A973,2)</f>
        <v>7</v>
      </c>
      <c r="F973" s="10" t="n">
        <f aca="false">WEEKNUM(A973,2) - WEEKNUM(DATE(YEAR(A973),MONTH(A973),1),2) + 1</f>
        <v>3</v>
      </c>
      <c r="G973" s="10"/>
      <c r="H973" s="11" t="n">
        <v>110</v>
      </c>
      <c r="I973" s="12" t="s">
        <v>15</v>
      </c>
      <c r="J973" s="22" t="s">
        <v>53</v>
      </c>
      <c r="K973" s="12"/>
      <c r="L973" s="9" t="n">
        <f aca="false">L972+H973</f>
        <v>29251.93</v>
      </c>
      <c r="M973" s="10" t="str">
        <f aca="false">VLOOKUP(J973,RECATALOGANDO!A:C,2,0)</f>
        <v>SERVICIO DE GROOMING</v>
      </c>
      <c r="N973" s="12" t="str">
        <f aca="false">VLOOKUP(M973,RECATALOGANDO!B:C,2,0)</f>
        <v>VENTA DE SERVICIO</v>
      </c>
      <c r="O973" s="2" t="s">
        <v>78</v>
      </c>
    </row>
    <row r="974" customFormat="false" ht="13.8" hidden="false" customHeight="false" outlineLevel="0" collapsed="false">
      <c r="A974" s="8" t="n">
        <v>45495</v>
      </c>
      <c r="B974" s="9" t="n">
        <f aca="false">DAY(A974)</f>
        <v>22</v>
      </c>
      <c r="C974" s="9" t="n">
        <f aca="false">MONTH(A974)</f>
        <v>7</v>
      </c>
      <c r="D974" s="9" t="n">
        <f aca="false">YEAR(A974)</f>
        <v>2024</v>
      </c>
      <c r="E974" s="9" t="n">
        <f aca="false">WEEKDAY(A974,2)</f>
        <v>1</v>
      </c>
      <c r="F974" s="10" t="n">
        <f aca="false">WEEKNUM(A974,2) - WEEKNUM(DATE(YEAR(A974),MONTH(A974),1),2) + 1</f>
        <v>4</v>
      </c>
      <c r="G974" s="10"/>
      <c r="H974" s="11" t="n">
        <v>650</v>
      </c>
      <c r="I974" s="12" t="s">
        <v>20</v>
      </c>
      <c r="J974" s="22" t="s">
        <v>44</v>
      </c>
      <c r="K974" s="12"/>
      <c r="L974" s="9" t="n">
        <f aca="false">L973+H974</f>
        <v>29901.93</v>
      </c>
      <c r="M974" s="10" t="str">
        <f aca="false">VLOOKUP(J974,RECATALOGANDO!A:C,2,0)</f>
        <v>HONORARIOS MEDICOS</v>
      </c>
      <c r="N974" s="12" t="str">
        <f aca="false">VLOOKUP(M974,RECATALOGANDO!B:C,2,0)</f>
        <v>VENTA DE SERVICIO</v>
      </c>
      <c r="O974" s="2" t="s">
        <v>78</v>
      </c>
    </row>
    <row r="975" customFormat="false" ht="13.8" hidden="false" customHeight="false" outlineLevel="0" collapsed="false">
      <c r="A975" s="8" t="n">
        <v>45495</v>
      </c>
      <c r="B975" s="9" t="n">
        <f aca="false">DAY(A975)</f>
        <v>22</v>
      </c>
      <c r="C975" s="9" t="n">
        <f aca="false">MONTH(A975)</f>
        <v>7</v>
      </c>
      <c r="D975" s="9" t="n">
        <f aca="false">YEAR(A975)</f>
        <v>2024</v>
      </c>
      <c r="E975" s="9" t="n">
        <f aca="false">WEEKDAY(A975,2)</f>
        <v>1</v>
      </c>
      <c r="F975" s="10" t="n">
        <f aca="false">WEEKNUM(A975,2) - WEEKNUM(DATE(YEAR(A975),MONTH(A975),1),2) + 1</f>
        <v>4</v>
      </c>
      <c r="G975" s="10"/>
      <c r="H975" s="11" t="n">
        <v>1499.65</v>
      </c>
      <c r="I975" s="12" t="s">
        <v>15</v>
      </c>
      <c r="J975" s="22" t="s">
        <v>41</v>
      </c>
      <c r="K975" s="12"/>
      <c r="L975" s="9" t="n">
        <f aca="false">L974+H975</f>
        <v>31401.58</v>
      </c>
      <c r="M975" s="10" t="str">
        <f aca="false">VLOOKUP(J975,RECATALOGANDO!A:C,2,0)</f>
        <v>HONORARIOS QUIRURGICOS</v>
      </c>
      <c r="N975" s="12" t="str">
        <f aca="false">VLOOKUP(M975,RECATALOGANDO!B:C,2,0)</f>
        <v>VENTA DE SERVICIO</v>
      </c>
      <c r="O975" s="2" t="s">
        <v>78</v>
      </c>
    </row>
    <row r="976" customFormat="false" ht="13.8" hidden="false" customHeight="false" outlineLevel="0" collapsed="false">
      <c r="A976" s="8" t="n">
        <v>45497</v>
      </c>
      <c r="B976" s="9" t="n">
        <f aca="false">DAY(A976)</f>
        <v>24</v>
      </c>
      <c r="C976" s="9" t="n">
        <f aca="false">MONTH(A976)</f>
        <v>7</v>
      </c>
      <c r="D976" s="9" t="n">
        <f aca="false">YEAR(A976)</f>
        <v>2024</v>
      </c>
      <c r="E976" s="9" t="n">
        <f aca="false">WEEKDAY(A976,2)</f>
        <v>3</v>
      </c>
      <c r="F976" s="10" t="n">
        <f aca="false">WEEKNUM(A976,2) - WEEKNUM(DATE(YEAR(A976),MONTH(A976),1),2) + 1</f>
        <v>4</v>
      </c>
      <c r="G976" s="10"/>
      <c r="H976" s="11" t="n">
        <v>600</v>
      </c>
      <c r="I976" s="12" t="s">
        <v>20</v>
      </c>
      <c r="J976" s="22" t="s">
        <v>45</v>
      </c>
      <c r="K976" s="12"/>
      <c r="L976" s="9" t="n">
        <f aca="false">L975+H976</f>
        <v>32001.58</v>
      </c>
      <c r="M976" s="10" t="str">
        <f aca="false">VLOOKUP(J976,RECATALOGANDO!A:C,2,0)</f>
        <v>VENTA DE MEDICAMENTO</v>
      </c>
      <c r="N976" s="12" t="str">
        <f aca="false">VLOOKUP(M976,RECATALOGANDO!B:C,2,0)</f>
        <v>VENTA DE PRODUCTO</v>
      </c>
      <c r="O976" s="2" t="s">
        <v>78</v>
      </c>
    </row>
    <row r="977" customFormat="false" ht="13.8" hidden="false" customHeight="false" outlineLevel="0" collapsed="false">
      <c r="A977" s="8" t="n">
        <v>45497</v>
      </c>
      <c r="B977" s="9" t="n">
        <f aca="false">DAY(A977)</f>
        <v>24</v>
      </c>
      <c r="C977" s="9" t="n">
        <f aca="false">MONTH(A977)</f>
        <v>7</v>
      </c>
      <c r="D977" s="9" t="n">
        <f aca="false">YEAR(A977)</f>
        <v>2024</v>
      </c>
      <c r="E977" s="9" t="n">
        <f aca="false">WEEKDAY(A977,2)</f>
        <v>3</v>
      </c>
      <c r="F977" s="10" t="n">
        <f aca="false">WEEKNUM(A977,2) - WEEKNUM(DATE(YEAR(A977),MONTH(A977),1),2) + 1</f>
        <v>4</v>
      </c>
      <c r="G977" s="10"/>
      <c r="H977" s="11" t="n">
        <v>270</v>
      </c>
      <c r="I977" s="12" t="s">
        <v>15</v>
      </c>
      <c r="J977" s="22" t="s">
        <v>44</v>
      </c>
      <c r="K977" s="12"/>
      <c r="L977" s="9" t="n">
        <f aca="false">L976+H977</f>
        <v>32271.58</v>
      </c>
      <c r="M977" s="10" t="str">
        <f aca="false">VLOOKUP(J977,RECATALOGANDO!A:C,2,0)</f>
        <v>HONORARIOS MEDICOS</v>
      </c>
      <c r="N977" s="12" t="str">
        <f aca="false">VLOOKUP(M977,RECATALOGANDO!B:C,2,0)</f>
        <v>VENTA DE SERVICIO</v>
      </c>
      <c r="O977" s="2" t="s">
        <v>78</v>
      </c>
    </row>
    <row r="978" customFormat="false" ht="13.8" hidden="false" customHeight="false" outlineLevel="0" collapsed="false">
      <c r="A978" s="8" t="n">
        <v>45497</v>
      </c>
      <c r="B978" s="9" t="n">
        <f aca="false">DAY(A978)</f>
        <v>24</v>
      </c>
      <c r="C978" s="9" t="n">
        <f aca="false">MONTH(A978)</f>
        <v>7</v>
      </c>
      <c r="D978" s="9" t="n">
        <f aca="false">YEAR(A978)</f>
        <v>2024</v>
      </c>
      <c r="E978" s="9" t="n">
        <f aca="false">WEEKDAY(A978,2)</f>
        <v>3</v>
      </c>
      <c r="F978" s="10" t="n">
        <f aca="false">WEEKNUM(A978,2) - WEEKNUM(DATE(YEAR(A978),MONTH(A978),1),2) + 1</f>
        <v>4</v>
      </c>
      <c r="G978" s="10"/>
      <c r="H978" s="11" t="n">
        <v>520</v>
      </c>
      <c r="I978" s="12" t="s">
        <v>20</v>
      </c>
      <c r="J978" s="22" t="s">
        <v>44</v>
      </c>
      <c r="K978" s="12"/>
      <c r="L978" s="9" t="n">
        <f aca="false">L977+H978</f>
        <v>32791.58</v>
      </c>
      <c r="M978" s="10" t="str">
        <f aca="false">VLOOKUP(J978,RECATALOGANDO!A:C,2,0)</f>
        <v>HONORARIOS MEDICOS</v>
      </c>
      <c r="N978" s="12" t="str">
        <f aca="false">VLOOKUP(M978,RECATALOGANDO!B:C,2,0)</f>
        <v>VENTA DE SERVICIO</v>
      </c>
      <c r="O978" s="2" t="s">
        <v>78</v>
      </c>
    </row>
    <row r="979" customFormat="false" ht="13.8" hidden="false" customHeight="false" outlineLevel="0" collapsed="false">
      <c r="A979" s="8" t="n">
        <v>45497</v>
      </c>
      <c r="B979" s="9" t="n">
        <f aca="false">DAY(A979)</f>
        <v>24</v>
      </c>
      <c r="C979" s="9" t="n">
        <f aca="false">MONTH(A979)</f>
        <v>7</v>
      </c>
      <c r="D979" s="9" t="n">
        <f aca="false">YEAR(A979)</f>
        <v>2024</v>
      </c>
      <c r="E979" s="9" t="n">
        <f aca="false">WEEKDAY(A979,2)</f>
        <v>3</v>
      </c>
      <c r="F979" s="10" t="n">
        <f aca="false">WEEKNUM(A979,2) - WEEKNUM(DATE(YEAR(A979),MONTH(A979),1),2) + 1</f>
        <v>4</v>
      </c>
      <c r="G979" s="10"/>
      <c r="H979" s="11" t="n">
        <v>1920</v>
      </c>
      <c r="I979" s="12" t="s">
        <v>20</v>
      </c>
      <c r="J979" s="22" t="s">
        <v>58</v>
      </c>
      <c r="K979" s="12"/>
      <c r="L979" s="9" t="n">
        <f aca="false">L978+H979</f>
        <v>34711.58</v>
      </c>
      <c r="M979" s="10" t="str">
        <f aca="false">VLOOKUP(J979,RECATALOGANDO!A:C,2,0)</f>
        <v>SERVICIO DE LABORATORIO</v>
      </c>
      <c r="N979" s="12" t="str">
        <f aca="false">VLOOKUP(M979,RECATALOGANDO!B:C,2,0)</f>
        <v>VENTA DE SERVICIO</v>
      </c>
      <c r="O979" s="2" t="s">
        <v>78</v>
      </c>
    </row>
    <row r="980" customFormat="false" ht="13.8" hidden="false" customHeight="false" outlineLevel="0" collapsed="false">
      <c r="A980" s="8" t="n">
        <v>45498</v>
      </c>
      <c r="B980" s="9" t="n">
        <f aca="false">DAY(A980)</f>
        <v>25</v>
      </c>
      <c r="C980" s="9" t="n">
        <f aca="false">MONTH(A980)</f>
        <v>7</v>
      </c>
      <c r="D980" s="9" t="n">
        <f aca="false">YEAR(A980)</f>
        <v>2024</v>
      </c>
      <c r="E980" s="9" t="n">
        <f aca="false">WEEKDAY(A980,2)</f>
        <v>4</v>
      </c>
      <c r="F980" s="10" t="n">
        <f aca="false">WEEKNUM(A980,2) - WEEKNUM(DATE(YEAR(A980),MONTH(A980),1),2) + 1</f>
        <v>4</v>
      </c>
      <c r="G980" s="10"/>
      <c r="H980" s="11" t="n">
        <v>1985.48</v>
      </c>
      <c r="I980" s="12" t="s">
        <v>15</v>
      </c>
      <c r="J980" s="22" t="s">
        <v>41</v>
      </c>
      <c r="K980" s="12"/>
      <c r="L980" s="9" t="n">
        <f aca="false">L979+H980</f>
        <v>36697.06</v>
      </c>
      <c r="M980" s="10" t="str">
        <f aca="false">VLOOKUP(J980,RECATALOGANDO!A:C,2,0)</f>
        <v>HONORARIOS QUIRURGICOS</v>
      </c>
      <c r="N980" s="12" t="str">
        <f aca="false">VLOOKUP(M980,RECATALOGANDO!B:C,2,0)</f>
        <v>VENTA DE SERVICIO</v>
      </c>
      <c r="O980" s="2" t="s">
        <v>78</v>
      </c>
    </row>
    <row r="981" customFormat="false" ht="13.8" hidden="false" customHeight="false" outlineLevel="0" collapsed="false">
      <c r="A981" s="8" t="n">
        <v>45499</v>
      </c>
      <c r="B981" s="9" t="n">
        <f aca="false">DAY(A981)</f>
        <v>26</v>
      </c>
      <c r="C981" s="9" t="n">
        <f aca="false">MONTH(A981)</f>
        <v>7</v>
      </c>
      <c r="D981" s="9" t="n">
        <f aca="false">YEAR(A981)</f>
        <v>2024</v>
      </c>
      <c r="E981" s="9" t="n">
        <f aca="false">WEEKDAY(A981,2)</f>
        <v>5</v>
      </c>
      <c r="F981" s="10" t="n">
        <f aca="false">WEEKNUM(A981,2) - WEEKNUM(DATE(YEAR(A981),MONTH(A981),1),2) + 1</f>
        <v>4</v>
      </c>
      <c r="G981" s="10"/>
      <c r="H981" s="11" t="n">
        <v>1630</v>
      </c>
      <c r="I981" s="12" t="s">
        <v>15</v>
      </c>
      <c r="J981" s="22" t="s">
        <v>51</v>
      </c>
      <c r="K981" s="12"/>
      <c r="L981" s="9" t="n">
        <f aca="false">L980+H981</f>
        <v>38327.06</v>
      </c>
      <c r="M981" s="10" t="str">
        <f aca="false">VLOOKUP(J981,RECATALOGANDO!A:C,2,0)</f>
        <v>VENTA DE ALIMENTO</v>
      </c>
      <c r="N981" s="12" t="str">
        <f aca="false">VLOOKUP(M981,RECATALOGANDO!B:C,2,0)</f>
        <v>VENTA DE PRODUCTO</v>
      </c>
      <c r="O981" s="2" t="s">
        <v>78</v>
      </c>
    </row>
    <row r="982" customFormat="false" ht="13.8" hidden="false" customHeight="false" outlineLevel="0" collapsed="false">
      <c r="A982" s="8" t="n">
        <v>45500</v>
      </c>
      <c r="B982" s="9" t="n">
        <f aca="false">DAY(A982)</f>
        <v>27</v>
      </c>
      <c r="C982" s="9" t="n">
        <f aca="false">MONTH(A982)</f>
        <v>7</v>
      </c>
      <c r="D982" s="9" t="n">
        <f aca="false">YEAR(A982)</f>
        <v>2024</v>
      </c>
      <c r="E982" s="9" t="n">
        <f aca="false">WEEKDAY(A982,2)</f>
        <v>6</v>
      </c>
      <c r="F982" s="10" t="n">
        <f aca="false">WEEKNUM(A982,2) - WEEKNUM(DATE(YEAR(A982),MONTH(A982),1),2) + 1</f>
        <v>4</v>
      </c>
      <c r="G982" s="10"/>
      <c r="H982" s="11" t="n">
        <v>1000</v>
      </c>
      <c r="I982" s="12" t="s">
        <v>20</v>
      </c>
      <c r="J982" s="22" t="s">
        <v>45</v>
      </c>
      <c r="K982" s="12"/>
      <c r="L982" s="9" t="n">
        <f aca="false">L981+H982</f>
        <v>39327.06</v>
      </c>
      <c r="M982" s="10" t="str">
        <f aca="false">VLOOKUP(J982,RECATALOGANDO!A:C,2,0)</f>
        <v>VENTA DE MEDICAMENTO</v>
      </c>
      <c r="N982" s="12" t="str">
        <f aca="false">VLOOKUP(M982,RECATALOGANDO!B:C,2,0)</f>
        <v>VENTA DE PRODUCTO</v>
      </c>
      <c r="O982" s="2" t="s">
        <v>78</v>
      </c>
    </row>
    <row r="983" customFormat="false" ht="13.8" hidden="false" customHeight="false" outlineLevel="0" collapsed="false">
      <c r="A983" s="8" t="n">
        <v>45500</v>
      </c>
      <c r="B983" s="9" t="n">
        <f aca="false">DAY(A983)</f>
        <v>27</v>
      </c>
      <c r="C983" s="9" t="n">
        <f aca="false">MONTH(A983)</f>
        <v>7</v>
      </c>
      <c r="D983" s="9" t="n">
        <f aca="false">YEAR(A983)</f>
        <v>2024</v>
      </c>
      <c r="E983" s="9" t="n">
        <f aca="false">WEEKDAY(A983,2)</f>
        <v>6</v>
      </c>
      <c r="F983" s="10" t="n">
        <f aca="false">WEEKNUM(A983,2) - WEEKNUM(DATE(YEAR(A983),MONTH(A983),1),2) + 1</f>
        <v>4</v>
      </c>
      <c r="G983" s="10"/>
      <c r="H983" s="11" t="n">
        <v>170</v>
      </c>
      <c r="I983" s="12" t="s">
        <v>20</v>
      </c>
      <c r="J983" s="22" t="s">
        <v>53</v>
      </c>
      <c r="K983" s="12"/>
      <c r="L983" s="9" t="n">
        <f aca="false">L982+H983</f>
        <v>39497.06</v>
      </c>
      <c r="M983" s="10" t="str">
        <f aca="false">VLOOKUP(J983,RECATALOGANDO!A:C,2,0)</f>
        <v>SERVICIO DE GROOMING</v>
      </c>
      <c r="N983" s="12" t="str">
        <f aca="false">VLOOKUP(M983,RECATALOGANDO!B:C,2,0)</f>
        <v>VENTA DE SERVICIO</v>
      </c>
      <c r="O983" s="2" t="s">
        <v>78</v>
      </c>
    </row>
    <row r="984" customFormat="false" ht="13.8" hidden="false" customHeight="false" outlineLevel="0" collapsed="false">
      <c r="A984" s="8" t="n">
        <v>45500</v>
      </c>
      <c r="B984" s="9" t="n">
        <f aca="false">DAY(A984)</f>
        <v>27</v>
      </c>
      <c r="C984" s="9" t="n">
        <f aca="false">MONTH(A984)</f>
        <v>7</v>
      </c>
      <c r="D984" s="9" t="n">
        <f aca="false">YEAR(A984)</f>
        <v>2024</v>
      </c>
      <c r="E984" s="9" t="n">
        <f aca="false">WEEKDAY(A984,2)</f>
        <v>6</v>
      </c>
      <c r="F984" s="10" t="n">
        <f aca="false">WEEKNUM(A984,2) - WEEKNUM(DATE(YEAR(A984),MONTH(A984),1),2) + 1</f>
        <v>4</v>
      </c>
      <c r="G984" s="10"/>
      <c r="H984" s="11" t="n">
        <v>5190</v>
      </c>
      <c r="I984" s="12" t="s">
        <v>20</v>
      </c>
      <c r="J984" s="22" t="s">
        <v>41</v>
      </c>
      <c r="K984" s="12"/>
      <c r="L984" s="9" t="n">
        <f aca="false">L983+H984</f>
        <v>44687.06</v>
      </c>
      <c r="M984" s="10" t="str">
        <f aca="false">VLOOKUP(J984,RECATALOGANDO!A:C,2,0)</f>
        <v>HONORARIOS QUIRURGICOS</v>
      </c>
      <c r="N984" s="12" t="str">
        <f aca="false">VLOOKUP(M984,RECATALOGANDO!B:C,2,0)</f>
        <v>VENTA DE SERVICIO</v>
      </c>
      <c r="O984" s="2" t="s">
        <v>78</v>
      </c>
    </row>
    <row r="985" customFormat="false" ht="13.8" hidden="false" customHeight="false" outlineLevel="0" collapsed="false">
      <c r="A985" s="8" t="n">
        <v>45501</v>
      </c>
      <c r="B985" s="9" t="n">
        <f aca="false">DAY(A985)</f>
        <v>28</v>
      </c>
      <c r="C985" s="9" t="n">
        <f aca="false">MONTH(A985)</f>
        <v>7</v>
      </c>
      <c r="D985" s="9" t="n">
        <f aca="false">YEAR(A985)</f>
        <v>2024</v>
      </c>
      <c r="E985" s="9" t="n">
        <f aca="false">WEEKDAY(A985,2)</f>
        <v>7</v>
      </c>
      <c r="F985" s="10" t="n">
        <f aca="false">WEEKNUM(A985,2) - WEEKNUM(DATE(YEAR(A985),MONTH(A985),1),2) + 1</f>
        <v>4</v>
      </c>
      <c r="G985" s="10"/>
      <c r="H985" s="11" t="n">
        <v>405</v>
      </c>
      <c r="I985" s="12" t="s">
        <v>20</v>
      </c>
      <c r="J985" s="22" t="s">
        <v>45</v>
      </c>
      <c r="K985" s="12"/>
      <c r="L985" s="9" t="n">
        <f aca="false">L984+H985</f>
        <v>45092.06</v>
      </c>
      <c r="M985" s="10" t="str">
        <f aca="false">VLOOKUP(J985,RECATALOGANDO!A:C,2,0)</f>
        <v>VENTA DE MEDICAMENTO</v>
      </c>
      <c r="N985" s="12" t="str">
        <f aca="false">VLOOKUP(M985,RECATALOGANDO!B:C,2,0)</f>
        <v>VENTA DE PRODUCTO</v>
      </c>
      <c r="O985" s="2" t="s">
        <v>78</v>
      </c>
    </row>
    <row r="986" customFormat="false" ht="13.8" hidden="false" customHeight="false" outlineLevel="0" collapsed="false">
      <c r="A986" s="8" t="n">
        <v>45503</v>
      </c>
      <c r="B986" s="9" t="n">
        <f aca="false">DAY(A986)</f>
        <v>30</v>
      </c>
      <c r="C986" s="9" t="n">
        <f aca="false">MONTH(A986)</f>
        <v>7</v>
      </c>
      <c r="D986" s="9" t="n">
        <f aca="false">YEAR(A986)</f>
        <v>2024</v>
      </c>
      <c r="E986" s="9" t="n">
        <f aca="false">WEEKDAY(A986,2)</f>
        <v>2</v>
      </c>
      <c r="F986" s="10" t="n">
        <f aca="false">WEEKNUM(A986,2) - WEEKNUM(DATE(YEAR(A986),MONTH(A986),1),2) + 1</f>
        <v>5</v>
      </c>
      <c r="G986" s="10" t="n">
        <v>2</v>
      </c>
      <c r="H986" s="11" t="n">
        <v>877</v>
      </c>
      <c r="I986" s="12" t="s">
        <v>20</v>
      </c>
      <c r="J986" s="22" t="s">
        <v>45</v>
      </c>
      <c r="K986" s="12"/>
      <c r="L986" s="9" t="n">
        <f aca="false">L985+H986</f>
        <v>45969.06</v>
      </c>
      <c r="M986" s="10" t="str">
        <f aca="false">VLOOKUP(J986,RECATALOGANDO!A:C,2,0)</f>
        <v>VENTA DE MEDICAMENTO</v>
      </c>
      <c r="N986" s="12" t="str">
        <f aca="false">VLOOKUP(M986,RECATALOGANDO!B:C,2,0)</f>
        <v>VENTA DE PRODUCTO</v>
      </c>
      <c r="O986" s="2" t="s">
        <v>78</v>
      </c>
    </row>
    <row r="987" customFormat="false" ht="13.8" hidden="false" customHeight="false" outlineLevel="0" collapsed="false">
      <c r="A987" s="8" t="n">
        <v>45503</v>
      </c>
      <c r="B987" s="9" t="n">
        <f aca="false">DAY(A987)</f>
        <v>30</v>
      </c>
      <c r="C987" s="9" t="n">
        <f aca="false">MONTH(A987)</f>
        <v>7</v>
      </c>
      <c r="D987" s="9" t="n">
        <f aca="false">YEAR(A987)</f>
        <v>2024</v>
      </c>
      <c r="E987" s="9" t="n">
        <f aca="false">WEEKDAY(A987,2)</f>
        <v>2</v>
      </c>
      <c r="F987" s="10" t="n">
        <f aca="false">WEEKNUM(A987,2) - WEEKNUM(DATE(YEAR(A987),MONTH(A987),1),2) + 1</f>
        <v>5</v>
      </c>
      <c r="G987" s="10" t="n">
        <v>2</v>
      </c>
      <c r="H987" s="11" t="n">
        <v>2441.59</v>
      </c>
      <c r="I987" s="12" t="s">
        <v>15</v>
      </c>
      <c r="J987" s="22" t="s">
        <v>45</v>
      </c>
      <c r="K987" s="12"/>
      <c r="L987" s="9" t="n">
        <f aca="false">L986+H987</f>
        <v>48410.65</v>
      </c>
      <c r="M987" s="10" t="str">
        <f aca="false">VLOOKUP(J987,RECATALOGANDO!A:C,2,0)</f>
        <v>VENTA DE MEDICAMENTO</v>
      </c>
      <c r="N987" s="12" t="str">
        <f aca="false">VLOOKUP(M987,RECATALOGANDO!B:C,2,0)</f>
        <v>VENTA DE PRODUCTO</v>
      </c>
      <c r="O987" s="2" t="s">
        <v>78</v>
      </c>
    </row>
    <row r="988" customFormat="false" ht="13.8" hidden="false" customHeight="false" outlineLevel="0" collapsed="false">
      <c r="A988" s="8" t="n">
        <v>45504</v>
      </c>
      <c r="B988" s="9" t="n">
        <f aca="false">DAY(A988)</f>
        <v>31</v>
      </c>
      <c r="C988" s="9" t="n">
        <f aca="false">MONTH(A988)</f>
        <v>7</v>
      </c>
      <c r="D988" s="9" t="n">
        <f aca="false">YEAR(A988)</f>
        <v>2024</v>
      </c>
      <c r="E988" s="9" t="n">
        <f aca="false">WEEKDAY(A988,2)</f>
        <v>3</v>
      </c>
      <c r="F988" s="10" t="n">
        <f aca="false">WEEKNUM(A988,2) - WEEKNUM(DATE(YEAR(A988),MONTH(A988),1),2) + 1</f>
        <v>5</v>
      </c>
      <c r="G988" s="10"/>
      <c r="H988" s="11" t="n">
        <v>370</v>
      </c>
      <c r="I988" s="12" t="s">
        <v>20</v>
      </c>
      <c r="J988" s="22" t="s">
        <v>53</v>
      </c>
      <c r="K988" s="12"/>
      <c r="L988" s="9" t="n">
        <f aca="false">L987+H988</f>
        <v>48780.65</v>
      </c>
      <c r="M988" s="10" t="str">
        <f aca="false">VLOOKUP(J988,RECATALOGANDO!A:C,2,0)</f>
        <v>SERVICIO DE GROOMING</v>
      </c>
      <c r="N988" s="12" t="str">
        <f aca="false">VLOOKUP(M988,RECATALOGANDO!B:C,2,0)</f>
        <v>VENTA DE SERVICIO</v>
      </c>
      <c r="O988" s="2" t="s">
        <v>78</v>
      </c>
    </row>
    <row r="989" customFormat="false" ht="13.8" hidden="false" customHeight="false" outlineLevel="0" collapsed="false">
      <c r="A989" s="8" t="n">
        <v>45505</v>
      </c>
      <c r="B989" s="9" t="n">
        <f aca="false">DAY(A989)</f>
        <v>1</v>
      </c>
      <c r="C989" s="9" t="n">
        <f aca="false">MONTH(A989)</f>
        <v>8</v>
      </c>
      <c r="D989" s="9" t="n">
        <f aca="false">YEAR(A989)</f>
        <v>2024</v>
      </c>
      <c r="E989" s="9" t="n">
        <f aca="false">WEEKDAY(A989,2)</f>
        <v>4</v>
      </c>
      <c r="F989" s="10" t="n">
        <f aca="false">WEEKNUM(A989,2) - WEEKNUM(DATE(YEAR(A989),MONTH(A989),1),2) + 1</f>
        <v>1</v>
      </c>
      <c r="G989" s="10"/>
      <c r="H989" s="11" t="n">
        <v>815</v>
      </c>
      <c r="I989" s="12" t="s">
        <v>20</v>
      </c>
      <c r="J989" s="12" t="s">
        <v>54</v>
      </c>
      <c r="K989" s="12"/>
      <c r="L989" s="9" t="n">
        <f aca="false">H989</f>
        <v>815</v>
      </c>
      <c r="M989" s="10" t="str">
        <f aca="false">VLOOKUP(J989,RECATALOGANDO!A:C,2,0)</f>
        <v>SERVICIO DE LABORATORIO</v>
      </c>
      <c r="N989" s="12" t="str">
        <f aca="false">VLOOKUP(M989,RECATALOGANDO!B:C,2,0)</f>
        <v>VENTA DE SERVICIO</v>
      </c>
      <c r="O989" s="2" t="s">
        <v>78</v>
      </c>
    </row>
    <row r="990" customFormat="false" ht="13.8" hidden="false" customHeight="false" outlineLevel="0" collapsed="false">
      <c r="A990" s="8" t="n">
        <v>45505</v>
      </c>
      <c r="B990" s="9" t="n">
        <f aca="false">DAY(A990)</f>
        <v>1</v>
      </c>
      <c r="C990" s="9" t="n">
        <f aca="false">MONTH(A990)</f>
        <v>8</v>
      </c>
      <c r="D990" s="9" t="n">
        <f aca="false">YEAR(A990)</f>
        <v>2024</v>
      </c>
      <c r="E990" s="9" t="n">
        <f aca="false">WEEKDAY(A990,2)</f>
        <v>4</v>
      </c>
      <c r="F990" s="10" t="n">
        <f aca="false">WEEKNUM(A990,2) - WEEKNUM(DATE(YEAR(A990),MONTH(A990),1),2) + 1</f>
        <v>1</v>
      </c>
      <c r="G990" s="10"/>
      <c r="H990" s="11" t="n">
        <v>815</v>
      </c>
      <c r="I990" s="12" t="s">
        <v>20</v>
      </c>
      <c r="J990" s="12" t="s">
        <v>54</v>
      </c>
      <c r="K990" s="12"/>
      <c r="L990" s="9" t="n">
        <f aca="false">L989+H990</f>
        <v>1630</v>
      </c>
      <c r="M990" s="10" t="str">
        <f aca="false">VLOOKUP(J990,RECATALOGANDO!A:C,2,0)</f>
        <v>SERVICIO DE LABORATORIO</v>
      </c>
      <c r="N990" s="12" t="str">
        <f aca="false">VLOOKUP(M990,RECATALOGANDO!B:C,2,0)</f>
        <v>VENTA DE SERVICIO</v>
      </c>
      <c r="O990" s="2" t="s">
        <v>78</v>
      </c>
    </row>
    <row r="991" customFormat="false" ht="13.8" hidden="false" customHeight="false" outlineLevel="0" collapsed="false">
      <c r="A991" s="8" t="n">
        <v>45506</v>
      </c>
      <c r="B991" s="9" t="n">
        <f aca="false">DAY(A991)</f>
        <v>2</v>
      </c>
      <c r="C991" s="9" t="n">
        <f aca="false">MONTH(A991)</f>
        <v>8</v>
      </c>
      <c r="D991" s="9" t="n">
        <f aca="false">YEAR(A991)</f>
        <v>2024</v>
      </c>
      <c r="E991" s="9" t="n">
        <f aca="false">WEEKDAY(A991,2)</f>
        <v>5</v>
      </c>
      <c r="F991" s="10" t="n">
        <f aca="false">WEEKNUM(A991,2) - WEEKNUM(DATE(YEAR(A991),MONTH(A991),1),2) + 1</f>
        <v>1</v>
      </c>
      <c r="G991" s="10"/>
      <c r="H991" s="11" t="n">
        <v>2630</v>
      </c>
      <c r="I991" s="12" t="s">
        <v>20</v>
      </c>
      <c r="J991" s="12" t="s">
        <v>45</v>
      </c>
      <c r="K991" s="12"/>
      <c r="L991" s="9" t="n">
        <f aca="false">L990+H991</f>
        <v>4260</v>
      </c>
      <c r="M991" s="10" t="str">
        <f aca="false">VLOOKUP(J991,RECATALOGANDO!A:C,2,0)</f>
        <v>VENTA DE MEDICAMENTO</v>
      </c>
      <c r="N991" s="12" t="str">
        <f aca="false">VLOOKUP(M991,RECATALOGANDO!B:C,2,0)</f>
        <v>VENTA DE PRODUCTO</v>
      </c>
      <c r="O991" s="2" t="s">
        <v>78</v>
      </c>
    </row>
    <row r="992" customFormat="false" ht="13.8" hidden="false" customHeight="false" outlineLevel="0" collapsed="false">
      <c r="A992" s="8" t="n">
        <v>45506</v>
      </c>
      <c r="B992" s="9" t="n">
        <f aca="false">DAY(A992)</f>
        <v>2</v>
      </c>
      <c r="C992" s="9" t="n">
        <f aca="false">MONTH(A992)</f>
        <v>8</v>
      </c>
      <c r="D992" s="9" t="n">
        <f aca="false">YEAR(A992)</f>
        <v>2024</v>
      </c>
      <c r="E992" s="9" t="n">
        <f aca="false">WEEKDAY(A992,2)</f>
        <v>5</v>
      </c>
      <c r="F992" s="10" t="n">
        <f aca="false">WEEKNUM(A992,2) - WEEKNUM(DATE(YEAR(A992),MONTH(A992),1),2) + 1</f>
        <v>1</v>
      </c>
      <c r="G992" s="10"/>
      <c r="H992" s="11" t="n">
        <v>2630</v>
      </c>
      <c r="I992" s="12" t="s">
        <v>20</v>
      </c>
      <c r="J992" s="12" t="s">
        <v>45</v>
      </c>
      <c r="K992" s="12"/>
      <c r="L992" s="9" t="n">
        <f aca="false">L991+H992</f>
        <v>6890</v>
      </c>
      <c r="M992" s="10" t="str">
        <f aca="false">VLOOKUP(J992,RECATALOGANDO!A:C,2,0)</f>
        <v>VENTA DE MEDICAMENTO</v>
      </c>
      <c r="N992" s="12" t="str">
        <f aca="false">VLOOKUP(M992,RECATALOGANDO!B:C,2,0)</f>
        <v>VENTA DE PRODUCTO</v>
      </c>
      <c r="O992" s="2" t="s">
        <v>78</v>
      </c>
    </row>
    <row r="993" customFormat="false" ht="13.8" hidden="false" customHeight="false" outlineLevel="0" collapsed="false">
      <c r="A993" s="8" t="n">
        <v>45507</v>
      </c>
      <c r="B993" s="9" t="n">
        <f aca="false">DAY(A993)</f>
        <v>3</v>
      </c>
      <c r="C993" s="9" t="n">
        <f aca="false">MONTH(A993)</f>
        <v>8</v>
      </c>
      <c r="D993" s="9" t="n">
        <f aca="false">YEAR(A993)</f>
        <v>2024</v>
      </c>
      <c r="E993" s="9" t="n">
        <f aca="false">WEEKDAY(A993,2)</f>
        <v>6</v>
      </c>
      <c r="F993" s="10" t="n">
        <f aca="false">WEEKNUM(A993,2) - WEEKNUM(DATE(YEAR(A993),MONTH(A993),1),2) + 1</f>
        <v>1</v>
      </c>
      <c r="G993" s="10"/>
      <c r="H993" s="11" t="n">
        <v>277</v>
      </c>
      <c r="I993" s="12" t="s">
        <v>15</v>
      </c>
      <c r="J993" s="12" t="s">
        <v>49</v>
      </c>
      <c r="K993" s="12"/>
      <c r="L993" s="9" t="n">
        <f aca="false">L992+H993</f>
        <v>7167</v>
      </c>
      <c r="M993" s="10" t="str">
        <f aca="false">VLOOKUP(J993,RECATALOGANDO!A:C,2,0)</f>
        <v>SERVICIO DE GROOMING</v>
      </c>
      <c r="N993" s="12" t="str">
        <f aca="false">VLOOKUP(M993,RECATALOGANDO!B:C,2,0)</f>
        <v>VENTA DE SERVICIO</v>
      </c>
      <c r="O993" s="2" t="s">
        <v>78</v>
      </c>
    </row>
    <row r="994" customFormat="false" ht="13.8" hidden="false" customHeight="false" outlineLevel="0" collapsed="false">
      <c r="A994" s="8" t="n">
        <v>45510</v>
      </c>
      <c r="B994" s="9" t="n">
        <f aca="false">DAY(A994)</f>
        <v>6</v>
      </c>
      <c r="C994" s="9" t="n">
        <f aca="false">MONTH(A994)</f>
        <v>8</v>
      </c>
      <c r="D994" s="9" t="n">
        <f aca="false">YEAR(A994)</f>
        <v>2024</v>
      </c>
      <c r="E994" s="9" t="n">
        <f aca="false">WEEKDAY(A994,2)</f>
        <v>2</v>
      </c>
      <c r="F994" s="10" t="n">
        <f aca="false">WEEKNUM(A994,2) - WEEKNUM(DATE(YEAR(A994),MONTH(A994),1),2) + 1</f>
        <v>2</v>
      </c>
      <c r="G994" s="10"/>
      <c r="H994" s="11" t="n">
        <v>350</v>
      </c>
      <c r="I994" s="12" t="s">
        <v>20</v>
      </c>
      <c r="J994" s="12" t="s">
        <v>45</v>
      </c>
      <c r="K994" s="12"/>
      <c r="L994" s="9" t="n">
        <f aca="false">L993+H994</f>
        <v>7517</v>
      </c>
      <c r="M994" s="10" t="str">
        <f aca="false">VLOOKUP(J994,RECATALOGANDO!A:C,2,0)</f>
        <v>VENTA DE MEDICAMENTO</v>
      </c>
      <c r="N994" s="12" t="str">
        <f aca="false">VLOOKUP(M994,RECATALOGANDO!B:C,2,0)</f>
        <v>VENTA DE PRODUCTO</v>
      </c>
      <c r="O994" s="2" t="s">
        <v>78</v>
      </c>
    </row>
    <row r="995" customFormat="false" ht="13.8" hidden="false" customHeight="false" outlineLevel="0" collapsed="false">
      <c r="A995" s="8" t="n">
        <v>45510</v>
      </c>
      <c r="B995" s="9" t="n">
        <f aca="false">DAY(A995)</f>
        <v>6</v>
      </c>
      <c r="C995" s="9" t="n">
        <f aca="false">MONTH(A995)</f>
        <v>8</v>
      </c>
      <c r="D995" s="9" t="n">
        <f aca="false">YEAR(A995)</f>
        <v>2024</v>
      </c>
      <c r="E995" s="9" t="n">
        <f aca="false">WEEKDAY(A995,2)</f>
        <v>2</v>
      </c>
      <c r="F995" s="10" t="n">
        <f aca="false">WEEKNUM(A995,2) - WEEKNUM(DATE(YEAR(A995),MONTH(A995),1),2) + 1</f>
        <v>2</v>
      </c>
      <c r="G995" s="10"/>
      <c r="H995" s="11" t="n">
        <v>350</v>
      </c>
      <c r="I995" s="12" t="s">
        <v>20</v>
      </c>
      <c r="J995" s="12" t="s">
        <v>45</v>
      </c>
      <c r="K995" s="12"/>
      <c r="L995" s="9" t="n">
        <f aca="false">L994+H995</f>
        <v>7867</v>
      </c>
      <c r="M995" s="10" t="str">
        <f aca="false">VLOOKUP(J995,RECATALOGANDO!A:C,2,0)</f>
        <v>VENTA DE MEDICAMENTO</v>
      </c>
      <c r="N995" s="12" t="str">
        <f aca="false">VLOOKUP(M995,RECATALOGANDO!B:C,2,0)</f>
        <v>VENTA DE PRODUCTO</v>
      </c>
      <c r="O995" s="2" t="s">
        <v>78</v>
      </c>
    </row>
    <row r="996" customFormat="false" ht="13.8" hidden="false" customHeight="false" outlineLevel="0" collapsed="false">
      <c r="A996" s="8" t="n">
        <v>45512</v>
      </c>
      <c r="B996" s="9" t="n">
        <f aca="false">DAY(A996)</f>
        <v>8</v>
      </c>
      <c r="C996" s="9" t="n">
        <f aca="false">MONTH(A996)</f>
        <v>8</v>
      </c>
      <c r="D996" s="9" t="n">
        <f aca="false">YEAR(A996)</f>
        <v>2024</v>
      </c>
      <c r="E996" s="9" t="n">
        <f aca="false">WEEKDAY(A996,2)</f>
        <v>4</v>
      </c>
      <c r="F996" s="10" t="n">
        <f aca="false">WEEKNUM(A996,2) - WEEKNUM(DATE(YEAR(A996),MONTH(A996),1),2) + 1</f>
        <v>2</v>
      </c>
      <c r="G996" s="10"/>
      <c r="H996" s="11" t="n">
        <v>160</v>
      </c>
      <c r="I996" s="12" t="s">
        <v>20</v>
      </c>
      <c r="J996" s="12" t="s">
        <v>49</v>
      </c>
      <c r="K996" s="12"/>
      <c r="L996" s="9" t="n">
        <f aca="false">L995+H996</f>
        <v>8027</v>
      </c>
      <c r="M996" s="10" t="str">
        <f aca="false">VLOOKUP(J996,RECATALOGANDO!A:C,2,0)</f>
        <v>SERVICIO DE GROOMING</v>
      </c>
      <c r="N996" s="12" t="str">
        <f aca="false">VLOOKUP(M996,RECATALOGANDO!B:C,2,0)</f>
        <v>VENTA DE SERVICIO</v>
      </c>
      <c r="O996" s="2" t="s">
        <v>78</v>
      </c>
    </row>
    <row r="997" customFormat="false" ht="13.8" hidden="false" customHeight="false" outlineLevel="0" collapsed="false">
      <c r="A997" s="8" t="n">
        <v>45512</v>
      </c>
      <c r="B997" s="9" t="n">
        <f aca="false">DAY(A997)</f>
        <v>8</v>
      </c>
      <c r="C997" s="9" t="n">
        <f aca="false">MONTH(A997)</f>
        <v>8</v>
      </c>
      <c r="D997" s="9" t="n">
        <f aca="false">YEAR(A997)</f>
        <v>2024</v>
      </c>
      <c r="E997" s="9" t="n">
        <f aca="false">WEEKDAY(A997,2)</f>
        <v>4</v>
      </c>
      <c r="F997" s="10" t="n">
        <f aca="false">WEEKNUM(A997,2) - WEEKNUM(DATE(YEAR(A997),MONTH(A997),1),2) + 1</f>
        <v>2</v>
      </c>
      <c r="G997" s="10"/>
      <c r="H997" s="11" t="n">
        <v>160</v>
      </c>
      <c r="I997" s="12" t="s">
        <v>20</v>
      </c>
      <c r="J997" s="12" t="s">
        <v>49</v>
      </c>
      <c r="K997" s="12"/>
      <c r="L997" s="9" t="n">
        <f aca="false">L996+H997</f>
        <v>8187</v>
      </c>
      <c r="M997" s="10" t="str">
        <f aca="false">VLOOKUP(J997,RECATALOGANDO!A:C,2,0)</f>
        <v>SERVICIO DE GROOMING</v>
      </c>
      <c r="N997" s="12" t="str">
        <f aca="false">VLOOKUP(M997,RECATALOGANDO!B:C,2,0)</f>
        <v>VENTA DE SERVICIO</v>
      </c>
      <c r="O997" s="2" t="s">
        <v>78</v>
      </c>
    </row>
    <row r="998" customFormat="false" ht="13.8" hidden="false" customHeight="false" outlineLevel="0" collapsed="false">
      <c r="A998" s="8" t="n">
        <v>45512</v>
      </c>
      <c r="B998" s="9" t="n">
        <f aca="false">DAY(A998)</f>
        <v>8</v>
      </c>
      <c r="C998" s="9" t="n">
        <f aca="false">MONTH(A998)</f>
        <v>8</v>
      </c>
      <c r="D998" s="9" t="n">
        <f aca="false">YEAR(A998)</f>
        <v>2024</v>
      </c>
      <c r="E998" s="9" t="n">
        <f aca="false">WEEKDAY(A998,2)</f>
        <v>4</v>
      </c>
      <c r="F998" s="10" t="n">
        <f aca="false">WEEKNUM(A998,2) - WEEKNUM(DATE(YEAR(A998),MONTH(A998),1),2) + 1</f>
        <v>2</v>
      </c>
      <c r="G998" s="10"/>
      <c r="H998" s="11" t="n">
        <v>160</v>
      </c>
      <c r="I998" s="12" t="s">
        <v>20</v>
      </c>
      <c r="J998" s="12" t="s">
        <v>49</v>
      </c>
      <c r="K998" s="12"/>
      <c r="L998" s="9" t="n">
        <f aca="false">L997+H998</f>
        <v>8347</v>
      </c>
      <c r="M998" s="10" t="str">
        <f aca="false">VLOOKUP(J998,RECATALOGANDO!A:C,2,0)</f>
        <v>SERVICIO DE GROOMING</v>
      </c>
      <c r="N998" s="12" t="str">
        <f aca="false">VLOOKUP(M998,RECATALOGANDO!B:C,2,0)</f>
        <v>VENTA DE SERVICIO</v>
      </c>
      <c r="O998" s="2" t="s">
        <v>78</v>
      </c>
    </row>
    <row r="999" customFormat="false" ht="13.8" hidden="false" customHeight="false" outlineLevel="0" collapsed="false">
      <c r="A999" s="8" t="n">
        <v>45512</v>
      </c>
      <c r="B999" s="9" t="n">
        <f aca="false">DAY(A999)</f>
        <v>8</v>
      </c>
      <c r="C999" s="9" t="n">
        <f aca="false">MONTH(A999)</f>
        <v>8</v>
      </c>
      <c r="D999" s="9" t="n">
        <f aca="false">YEAR(A999)</f>
        <v>2024</v>
      </c>
      <c r="E999" s="9" t="n">
        <f aca="false">WEEKDAY(A999,2)</f>
        <v>4</v>
      </c>
      <c r="F999" s="10" t="n">
        <f aca="false">WEEKNUM(A999,2) - WEEKNUM(DATE(YEAR(A999),MONTH(A999),1),2) + 1</f>
        <v>2</v>
      </c>
      <c r="G999" s="10"/>
      <c r="H999" s="11" t="n">
        <v>160</v>
      </c>
      <c r="I999" s="12" t="s">
        <v>20</v>
      </c>
      <c r="J999" s="12" t="s">
        <v>49</v>
      </c>
      <c r="K999" s="12"/>
      <c r="L999" s="9" t="n">
        <f aca="false">L998+H999</f>
        <v>8507</v>
      </c>
      <c r="M999" s="10" t="str">
        <f aca="false">VLOOKUP(J999,RECATALOGANDO!A:C,2,0)</f>
        <v>SERVICIO DE GROOMING</v>
      </c>
      <c r="N999" s="12" t="str">
        <f aca="false">VLOOKUP(M999,RECATALOGANDO!B:C,2,0)</f>
        <v>VENTA DE SERVICIO</v>
      </c>
      <c r="O999" s="2" t="s">
        <v>78</v>
      </c>
    </row>
    <row r="1000" customFormat="false" ht="13.8" hidden="false" customHeight="false" outlineLevel="0" collapsed="false">
      <c r="A1000" s="8" t="n">
        <v>45513</v>
      </c>
      <c r="B1000" s="9" t="n">
        <f aca="false">DAY(A1000)</f>
        <v>9</v>
      </c>
      <c r="C1000" s="9" t="n">
        <f aca="false">MONTH(A1000)</f>
        <v>8</v>
      </c>
      <c r="D1000" s="9" t="n">
        <f aca="false">YEAR(A1000)</f>
        <v>2024</v>
      </c>
      <c r="E1000" s="9" t="n">
        <f aca="false">WEEKDAY(A1000,2)</f>
        <v>5</v>
      </c>
      <c r="F1000" s="10" t="n">
        <f aca="false">WEEKNUM(A1000,2) - WEEKNUM(DATE(YEAR(A1000),MONTH(A1000),1),2) + 1</f>
        <v>2</v>
      </c>
      <c r="G1000" s="10"/>
      <c r="H1000" s="11" t="n">
        <v>979</v>
      </c>
      <c r="I1000" s="12" t="s">
        <v>15</v>
      </c>
      <c r="J1000" s="12" t="s">
        <v>51</v>
      </c>
      <c r="K1000" s="12"/>
      <c r="L1000" s="9" t="n">
        <f aca="false">L999+H1000</f>
        <v>9486</v>
      </c>
      <c r="M1000" s="10" t="str">
        <f aca="false">VLOOKUP(J1000,RECATALOGANDO!A:C,2,0)</f>
        <v>VENTA DE ALIMENTO</v>
      </c>
      <c r="N1000" s="12" t="str">
        <f aca="false">VLOOKUP(M1000,RECATALOGANDO!B:C,2,0)</f>
        <v>VENTA DE PRODUCTO</v>
      </c>
      <c r="O1000" s="2" t="s">
        <v>78</v>
      </c>
    </row>
    <row r="1001" customFormat="false" ht="13.8" hidden="false" customHeight="false" outlineLevel="0" collapsed="false">
      <c r="A1001" s="8" t="n">
        <v>45513</v>
      </c>
      <c r="B1001" s="9" t="n">
        <f aca="false">DAY(A1001)</f>
        <v>9</v>
      </c>
      <c r="C1001" s="9" t="n">
        <f aca="false">MONTH(A1001)</f>
        <v>8</v>
      </c>
      <c r="D1001" s="9" t="n">
        <f aca="false">YEAR(A1001)</f>
        <v>2024</v>
      </c>
      <c r="E1001" s="9" t="n">
        <f aca="false">WEEKDAY(A1001,2)</f>
        <v>5</v>
      </c>
      <c r="F1001" s="10" t="n">
        <f aca="false">WEEKNUM(A1001,2) - WEEKNUM(DATE(YEAR(A1001),MONTH(A1001),1),2) + 1</f>
        <v>2</v>
      </c>
      <c r="G1001" s="10"/>
      <c r="H1001" s="11" t="n">
        <v>979</v>
      </c>
      <c r="I1001" s="12" t="s">
        <v>15</v>
      </c>
      <c r="J1001" s="12" t="s">
        <v>51</v>
      </c>
      <c r="K1001" s="12"/>
      <c r="L1001" s="9" t="n">
        <f aca="false">L1000+H1001</f>
        <v>10465</v>
      </c>
      <c r="M1001" s="10" t="str">
        <f aca="false">VLOOKUP(J1001,RECATALOGANDO!A:C,2,0)</f>
        <v>VENTA DE ALIMENTO</v>
      </c>
      <c r="N1001" s="12" t="str">
        <f aca="false">VLOOKUP(M1001,RECATALOGANDO!B:C,2,0)</f>
        <v>VENTA DE PRODUCTO</v>
      </c>
      <c r="O1001" s="2" t="s">
        <v>78</v>
      </c>
    </row>
    <row r="1002" customFormat="false" ht="13.8" hidden="false" customHeight="false" outlineLevel="0" collapsed="false">
      <c r="A1002" s="8" t="n">
        <v>45513</v>
      </c>
      <c r="B1002" s="9" t="n">
        <f aca="false">DAY(A1002)</f>
        <v>9</v>
      </c>
      <c r="C1002" s="9" t="n">
        <f aca="false">MONTH(A1002)</f>
        <v>8</v>
      </c>
      <c r="D1002" s="9" t="n">
        <f aca="false">YEAR(A1002)</f>
        <v>2024</v>
      </c>
      <c r="E1002" s="9" t="n">
        <f aca="false">WEEKDAY(A1002,2)</f>
        <v>5</v>
      </c>
      <c r="F1002" s="10" t="n">
        <f aca="false">WEEKNUM(A1002,2) - WEEKNUM(DATE(YEAR(A1002),MONTH(A1002),1),2) + 1</f>
        <v>2</v>
      </c>
      <c r="G1002" s="10"/>
      <c r="H1002" s="11" t="n">
        <v>160</v>
      </c>
      <c r="I1002" s="12" t="s">
        <v>20</v>
      </c>
      <c r="J1002" s="12" t="s">
        <v>49</v>
      </c>
      <c r="K1002" s="12"/>
      <c r="L1002" s="9" t="n">
        <f aca="false">L1001+H1002</f>
        <v>10625</v>
      </c>
      <c r="M1002" s="10" t="str">
        <f aca="false">VLOOKUP(J1002,RECATALOGANDO!A:C,2,0)</f>
        <v>SERVICIO DE GROOMING</v>
      </c>
      <c r="N1002" s="12" t="str">
        <f aca="false">VLOOKUP(M1002,RECATALOGANDO!B:C,2,0)</f>
        <v>VENTA DE SERVICIO</v>
      </c>
      <c r="O1002" s="2" t="s">
        <v>78</v>
      </c>
    </row>
    <row r="1003" customFormat="false" ht="13.8" hidden="false" customHeight="false" outlineLevel="0" collapsed="false">
      <c r="A1003" s="8" t="n">
        <v>45513</v>
      </c>
      <c r="B1003" s="9" t="n">
        <f aca="false">DAY(A1003)</f>
        <v>9</v>
      </c>
      <c r="C1003" s="9" t="n">
        <f aca="false">MONTH(A1003)</f>
        <v>8</v>
      </c>
      <c r="D1003" s="9" t="n">
        <f aca="false">YEAR(A1003)</f>
        <v>2024</v>
      </c>
      <c r="E1003" s="9" t="n">
        <f aca="false">WEEKDAY(A1003,2)</f>
        <v>5</v>
      </c>
      <c r="F1003" s="10" t="n">
        <f aca="false">WEEKNUM(A1003,2) - WEEKNUM(DATE(YEAR(A1003),MONTH(A1003),1),2) + 1</f>
        <v>2</v>
      </c>
      <c r="G1003" s="10"/>
      <c r="H1003" s="11" t="n">
        <v>160</v>
      </c>
      <c r="I1003" s="12" t="s">
        <v>20</v>
      </c>
      <c r="J1003" s="12" t="s">
        <v>49</v>
      </c>
      <c r="K1003" s="12"/>
      <c r="L1003" s="9" t="n">
        <f aca="false">L1002+H1003</f>
        <v>10785</v>
      </c>
      <c r="M1003" s="10" t="str">
        <f aca="false">VLOOKUP(J1003,RECATALOGANDO!A:C,2,0)</f>
        <v>SERVICIO DE GROOMING</v>
      </c>
      <c r="N1003" s="12" t="str">
        <f aca="false">VLOOKUP(M1003,RECATALOGANDO!B:C,2,0)</f>
        <v>VENTA DE SERVICIO</v>
      </c>
      <c r="O1003" s="2" t="s">
        <v>78</v>
      </c>
    </row>
    <row r="1004" customFormat="false" ht="13.8" hidden="false" customHeight="false" outlineLevel="0" collapsed="false">
      <c r="A1004" s="8" t="n">
        <v>45514</v>
      </c>
      <c r="B1004" s="9" t="n">
        <f aca="false">DAY(A1004)</f>
        <v>10</v>
      </c>
      <c r="C1004" s="9" t="n">
        <f aca="false">MONTH(A1004)</f>
        <v>8</v>
      </c>
      <c r="D1004" s="9" t="n">
        <f aca="false">YEAR(A1004)</f>
        <v>2024</v>
      </c>
      <c r="E1004" s="9" t="n">
        <f aca="false">WEEKDAY(A1004,2)</f>
        <v>6</v>
      </c>
      <c r="F1004" s="10" t="n">
        <f aca="false">WEEKNUM(A1004,2) - WEEKNUM(DATE(YEAR(A1004),MONTH(A1004),1),2) + 1</f>
        <v>2</v>
      </c>
      <c r="G1004" s="10"/>
      <c r="H1004" s="11" t="n">
        <v>2749</v>
      </c>
      <c r="I1004" s="12" t="s">
        <v>15</v>
      </c>
      <c r="J1004" s="12" t="s">
        <v>51</v>
      </c>
      <c r="K1004" s="12"/>
      <c r="L1004" s="9" t="n">
        <f aca="false">L1003+H1004</f>
        <v>13534</v>
      </c>
      <c r="M1004" s="10" t="str">
        <f aca="false">VLOOKUP(J1004,RECATALOGANDO!A:C,2,0)</f>
        <v>VENTA DE ALIMENTO</v>
      </c>
      <c r="N1004" s="12" t="str">
        <f aca="false">VLOOKUP(M1004,RECATALOGANDO!B:C,2,0)</f>
        <v>VENTA DE PRODUCTO</v>
      </c>
      <c r="O1004" s="2" t="s">
        <v>78</v>
      </c>
    </row>
    <row r="1005" customFormat="false" ht="13.8" hidden="false" customHeight="false" outlineLevel="0" collapsed="false">
      <c r="A1005" s="8" t="n">
        <v>45514</v>
      </c>
      <c r="B1005" s="9" t="n">
        <f aca="false">DAY(A1005)</f>
        <v>10</v>
      </c>
      <c r="C1005" s="9" t="n">
        <f aca="false">MONTH(A1005)</f>
        <v>8</v>
      </c>
      <c r="D1005" s="9" t="n">
        <f aca="false">YEAR(A1005)</f>
        <v>2024</v>
      </c>
      <c r="E1005" s="9" t="n">
        <f aca="false">WEEKDAY(A1005,2)</f>
        <v>6</v>
      </c>
      <c r="F1005" s="10" t="n">
        <f aca="false">WEEKNUM(A1005,2) - WEEKNUM(DATE(YEAR(A1005),MONTH(A1005),1),2) + 1</f>
        <v>2</v>
      </c>
      <c r="G1005" s="10"/>
      <c r="H1005" s="11" t="n">
        <v>2749</v>
      </c>
      <c r="I1005" s="12" t="s">
        <v>15</v>
      </c>
      <c r="J1005" s="12" t="s">
        <v>51</v>
      </c>
      <c r="K1005" s="12"/>
      <c r="L1005" s="9" t="n">
        <f aca="false">L1004+H1005</f>
        <v>16283</v>
      </c>
      <c r="M1005" s="10" t="str">
        <f aca="false">VLOOKUP(J1005,RECATALOGANDO!A:C,2,0)</f>
        <v>VENTA DE ALIMENTO</v>
      </c>
      <c r="N1005" s="12" t="str">
        <f aca="false">VLOOKUP(M1005,RECATALOGANDO!B:C,2,0)</f>
        <v>VENTA DE PRODUCTO</v>
      </c>
      <c r="O1005" s="2" t="s">
        <v>78</v>
      </c>
    </row>
    <row r="1006" customFormat="false" ht="13.8" hidden="false" customHeight="false" outlineLevel="0" collapsed="false">
      <c r="A1006" s="8" t="n">
        <v>45514</v>
      </c>
      <c r="B1006" s="9" t="n">
        <f aca="false">DAY(A1006)</f>
        <v>10</v>
      </c>
      <c r="C1006" s="9" t="n">
        <f aca="false">MONTH(A1006)</f>
        <v>8</v>
      </c>
      <c r="D1006" s="9" t="n">
        <f aca="false">YEAR(A1006)</f>
        <v>2024</v>
      </c>
      <c r="E1006" s="9" t="n">
        <f aca="false">WEEKDAY(A1006,2)</f>
        <v>6</v>
      </c>
      <c r="F1006" s="10" t="n">
        <f aca="false">WEEKNUM(A1006,2) - WEEKNUM(DATE(YEAR(A1006),MONTH(A1006),1),2) + 1</f>
        <v>2</v>
      </c>
      <c r="G1006" s="10"/>
      <c r="H1006" s="11" t="n">
        <v>160</v>
      </c>
      <c r="I1006" s="12" t="s">
        <v>15</v>
      </c>
      <c r="J1006" s="12" t="s">
        <v>49</v>
      </c>
      <c r="K1006" s="12"/>
      <c r="L1006" s="9" t="n">
        <f aca="false">L1005+H1006</f>
        <v>16443</v>
      </c>
      <c r="M1006" s="10" t="str">
        <f aca="false">VLOOKUP(J1006,RECATALOGANDO!A:C,2,0)</f>
        <v>SERVICIO DE GROOMING</v>
      </c>
      <c r="N1006" s="12" t="str">
        <f aca="false">VLOOKUP(M1006,RECATALOGANDO!B:C,2,0)</f>
        <v>VENTA DE SERVICIO</v>
      </c>
      <c r="O1006" s="2" t="s">
        <v>78</v>
      </c>
    </row>
    <row r="1007" customFormat="false" ht="13.8" hidden="false" customHeight="false" outlineLevel="0" collapsed="false">
      <c r="A1007" s="8" t="n">
        <v>45514</v>
      </c>
      <c r="B1007" s="9" t="n">
        <f aca="false">DAY(A1007)</f>
        <v>10</v>
      </c>
      <c r="C1007" s="9" t="n">
        <f aca="false">MONTH(A1007)</f>
        <v>8</v>
      </c>
      <c r="D1007" s="9" t="n">
        <f aca="false">YEAR(A1007)</f>
        <v>2024</v>
      </c>
      <c r="E1007" s="9" t="n">
        <f aca="false">WEEKDAY(A1007,2)</f>
        <v>6</v>
      </c>
      <c r="F1007" s="10" t="n">
        <f aca="false">WEEKNUM(A1007,2) - WEEKNUM(DATE(YEAR(A1007),MONTH(A1007),1),2) + 1</f>
        <v>2</v>
      </c>
      <c r="G1007" s="10"/>
      <c r="H1007" s="11" t="n">
        <v>160</v>
      </c>
      <c r="I1007" s="12" t="s">
        <v>15</v>
      </c>
      <c r="J1007" s="12" t="s">
        <v>49</v>
      </c>
      <c r="K1007" s="12"/>
      <c r="L1007" s="9" t="n">
        <f aca="false">L1006+H1007</f>
        <v>16603</v>
      </c>
      <c r="M1007" s="10" t="str">
        <f aca="false">VLOOKUP(J1007,RECATALOGANDO!A:C,2,0)</f>
        <v>SERVICIO DE GROOMING</v>
      </c>
      <c r="N1007" s="12" t="str">
        <f aca="false">VLOOKUP(M1007,RECATALOGANDO!B:C,2,0)</f>
        <v>VENTA DE SERVICIO</v>
      </c>
      <c r="O1007" s="2" t="s">
        <v>78</v>
      </c>
    </row>
    <row r="1008" customFormat="false" ht="13.8" hidden="false" customHeight="false" outlineLevel="0" collapsed="false">
      <c r="A1008" s="8" t="n">
        <v>45514</v>
      </c>
      <c r="B1008" s="9" t="n">
        <f aca="false">DAY(A1008)</f>
        <v>10</v>
      </c>
      <c r="C1008" s="9" t="n">
        <f aca="false">MONTH(A1008)</f>
        <v>8</v>
      </c>
      <c r="D1008" s="9" t="n">
        <f aca="false">YEAR(A1008)</f>
        <v>2024</v>
      </c>
      <c r="E1008" s="9" t="n">
        <f aca="false">WEEKDAY(A1008,2)</f>
        <v>6</v>
      </c>
      <c r="F1008" s="10" t="n">
        <f aca="false">WEEKNUM(A1008,2) - WEEKNUM(DATE(YEAR(A1008),MONTH(A1008),1),2) + 1</f>
        <v>2</v>
      </c>
      <c r="G1008" s="10"/>
      <c r="H1008" s="11" t="n">
        <v>1200</v>
      </c>
      <c r="I1008" s="12" t="s">
        <v>15</v>
      </c>
      <c r="J1008" s="12" t="s">
        <v>44</v>
      </c>
      <c r="K1008" s="12"/>
      <c r="L1008" s="9" t="n">
        <f aca="false">L1007+H1008</f>
        <v>17803</v>
      </c>
      <c r="M1008" s="10" t="str">
        <f aca="false">VLOOKUP(J1008,RECATALOGANDO!A:C,2,0)</f>
        <v>HONORARIOS MEDICOS</v>
      </c>
      <c r="N1008" s="12" t="str">
        <f aca="false">VLOOKUP(M1008,RECATALOGANDO!B:C,2,0)</f>
        <v>VENTA DE SERVICIO</v>
      </c>
      <c r="O1008" s="2" t="s">
        <v>78</v>
      </c>
    </row>
    <row r="1009" customFormat="false" ht="13.8" hidden="false" customHeight="false" outlineLevel="0" collapsed="false">
      <c r="A1009" s="8" t="n">
        <v>45514</v>
      </c>
      <c r="B1009" s="9" t="n">
        <f aca="false">DAY(A1009)</f>
        <v>10</v>
      </c>
      <c r="C1009" s="9" t="n">
        <f aca="false">MONTH(A1009)</f>
        <v>8</v>
      </c>
      <c r="D1009" s="9" t="n">
        <f aca="false">YEAR(A1009)</f>
        <v>2024</v>
      </c>
      <c r="E1009" s="9" t="n">
        <f aca="false">WEEKDAY(A1009,2)</f>
        <v>6</v>
      </c>
      <c r="F1009" s="10" t="n">
        <f aca="false">WEEKNUM(A1009,2) - WEEKNUM(DATE(YEAR(A1009),MONTH(A1009),1),2) + 1</f>
        <v>2</v>
      </c>
      <c r="G1009" s="10"/>
      <c r="H1009" s="11" t="n">
        <v>1200</v>
      </c>
      <c r="I1009" s="12" t="s">
        <v>15</v>
      </c>
      <c r="J1009" s="12" t="s">
        <v>44</v>
      </c>
      <c r="K1009" s="12"/>
      <c r="L1009" s="9" t="n">
        <f aca="false">L1008+H1009</f>
        <v>19003</v>
      </c>
      <c r="M1009" s="10" t="str">
        <f aca="false">VLOOKUP(J1009,RECATALOGANDO!A:C,2,0)</f>
        <v>HONORARIOS MEDICOS</v>
      </c>
      <c r="N1009" s="12" t="str">
        <f aca="false">VLOOKUP(M1009,RECATALOGANDO!B:C,2,0)</f>
        <v>VENTA DE SERVICIO</v>
      </c>
      <c r="O1009" s="2" t="s">
        <v>78</v>
      </c>
    </row>
    <row r="1010" customFormat="false" ht="13.8" hidden="false" customHeight="false" outlineLevel="0" collapsed="false">
      <c r="A1010" s="8" t="n">
        <v>45516</v>
      </c>
      <c r="B1010" s="9" t="n">
        <f aca="false">DAY(A1010)</f>
        <v>12</v>
      </c>
      <c r="C1010" s="9" t="n">
        <f aca="false">MONTH(A1010)</f>
        <v>8</v>
      </c>
      <c r="D1010" s="9" t="n">
        <f aca="false">YEAR(A1010)</f>
        <v>2024</v>
      </c>
      <c r="E1010" s="9" t="n">
        <f aca="false">WEEKDAY(A1010,2)</f>
        <v>1</v>
      </c>
      <c r="F1010" s="10" t="n">
        <f aca="false">WEEKNUM(A1010,2) - WEEKNUM(DATE(YEAR(A1010),MONTH(A1010),1),2) + 1</f>
        <v>3</v>
      </c>
      <c r="G1010" s="10"/>
      <c r="H1010" s="11" t="n">
        <v>160</v>
      </c>
      <c r="I1010" s="12" t="s">
        <v>20</v>
      </c>
      <c r="J1010" s="12" t="s">
        <v>49</v>
      </c>
      <c r="K1010" s="12"/>
      <c r="L1010" s="9" t="n">
        <f aca="false">L1009+H1010</f>
        <v>19163</v>
      </c>
      <c r="M1010" s="10" t="str">
        <f aca="false">VLOOKUP(J1010,RECATALOGANDO!A:C,2,0)</f>
        <v>SERVICIO DE GROOMING</v>
      </c>
      <c r="N1010" s="12" t="str">
        <f aca="false">VLOOKUP(M1010,RECATALOGANDO!B:C,2,0)</f>
        <v>VENTA DE SERVICIO</v>
      </c>
      <c r="O1010" s="2" t="s">
        <v>78</v>
      </c>
    </row>
    <row r="1011" customFormat="false" ht="13.8" hidden="false" customHeight="false" outlineLevel="0" collapsed="false">
      <c r="A1011" s="8" t="n">
        <v>45516</v>
      </c>
      <c r="B1011" s="9" t="n">
        <f aca="false">DAY(A1011)</f>
        <v>12</v>
      </c>
      <c r="C1011" s="9" t="n">
        <f aca="false">MONTH(A1011)</f>
        <v>8</v>
      </c>
      <c r="D1011" s="9" t="n">
        <f aca="false">YEAR(A1011)</f>
        <v>2024</v>
      </c>
      <c r="E1011" s="9" t="n">
        <f aca="false">WEEKDAY(A1011,2)</f>
        <v>1</v>
      </c>
      <c r="F1011" s="10" t="n">
        <f aca="false">WEEKNUM(A1011,2) - WEEKNUM(DATE(YEAR(A1011),MONTH(A1011),1),2) + 1</f>
        <v>3</v>
      </c>
      <c r="G1011" s="10"/>
      <c r="H1011" s="11" t="n">
        <v>160</v>
      </c>
      <c r="I1011" s="12" t="s">
        <v>20</v>
      </c>
      <c r="J1011" s="12" t="s">
        <v>49</v>
      </c>
      <c r="K1011" s="12"/>
      <c r="L1011" s="9" t="n">
        <f aca="false">L1010+H1011</f>
        <v>19323</v>
      </c>
      <c r="M1011" s="10" t="str">
        <f aca="false">VLOOKUP(J1011,RECATALOGANDO!A:C,2,0)</f>
        <v>SERVICIO DE GROOMING</v>
      </c>
      <c r="N1011" s="12" t="str">
        <f aca="false">VLOOKUP(M1011,RECATALOGANDO!B:C,2,0)</f>
        <v>VENTA DE SERVICIO</v>
      </c>
      <c r="O1011" s="2" t="s">
        <v>78</v>
      </c>
    </row>
    <row r="1012" customFormat="false" ht="13.8" hidden="false" customHeight="false" outlineLevel="0" collapsed="false">
      <c r="A1012" s="8" t="n">
        <v>45516</v>
      </c>
      <c r="B1012" s="9" t="n">
        <f aca="false">DAY(A1012)</f>
        <v>12</v>
      </c>
      <c r="C1012" s="9" t="n">
        <f aca="false">MONTH(A1012)</f>
        <v>8</v>
      </c>
      <c r="D1012" s="9" t="n">
        <f aca="false">YEAR(A1012)</f>
        <v>2024</v>
      </c>
      <c r="E1012" s="9" t="n">
        <f aca="false">WEEKDAY(A1012,2)</f>
        <v>1</v>
      </c>
      <c r="F1012" s="10" t="n">
        <f aca="false">WEEKNUM(A1012,2) - WEEKNUM(DATE(YEAR(A1012),MONTH(A1012),1),2) + 1</f>
        <v>3</v>
      </c>
      <c r="G1012" s="10"/>
      <c r="H1012" s="11" t="n">
        <v>350</v>
      </c>
      <c r="I1012" s="12" t="s">
        <v>20</v>
      </c>
      <c r="J1012" s="12" t="s">
        <v>44</v>
      </c>
      <c r="K1012" s="12"/>
      <c r="L1012" s="9" t="n">
        <f aca="false">L1011+H1012</f>
        <v>19673</v>
      </c>
      <c r="M1012" s="10" t="str">
        <f aca="false">VLOOKUP(J1012,RECATALOGANDO!A:C,2,0)</f>
        <v>HONORARIOS MEDICOS</v>
      </c>
      <c r="N1012" s="12" t="str">
        <f aca="false">VLOOKUP(M1012,RECATALOGANDO!B:C,2,0)</f>
        <v>VENTA DE SERVICIO</v>
      </c>
      <c r="O1012" s="2" t="s">
        <v>78</v>
      </c>
    </row>
    <row r="1013" customFormat="false" ht="13.8" hidden="false" customHeight="false" outlineLevel="0" collapsed="false">
      <c r="A1013" s="8" t="n">
        <v>45516</v>
      </c>
      <c r="B1013" s="9" t="n">
        <f aca="false">DAY(A1013)</f>
        <v>12</v>
      </c>
      <c r="C1013" s="9" t="n">
        <f aca="false">MONTH(A1013)</f>
        <v>8</v>
      </c>
      <c r="D1013" s="9" t="n">
        <f aca="false">YEAR(A1013)</f>
        <v>2024</v>
      </c>
      <c r="E1013" s="9" t="n">
        <f aca="false">WEEKDAY(A1013,2)</f>
        <v>1</v>
      </c>
      <c r="F1013" s="10" t="n">
        <f aca="false">WEEKNUM(A1013,2) - WEEKNUM(DATE(YEAR(A1013),MONTH(A1013),1),2) + 1</f>
        <v>3</v>
      </c>
      <c r="G1013" s="10"/>
      <c r="H1013" s="11" t="n">
        <v>350</v>
      </c>
      <c r="I1013" s="12" t="s">
        <v>20</v>
      </c>
      <c r="J1013" s="12" t="s">
        <v>44</v>
      </c>
      <c r="K1013" s="12"/>
      <c r="L1013" s="9" t="n">
        <f aca="false">L1012+H1013</f>
        <v>20023</v>
      </c>
      <c r="M1013" s="10" t="str">
        <f aca="false">VLOOKUP(J1013,RECATALOGANDO!A:C,2,0)</f>
        <v>HONORARIOS MEDICOS</v>
      </c>
      <c r="N1013" s="12" t="str">
        <f aca="false">VLOOKUP(M1013,RECATALOGANDO!B:C,2,0)</f>
        <v>VENTA DE SERVICIO</v>
      </c>
      <c r="O1013" s="2" t="s">
        <v>78</v>
      </c>
    </row>
    <row r="1014" customFormat="false" ht="13.8" hidden="false" customHeight="false" outlineLevel="0" collapsed="false">
      <c r="A1014" s="8" t="n">
        <v>45516</v>
      </c>
      <c r="B1014" s="9" t="n">
        <f aca="false">DAY(A1014)</f>
        <v>12</v>
      </c>
      <c r="C1014" s="9" t="n">
        <f aca="false">MONTH(A1014)</f>
        <v>8</v>
      </c>
      <c r="D1014" s="9" t="n">
        <f aca="false">YEAR(A1014)</f>
        <v>2024</v>
      </c>
      <c r="E1014" s="9" t="n">
        <f aca="false">WEEKDAY(A1014,2)</f>
        <v>1</v>
      </c>
      <c r="F1014" s="10" t="n">
        <f aca="false">WEEKNUM(A1014,2) - WEEKNUM(DATE(YEAR(A1014),MONTH(A1014),1),2) + 1</f>
        <v>3</v>
      </c>
      <c r="G1014" s="10"/>
      <c r="H1014" s="11" t="n">
        <v>900</v>
      </c>
      <c r="I1014" s="12" t="s">
        <v>20</v>
      </c>
      <c r="J1014" s="12" t="s">
        <v>71</v>
      </c>
      <c r="K1014" s="12"/>
      <c r="L1014" s="9" t="n">
        <f aca="false">L1013+H1014</f>
        <v>20923</v>
      </c>
      <c r="M1014" s="10" t="str">
        <f aca="false">VLOOKUP(J1014,RECATALOGANDO!A:C,2,0)</f>
        <v>SERVICIO DE CREMACION</v>
      </c>
      <c r="N1014" s="12" t="str">
        <f aca="false">VLOOKUP(M1014,RECATALOGANDO!B:C,2,0)</f>
        <v>VENTA DE SERVICIO</v>
      </c>
      <c r="O1014" s="2" t="s">
        <v>78</v>
      </c>
    </row>
    <row r="1015" customFormat="false" ht="13.8" hidden="false" customHeight="false" outlineLevel="0" collapsed="false">
      <c r="A1015" s="8" t="n">
        <v>45516</v>
      </c>
      <c r="B1015" s="9" t="n">
        <f aca="false">DAY(A1015)</f>
        <v>12</v>
      </c>
      <c r="C1015" s="9" t="n">
        <f aca="false">MONTH(A1015)</f>
        <v>8</v>
      </c>
      <c r="D1015" s="9" t="n">
        <f aca="false">YEAR(A1015)</f>
        <v>2024</v>
      </c>
      <c r="E1015" s="9" t="n">
        <f aca="false">WEEKDAY(A1015,2)</f>
        <v>1</v>
      </c>
      <c r="F1015" s="10" t="n">
        <f aca="false">WEEKNUM(A1015,2) - WEEKNUM(DATE(YEAR(A1015),MONTH(A1015),1),2) + 1</f>
        <v>3</v>
      </c>
      <c r="G1015" s="10"/>
      <c r="H1015" s="11" t="n">
        <v>900</v>
      </c>
      <c r="I1015" s="12" t="s">
        <v>20</v>
      </c>
      <c r="J1015" s="12" t="s">
        <v>71</v>
      </c>
      <c r="K1015" s="12"/>
      <c r="L1015" s="9" t="n">
        <f aca="false">L1014+H1015</f>
        <v>21823</v>
      </c>
      <c r="M1015" s="10" t="str">
        <f aca="false">VLOOKUP(J1015,RECATALOGANDO!A:C,2,0)</f>
        <v>SERVICIO DE CREMACION</v>
      </c>
      <c r="N1015" s="12" t="str">
        <f aca="false">VLOOKUP(M1015,RECATALOGANDO!B:C,2,0)</f>
        <v>VENTA DE SERVICIO</v>
      </c>
      <c r="O1015" s="2" t="s">
        <v>78</v>
      </c>
    </row>
    <row r="1016" customFormat="false" ht="13.8" hidden="false" customHeight="false" outlineLevel="0" collapsed="false">
      <c r="A1016" s="8" t="n">
        <v>45517</v>
      </c>
      <c r="B1016" s="9" t="n">
        <f aca="false">DAY(A1016)</f>
        <v>13</v>
      </c>
      <c r="C1016" s="9" t="n">
        <f aca="false">MONTH(A1016)</f>
        <v>8</v>
      </c>
      <c r="D1016" s="9" t="n">
        <f aca="false">YEAR(A1016)</f>
        <v>2024</v>
      </c>
      <c r="E1016" s="9" t="n">
        <f aca="false">WEEKDAY(A1016,2)</f>
        <v>2</v>
      </c>
      <c r="F1016" s="10" t="n">
        <f aca="false">WEEKNUM(A1016,2) - WEEKNUM(DATE(YEAR(A1016),MONTH(A1016),1),2) + 1</f>
        <v>3</v>
      </c>
      <c r="G1016" s="10"/>
      <c r="H1016" s="11" t="n">
        <v>250</v>
      </c>
      <c r="I1016" s="12" t="s">
        <v>20</v>
      </c>
      <c r="J1016" s="12" t="s">
        <v>49</v>
      </c>
      <c r="K1016" s="12"/>
      <c r="L1016" s="9" t="n">
        <f aca="false">L1015+H1016</f>
        <v>22073</v>
      </c>
      <c r="M1016" s="10" t="str">
        <f aca="false">VLOOKUP(J1016,RECATALOGANDO!A:C,2,0)</f>
        <v>SERVICIO DE GROOMING</v>
      </c>
      <c r="N1016" s="12" t="str">
        <f aca="false">VLOOKUP(M1016,RECATALOGANDO!B:C,2,0)</f>
        <v>VENTA DE SERVICIO</v>
      </c>
      <c r="O1016" s="2" t="s">
        <v>78</v>
      </c>
    </row>
    <row r="1017" customFormat="false" ht="13.8" hidden="false" customHeight="false" outlineLevel="0" collapsed="false">
      <c r="A1017" s="8" t="n">
        <v>45517</v>
      </c>
      <c r="B1017" s="9" t="n">
        <f aca="false">DAY(A1017)</f>
        <v>13</v>
      </c>
      <c r="C1017" s="9" t="n">
        <f aca="false">MONTH(A1017)</f>
        <v>8</v>
      </c>
      <c r="D1017" s="9" t="n">
        <f aca="false">YEAR(A1017)</f>
        <v>2024</v>
      </c>
      <c r="E1017" s="9" t="n">
        <f aca="false">WEEKDAY(A1017,2)</f>
        <v>2</v>
      </c>
      <c r="F1017" s="10" t="n">
        <f aca="false">WEEKNUM(A1017,2) - WEEKNUM(DATE(YEAR(A1017),MONTH(A1017),1),2) + 1</f>
        <v>3</v>
      </c>
      <c r="G1017" s="10"/>
      <c r="H1017" s="11" t="n">
        <v>250</v>
      </c>
      <c r="I1017" s="12" t="s">
        <v>20</v>
      </c>
      <c r="J1017" s="12" t="s">
        <v>49</v>
      </c>
      <c r="K1017" s="12"/>
      <c r="L1017" s="9" t="n">
        <f aca="false">L1016+H1017</f>
        <v>22323</v>
      </c>
      <c r="M1017" s="10" t="str">
        <f aca="false">VLOOKUP(J1017,RECATALOGANDO!A:C,2,0)</f>
        <v>SERVICIO DE GROOMING</v>
      </c>
      <c r="N1017" s="12" t="str">
        <f aca="false">VLOOKUP(M1017,RECATALOGANDO!B:C,2,0)</f>
        <v>VENTA DE SERVICIO</v>
      </c>
      <c r="O1017" s="2" t="s">
        <v>78</v>
      </c>
    </row>
    <row r="1018" customFormat="false" ht="13.8" hidden="false" customHeight="false" outlineLevel="0" collapsed="false">
      <c r="A1018" s="8" t="n">
        <v>45519</v>
      </c>
      <c r="B1018" s="9" t="n">
        <f aca="false">DAY(A1018)</f>
        <v>15</v>
      </c>
      <c r="C1018" s="9" t="n">
        <f aca="false">MONTH(A1018)</f>
        <v>8</v>
      </c>
      <c r="D1018" s="9" t="n">
        <f aca="false">YEAR(A1018)</f>
        <v>2024</v>
      </c>
      <c r="E1018" s="9" t="n">
        <f aca="false">WEEKDAY(A1018,2)</f>
        <v>4</v>
      </c>
      <c r="F1018" s="10" t="n">
        <f aca="false">WEEKNUM(A1018,2) - WEEKNUM(DATE(YEAR(A1018),MONTH(A1018),1),2) + 1</f>
        <v>3</v>
      </c>
      <c r="G1018" s="10" t="n">
        <v>1</v>
      </c>
      <c r="H1018" s="11" t="n">
        <v>729.22</v>
      </c>
      <c r="I1018" s="12" t="s">
        <v>15</v>
      </c>
      <c r="J1018" s="12" t="s">
        <v>51</v>
      </c>
      <c r="K1018" s="12"/>
      <c r="L1018" s="9" t="n">
        <f aca="false">L1017+H1018</f>
        <v>23052.22</v>
      </c>
      <c r="M1018" s="10" t="str">
        <f aca="false">VLOOKUP(J1018,RECATALOGANDO!A:C,2,0)</f>
        <v>VENTA DE ALIMENTO</v>
      </c>
      <c r="N1018" s="12" t="str">
        <f aca="false">VLOOKUP(M1018,RECATALOGANDO!B:C,2,0)</f>
        <v>VENTA DE PRODUCTO</v>
      </c>
      <c r="O1018" s="2" t="s">
        <v>78</v>
      </c>
    </row>
    <row r="1019" customFormat="false" ht="13.8" hidden="false" customHeight="false" outlineLevel="0" collapsed="false">
      <c r="A1019" s="8" t="n">
        <v>45519</v>
      </c>
      <c r="B1019" s="9" t="n">
        <f aca="false">DAY(A1019)</f>
        <v>15</v>
      </c>
      <c r="C1019" s="9" t="n">
        <f aca="false">MONTH(A1019)</f>
        <v>8</v>
      </c>
      <c r="D1019" s="9" t="n">
        <f aca="false">YEAR(A1019)</f>
        <v>2024</v>
      </c>
      <c r="E1019" s="9" t="n">
        <f aca="false">WEEKDAY(A1019,2)</f>
        <v>4</v>
      </c>
      <c r="F1019" s="10" t="n">
        <f aca="false">WEEKNUM(A1019,2) - WEEKNUM(DATE(YEAR(A1019),MONTH(A1019),1),2) + 1</f>
        <v>3</v>
      </c>
      <c r="G1019" s="10" t="n">
        <v>1</v>
      </c>
      <c r="H1019" s="11" t="n">
        <v>3340</v>
      </c>
      <c r="I1019" s="12" t="s">
        <v>20</v>
      </c>
      <c r="J1019" s="12" t="s">
        <v>45</v>
      </c>
      <c r="K1019" s="12"/>
      <c r="L1019" s="9" t="n">
        <f aca="false">L1018+H1019</f>
        <v>26392.22</v>
      </c>
      <c r="M1019" s="10" t="str">
        <f aca="false">VLOOKUP(J1019,RECATALOGANDO!A:C,2,0)</f>
        <v>VENTA DE MEDICAMENTO</v>
      </c>
      <c r="N1019" s="12" t="str">
        <f aca="false">VLOOKUP(M1019,RECATALOGANDO!B:C,2,0)</f>
        <v>VENTA DE PRODUCTO</v>
      </c>
      <c r="O1019" s="2" t="s">
        <v>78</v>
      </c>
    </row>
    <row r="1020" customFormat="false" ht="13.8" hidden="false" customHeight="false" outlineLevel="0" collapsed="false">
      <c r="A1020" s="8" t="n">
        <v>45520</v>
      </c>
      <c r="B1020" s="9" t="n">
        <f aca="false">DAY(A1020)</f>
        <v>16</v>
      </c>
      <c r="C1020" s="9" t="n">
        <f aca="false">MONTH(A1020)</f>
        <v>8</v>
      </c>
      <c r="D1020" s="9" t="n">
        <f aca="false">YEAR(A1020)</f>
        <v>2024</v>
      </c>
      <c r="E1020" s="9" t="n">
        <f aca="false">WEEKDAY(A1020,2)</f>
        <v>5</v>
      </c>
      <c r="F1020" s="10" t="n">
        <f aca="false">WEEKNUM(A1020,2) - WEEKNUM(DATE(YEAR(A1020),MONTH(A1020),1),2) + 1</f>
        <v>3</v>
      </c>
      <c r="G1020" s="10"/>
      <c r="H1020" s="11" t="n">
        <v>200</v>
      </c>
      <c r="I1020" s="12" t="s">
        <v>20</v>
      </c>
      <c r="J1020" s="12" t="s">
        <v>49</v>
      </c>
      <c r="K1020" s="12"/>
      <c r="L1020" s="9" t="n">
        <f aca="false">L1019+H1020</f>
        <v>26592.22</v>
      </c>
      <c r="M1020" s="10" t="str">
        <f aca="false">VLOOKUP(J1020,RECATALOGANDO!A:C,2,0)</f>
        <v>SERVICIO DE GROOMING</v>
      </c>
      <c r="N1020" s="12" t="str">
        <f aca="false">VLOOKUP(M1020,RECATALOGANDO!B:C,2,0)</f>
        <v>VENTA DE SERVICIO</v>
      </c>
      <c r="O1020" s="2" t="s">
        <v>78</v>
      </c>
    </row>
    <row r="1021" customFormat="false" ht="13.8" hidden="false" customHeight="false" outlineLevel="0" collapsed="false">
      <c r="A1021" s="8" t="n">
        <v>45520</v>
      </c>
      <c r="B1021" s="9" t="n">
        <f aca="false">DAY(A1021)</f>
        <v>16</v>
      </c>
      <c r="C1021" s="9" t="n">
        <f aca="false">MONTH(A1021)</f>
        <v>8</v>
      </c>
      <c r="D1021" s="9" t="n">
        <f aca="false">YEAR(A1021)</f>
        <v>2024</v>
      </c>
      <c r="E1021" s="9" t="n">
        <f aca="false">WEEKDAY(A1021,2)</f>
        <v>5</v>
      </c>
      <c r="F1021" s="10" t="n">
        <f aca="false">WEEKNUM(A1021,2) - WEEKNUM(DATE(YEAR(A1021),MONTH(A1021),1),2) + 1</f>
        <v>3</v>
      </c>
      <c r="G1021" s="10"/>
      <c r="H1021" s="11" t="n">
        <v>2695</v>
      </c>
      <c r="I1021" s="12" t="s">
        <v>15</v>
      </c>
      <c r="J1021" s="12" t="s">
        <v>44</v>
      </c>
      <c r="K1021" s="12"/>
      <c r="L1021" s="9" t="n">
        <f aca="false">L1020+H1021</f>
        <v>29287.22</v>
      </c>
      <c r="M1021" s="10" t="str">
        <f aca="false">VLOOKUP(J1021,RECATALOGANDO!A:C,2,0)</f>
        <v>HONORARIOS MEDICOS</v>
      </c>
      <c r="N1021" s="12" t="str">
        <f aca="false">VLOOKUP(M1021,RECATALOGANDO!B:C,2,0)</f>
        <v>VENTA DE SERVICIO</v>
      </c>
      <c r="O1021" s="2" t="s">
        <v>78</v>
      </c>
    </row>
    <row r="1022" customFormat="false" ht="13.8" hidden="false" customHeight="false" outlineLevel="0" collapsed="false">
      <c r="A1022" s="8" t="n">
        <v>45520</v>
      </c>
      <c r="B1022" s="9" t="n">
        <f aca="false">DAY(A1022)</f>
        <v>16</v>
      </c>
      <c r="C1022" s="9" t="n">
        <f aca="false">MONTH(A1022)</f>
        <v>8</v>
      </c>
      <c r="D1022" s="9" t="n">
        <f aca="false">YEAR(A1022)</f>
        <v>2024</v>
      </c>
      <c r="E1022" s="9" t="n">
        <f aca="false">WEEKDAY(A1022,2)</f>
        <v>5</v>
      </c>
      <c r="F1022" s="10" t="n">
        <f aca="false">WEEKNUM(A1022,2) - WEEKNUM(DATE(YEAR(A1022),MONTH(A1022),1),2) + 1</f>
        <v>3</v>
      </c>
      <c r="G1022" s="10"/>
      <c r="H1022" s="11" t="n">
        <v>2695</v>
      </c>
      <c r="I1022" s="12" t="s">
        <v>15</v>
      </c>
      <c r="J1022" s="12" t="s">
        <v>44</v>
      </c>
      <c r="K1022" s="12"/>
      <c r="L1022" s="9" t="n">
        <f aca="false">L1021+H1022</f>
        <v>31982.22</v>
      </c>
      <c r="M1022" s="10" t="str">
        <f aca="false">VLOOKUP(J1022,RECATALOGANDO!A:C,2,0)</f>
        <v>HONORARIOS MEDICOS</v>
      </c>
      <c r="N1022" s="12" t="str">
        <f aca="false">VLOOKUP(M1022,RECATALOGANDO!B:C,2,0)</f>
        <v>VENTA DE SERVICIO</v>
      </c>
      <c r="O1022" s="2" t="s">
        <v>78</v>
      </c>
    </row>
    <row r="1023" customFormat="false" ht="13.8" hidden="false" customHeight="false" outlineLevel="0" collapsed="false">
      <c r="A1023" s="8" t="n">
        <v>45522</v>
      </c>
      <c r="B1023" s="9" t="n">
        <f aca="false">DAY(A1023)</f>
        <v>18</v>
      </c>
      <c r="C1023" s="9" t="n">
        <f aca="false">MONTH(A1023)</f>
        <v>8</v>
      </c>
      <c r="D1023" s="9" t="n">
        <f aca="false">YEAR(A1023)</f>
        <v>2024</v>
      </c>
      <c r="E1023" s="9" t="n">
        <f aca="false">WEEKDAY(A1023,2)</f>
        <v>7</v>
      </c>
      <c r="F1023" s="10" t="n">
        <f aca="false">WEEKNUM(A1023,2) - WEEKNUM(DATE(YEAR(A1023),MONTH(A1023),1),2) + 1</f>
        <v>3</v>
      </c>
      <c r="G1023" s="10"/>
      <c r="H1023" s="11" t="n">
        <v>1856.11</v>
      </c>
      <c r="I1023" s="12" t="s">
        <v>15</v>
      </c>
      <c r="J1023" s="12" t="s">
        <v>45</v>
      </c>
      <c r="K1023" s="12"/>
      <c r="L1023" s="9" t="n">
        <f aca="false">L1022+H1023</f>
        <v>33838.33</v>
      </c>
      <c r="M1023" s="10" t="str">
        <f aca="false">VLOOKUP(J1023,RECATALOGANDO!A:C,2,0)</f>
        <v>VENTA DE MEDICAMENTO</v>
      </c>
      <c r="N1023" s="12" t="str">
        <f aca="false">VLOOKUP(M1023,RECATALOGANDO!B:C,2,0)</f>
        <v>VENTA DE PRODUCTO</v>
      </c>
      <c r="O1023" s="2" t="s">
        <v>78</v>
      </c>
    </row>
    <row r="1024" customFormat="false" ht="13.8" hidden="false" customHeight="false" outlineLevel="0" collapsed="false">
      <c r="A1024" s="8" t="n">
        <v>45523</v>
      </c>
      <c r="B1024" s="9" t="n">
        <f aca="false">DAY(A1024)</f>
        <v>19</v>
      </c>
      <c r="C1024" s="9" t="n">
        <f aca="false">MONTH(A1024)</f>
        <v>8</v>
      </c>
      <c r="D1024" s="9" t="n">
        <f aca="false">YEAR(A1024)</f>
        <v>2024</v>
      </c>
      <c r="E1024" s="9" t="n">
        <f aca="false">WEEKDAY(A1024,2)</f>
        <v>1</v>
      </c>
      <c r="F1024" s="10" t="n">
        <f aca="false">WEEKNUM(A1024,2) - WEEKNUM(DATE(YEAR(A1024),MONTH(A1024),1),2) + 1</f>
        <v>4</v>
      </c>
      <c r="G1024" s="10"/>
      <c r="H1024" s="11" t="n">
        <v>1950</v>
      </c>
      <c r="I1024" s="12" t="s">
        <v>20</v>
      </c>
      <c r="J1024" s="12" t="s">
        <v>54</v>
      </c>
      <c r="K1024" s="12"/>
      <c r="L1024" s="9" t="n">
        <f aca="false">L1023+H1024</f>
        <v>35788.33</v>
      </c>
      <c r="M1024" s="10" t="str">
        <f aca="false">VLOOKUP(J1024,RECATALOGANDO!A:C,2,0)</f>
        <v>SERVICIO DE LABORATORIO</v>
      </c>
      <c r="N1024" s="12" t="str">
        <f aca="false">VLOOKUP(M1024,RECATALOGANDO!B:C,2,0)</f>
        <v>VENTA DE SERVICIO</v>
      </c>
      <c r="O1024" s="2" t="s">
        <v>78</v>
      </c>
    </row>
    <row r="1025" customFormat="false" ht="13.8" hidden="false" customHeight="false" outlineLevel="0" collapsed="false">
      <c r="A1025" s="8" t="n">
        <v>45523</v>
      </c>
      <c r="B1025" s="9" t="n">
        <f aca="false">DAY(A1025)</f>
        <v>19</v>
      </c>
      <c r="C1025" s="9" t="n">
        <f aca="false">MONTH(A1025)</f>
        <v>8</v>
      </c>
      <c r="D1025" s="9" t="n">
        <f aca="false">YEAR(A1025)</f>
        <v>2024</v>
      </c>
      <c r="E1025" s="9" t="n">
        <f aca="false">WEEKDAY(A1025,2)</f>
        <v>1</v>
      </c>
      <c r="F1025" s="10" t="n">
        <f aca="false">WEEKNUM(A1025,2) - WEEKNUM(DATE(YEAR(A1025),MONTH(A1025),1),2) + 1</f>
        <v>4</v>
      </c>
      <c r="G1025" s="10"/>
      <c r="H1025" s="11" t="n">
        <v>2800</v>
      </c>
      <c r="I1025" s="12" t="s">
        <v>20</v>
      </c>
      <c r="J1025" s="12" t="s">
        <v>54</v>
      </c>
      <c r="K1025" s="12"/>
      <c r="L1025" s="9" t="n">
        <f aca="false">L1024+H1025</f>
        <v>38588.33</v>
      </c>
      <c r="M1025" s="10" t="str">
        <f aca="false">VLOOKUP(J1025,RECATALOGANDO!A:C,2,0)</f>
        <v>SERVICIO DE LABORATORIO</v>
      </c>
      <c r="N1025" s="12" t="str">
        <f aca="false">VLOOKUP(M1025,RECATALOGANDO!B:C,2,0)</f>
        <v>VENTA DE SERVICIO</v>
      </c>
      <c r="O1025" s="2" t="s">
        <v>78</v>
      </c>
    </row>
    <row r="1026" customFormat="false" ht="13.8" hidden="false" customHeight="false" outlineLevel="0" collapsed="false">
      <c r="A1026" s="8" t="n">
        <v>45524</v>
      </c>
      <c r="B1026" s="9" t="n">
        <f aca="false">DAY(A1026)</f>
        <v>20</v>
      </c>
      <c r="C1026" s="9" t="n">
        <f aca="false">MONTH(A1026)</f>
        <v>8</v>
      </c>
      <c r="D1026" s="9" t="n">
        <f aca="false">YEAR(A1026)</f>
        <v>2024</v>
      </c>
      <c r="E1026" s="9" t="n">
        <f aca="false">WEEKDAY(A1026,2)</f>
        <v>2</v>
      </c>
      <c r="F1026" s="10" t="n">
        <f aca="false">WEEKNUM(A1026,2) - WEEKNUM(DATE(YEAR(A1026),MONTH(A1026),1),2) + 1</f>
        <v>4</v>
      </c>
      <c r="G1026" s="10"/>
      <c r="H1026" s="11" t="n">
        <v>250</v>
      </c>
      <c r="I1026" s="12" t="s">
        <v>20</v>
      </c>
      <c r="J1026" s="12" t="s">
        <v>49</v>
      </c>
      <c r="K1026" s="12"/>
      <c r="L1026" s="9" t="n">
        <f aca="false">L1025+H1026</f>
        <v>38838.33</v>
      </c>
      <c r="M1026" s="10" t="str">
        <f aca="false">VLOOKUP(J1026,RECATALOGANDO!A:C,2,0)</f>
        <v>SERVICIO DE GROOMING</v>
      </c>
      <c r="N1026" s="12" t="str">
        <f aca="false">VLOOKUP(M1026,RECATALOGANDO!B:C,2,0)</f>
        <v>VENTA DE SERVICIO</v>
      </c>
      <c r="O1026" s="2" t="s">
        <v>78</v>
      </c>
    </row>
    <row r="1027" customFormat="false" ht="13.8" hidden="false" customHeight="false" outlineLevel="0" collapsed="false">
      <c r="A1027" s="8" t="n">
        <v>45524</v>
      </c>
      <c r="B1027" s="9" t="n">
        <f aca="false">DAY(A1027)</f>
        <v>20</v>
      </c>
      <c r="C1027" s="9" t="n">
        <f aca="false">MONTH(A1027)</f>
        <v>8</v>
      </c>
      <c r="D1027" s="9" t="n">
        <f aca="false">YEAR(A1027)</f>
        <v>2024</v>
      </c>
      <c r="E1027" s="9" t="n">
        <f aca="false">WEEKDAY(A1027,2)</f>
        <v>2</v>
      </c>
      <c r="F1027" s="10" t="n">
        <f aca="false">WEEKNUM(A1027,2) - WEEKNUM(DATE(YEAR(A1027),MONTH(A1027),1),2) + 1</f>
        <v>4</v>
      </c>
      <c r="G1027" s="10"/>
      <c r="H1027" s="11" t="n">
        <v>1043.51</v>
      </c>
      <c r="I1027" s="12" t="s">
        <v>15</v>
      </c>
      <c r="J1027" s="12" t="s">
        <v>72</v>
      </c>
      <c r="K1027" s="12"/>
      <c r="L1027" s="9" t="n">
        <f aca="false">L1026+H1027</f>
        <v>39881.84</v>
      </c>
      <c r="M1027" s="10" t="str">
        <f aca="false">VLOOKUP(J1027,RECATALOGANDO!A:C,2,0)</f>
        <v>SERVICIO DE LABORATORIO</v>
      </c>
      <c r="N1027" s="12" t="str">
        <f aca="false">VLOOKUP(M1027,RECATALOGANDO!B:C,2,0)</f>
        <v>VENTA DE SERVICIO</v>
      </c>
      <c r="O1027" s="2" t="s">
        <v>78</v>
      </c>
    </row>
    <row r="1028" customFormat="false" ht="13.8" hidden="false" customHeight="false" outlineLevel="0" collapsed="false">
      <c r="A1028" s="8" t="n">
        <v>45525</v>
      </c>
      <c r="B1028" s="9" t="n">
        <f aca="false">DAY(A1028)</f>
        <v>21</v>
      </c>
      <c r="C1028" s="9" t="n">
        <f aca="false">MONTH(A1028)</f>
        <v>8</v>
      </c>
      <c r="D1028" s="9" t="n">
        <f aca="false">YEAR(A1028)</f>
        <v>2024</v>
      </c>
      <c r="E1028" s="9" t="n">
        <f aca="false">WEEKDAY(A1028,2)</f>
        <v>3</v>
      </c>
      <c r="F1028" s="10" t="n">
        <f aca="false">WEEKNUM(A1028,2) - WEEKNUM(DATE(YEAR(A1028),MONTH(A1028),1),2) + 1</f>
        <v>4</v>
      </c>
      <c r="G1028" s="10"/>
      <c r="H1028" s="11" t="n">
        <v>280</v>
      </c>
      <c r="I1028" s="12" t="s">
        <v>15</v>
      </c>
      <c r="J1028" s="12" t="s">
        <v>49</v>
      </c>
      <c r="K1028" s="12"/>
      <c r="L1028" s="9" t="n">
        <f aca="false">L1027+H1028</f>
        <v>40161.84</v>
      </c>
      <c r="M1028" s="10" t="str">
        <f aca="false">VLOOKUP(J1028,RECATALOGANDO!A:C,2,0)</f>
        <v>SERVICIO DE GROOMING</v>
      </c>
      <c r="N1028" s="12" t="str">
        <f aca="false">VLOOKUP(M1028,RECATALOGANDO!B:C,2,0)</f>
        <v>VENTA DE SERVICIO</v>
      </c>
      <c r="O1028" s="2" t="s">
        <v>78</v>
      </c>
    </row>
    <row r="1029" customFormat="false" ht="13.8" hidden="false" customHeight="false" outlineLevel="0" collapsed="false">
      <c r="A1029" s="8" t="n">
        <v>45525</v>
      </c>
      <c r="B1029" s="9" t="n">
        <f aca="false">DAY(A1029)</f>
        <v>21</v>
      </c>
      <c r="C1029" s="9" t="n">
        <f aca="false">MONTH(A1029)</f>
        <v>8</v>
      </c>
      <c r="D1029" s="9" t="n">
        <f aca="false">YEAR(A1029)</f>
        <v>2024</v>
      </c>
      <c r="E1029" s="9" t="n">
        <f aca="false">WEEKDAY(A1029,2)</f>
        <v>3</v>
      </c>
      <c r="F1029" s="10" t="n">
        <f aca="false">WEEKNUM(A1029,2) - WEEKNUM(DATE(YEAR(A1029),MONTH(A1029),1),2) + 1</f>
        <v>4</v>
      </c>
      <c r="G1029" s="10"/>
      <c r="H1029" s="11" t="n">
        <v>280</v>
      </c>
      <c r="I1029" s="12" t="s">
        <v>15</v>
      </c>
      <c r="J1029" s="12" t="s">
        <v>49</v>
      </c>
      <c r="K1029" s="12"/>
      <c r="L1029" s="9" t="n">
        <f aca="false">L1028+H1029</f>
        <v>40441.84</v>
      </c>
      <c r="M1029" s="10" t="str">
        <f aca="false">VLOOKUP(J1029,RECATALOGANDO!A:C,2,0)</f>
        <v>SERVICIO DE GROOMING</v>
      </c>
      <c r="N1029" s="12" t="str">
        <f aca="false">VLOOKUP(M1029,RECATALOGANDO!B:C,2,0)</f>
        <v>VENTA DE SERVICIO</v>
      </c>
      <c r="O1029" s="2" t="s">
        <v>78</v>
      </c>
    </row>
    <row r="1030" customFormat="false" ht="13.8" hidden="false" customHeight="false" outlineLevel="0" collapsed="false">
      <c r="A1030" s="8" t="n">
        <v>45526</v>
      </c>
      <c r="B1030" s="9" t="n">
        <f aca="false">DAY(A1030)</f>
        <v>22</v>
      </c>
      <c r="C1030" s="9" t="n">
        <f aca="false">MONTH(A1030)</f>
        <v>8</v>
      </c>
      <c r="D1030" s="9" t="n">
        <f aca="false">YEAR(A1030)</f>
        <v>2024</v>
      </c>
      <c r="E1030" s="9" t="n">
        <f aca="false">WEEKDAY(A1030,2)</f>
        <v>4</v>
      </c>
      <c r="F1030" s="10" t="n">
        <f aca="false">WEEKNUM(A1030,2) - WEEKNUM(DATE(YEAR(A1030),MONTH(A1030),1),2) + 1</f>
        <v>4</v>
      </c>
      <c r="G1030" s="10"/>
      <c r="H1030" s="11" t="n">
        <v>1800</v>
      </c>
      <c r="I1030" s="12" t="s">
        <v>20</v>
      </c>
      <c r="J1030" s="12" t="s">
        <v>44</v>
      </c>
      <c r="K1030" s="12"/>
      <c r="L1030" s="9" t="n">
        <f aca="false">L1029+H1030</f>
        <v>42241.84</v>
      </c>
      <c r="M1030" s="10" t="str">
        <f aca="false">VLOOKUP(J1030,RECATALOGANDO!A:C,2,0)</f>
        <v>HONORARIOS MEDICOS</v>
      </c>
      <c r="N1030" s="12" t="str">
        <f aca="false">VLOOKUP(M1030,RECATALOGANDO!B:C,2,0)</f>
        <v>VENTA DE SERVICIO</v>
      </c>
      <c r="O1030" s="2" t="s">
        <v>78</v>
      </c>
    </row>
    <row r="1031" customFormat="false" ht="13.8" hidden="false" customHeight="false" outlineLevel="0" collapsed="false">
      <c r="A1031" s="8" t="n">
        <v>45527</v>
      </c>
      <c r="B1031" s="9" t="n">
        <f aca="false">DAY(A1031)</f>
        <v>23</v>
      </c>
      <c r="C1031" s="9" t="n">
        <f aca="false">MONTH(A1031)</f>
        <v>8</v>
      </c>
      <c r="D1031" s="9" t="n">
        <f aca="false">YEAR(A1031)</f>
        <v>2024</v>
      </c>
      <c r="E1031" s="9" t="n">
        <f aca="false">WEEKDAY(A1031,2)</f>
        <v>5</v>
      </c>
      <c r="F1031" s="10" t="n">
        <f aca="false">WEEKNUM(A1031,2) - WEEKNUM(DATE(YEAR(A1031),MONTH(A1031),1),2) + 1</f>
        <v>4</v>
      </c>
      <c r="G1031" s="10"/>
      <c r="H1031" s="11" t="n">
        <v>4400</v>
      </c>
      <c r="I1031" s="12" t="s">
        <v>20</v>
      </c>
      <c r="J1031" s="12" t="s">
        <v>44</v>
      </c>
      <c r="K1031" s="12"/>
      <c r="L1031" s="9" t="n">
        <f aca="false">L1030+H1031</f>
        <v>46641.84</v>
      </c>
      <c r="M1031" s="10" t="str">
        <f aca="false">VLOOKUP(J1031,RECATALOGANDO!A:C,2,0)</f>
        <v>HONORARIOS MEDICOS</v>
      </c>
      <c r="N1031" s="12" t="str">
        <f aca="false">VLOOKUP(M1031,RECATALOGANDO!B:C,2,0)</f>
        <v>VENTA DE SERVICIO</v>
      </c>
      <c r="O1031" s="2" t="s">
        <v>78</v>
      </c>
    </row>
    <row r="1032" customFormat="false" ht="13.8" hidden="false" customHeight="false" outlineLevel="0" collapsed="false">
      <c r="A1032" s="8" t="n">
        <v>45529</v>
      </c>
      <c r="B1032" s="9" t="n">
        <f aca="false">DAY(A1032)</f>
        <v>25</v>
      </c>
      <c r="C1032" s="9" t="n">
        <f aca="false">MONTH(A1032)</f>
        <v>8</v>
      </c>
      <c r="D1032" s="9" t="n">
        <f aca="false">YEAR(A1032)</f>
        <v>2024</v>
      </c>
      <c r="E1032" s="9" t="n">
        <f aca="false">WEEKDAY(A1032,2)</f>
        <v>7</v>
      </c>
      <c r="F1032" s="10" t="n">
        <f aca="false">WEEKNUM(A1032,2) - WEEKNUM(DATE(YEAR(A1032),MONTH(A1032),1),2) + 1</f>
        <v>4</v>
      </c>
      <c r="G1032" s="10"/>
      <c r="H1032" s="11" t="n">
        <v>575.67</v>
      </c>
      <c r="I1032" s="12" t="s">
        <v>15</v>
      </c>
      <c r="J1032" s="12" t="s">
        <v>45</v>
      </c>
      <c r="K1032" s="12"/>
      <c r="L1032" s="9" t="n">
        <f aca="false">L1031+H1032</f>
        <v>47217.51</v>
      </c>
      <c r="M1032" s="10" t="str">
        <f aca="false">VLOOKUP(J1032,RECATALOGANDO!A:C,2,0)</f>
        <v>VENTA DE MEDICAMENTO</v>
      </c>
      <c r="N1032" s="12" t="str">
        <f aca="false">VLOOKUP(M1032,RECATALOGANDO!B:C,2,0)</f>
        <v>VENTA DE PRODUCTO</v>
      </c>
      <c r="O1032" s="2" t="s">
        <v>78</v>
      </c>
    </row>
    <row r="1033" customFormat="false" ht="13.8" hidden="false" customHeight="false" outlineLevel="0" collapsed="false">
      <c r="A1033" s="8" t="n">
        <v>45530</v>
      </c>
      <c r="B1033" s="9" t="n">
        <f aca="false">DAY(A1033)</f>
        <v>26</v>
      </c>
      <c r="C1033" s="9" t="n">
        <f aca="false">MONTH(A1033)</f>
        <v>8</v>
      </c>
      <c r="D1033" s="9" t="n">
        <f aca="false">YEAR(A1033)</f>
        <v>2024</v>
      </c>
      <c r="E1033" s="9" t="n">
        <f aca="false">WEEKDAY(A1033,2)</f>
        <v>1</v>
      </c>
      <c r="F1033" s="10" t="n">
        <f aca="false">WEEKNUM(A1033,2) - WEEKNUM(DATE(YEAR(A1033),MONTH(A1033),1),2) + 1</f>
        <v>5</v>
      </c>
      <c r="G1033" s="10"/>
      <c r="H1033" s="11" t="n">
        <v>432</v>
      </c>
      <c r="I1033" s="12" t="s">
        <v>20</v>
      </c>
      <c r="J1033" s="12" t="s">
        <v>45</v>
      </c>
      <c r="K1033" s="12"/>
      <c r="L1033" s="9" t="n">
        <f aca="false">L1032+H1033</f>
        <v>47649.51</v>
      </c>
      <c r="M1033" s="10" t="str">
        <f aca="false">VLOOKUP(J1033,RECATALOGANDO!A:C,2,0)</f>
        <v>VENTA DE MEDICAMENTO</v>
      </c>
      <c r="N1033" s="12" t="str">
        <f aca="false">VLOOKUP(M1033,RECATALOGANDO!B:C,2,0)</f>
        <v>VENTA DE PRODUCTO</v>
      </c>
      <c r="O1033" s="2" t="s">
        <v>78</v>
      </c>
    </row>
    <row r="1034" customFormat="false" ht="13.8" hidden="false" customHeight="false" outlineLevel="0" collapsed="false">
      <c r="A1034" s="8" t="n">
        <v>45530</v>
      </c>
      <c r="B1034" s="9" t="n">
        <f aca="false">DAY(A1034)</f>
        <v>26</v>
      </c>
      <c r="C1034" s="9" t="n">
        <f aca="false">MONTH(A1034)</f>
        <v>8</v>
      </c>
      <c r="D1034" s="9" t="n">
        <f aca="false">YEAR(A1034)</f>
        <v>2024</v>
      </c>
      <c r="E1034" s="9" t="n">
        <f aca="false">WEEKDAY(A1034,2)</f>
        <v>1</v>
      </c>
      <c r="F1034" s="10" t="n">
        <f aca="false">WEEKNUM(A1034,2) - WEEKNUM(DATE(YEAR(A1034),MONTH(A1034),1),2) + 1</f>
        <v>5</v>
      </c>
      <c r="G1034" s="10"/>
      <c r="H1034" s="11" t="n">
        <v>1000</v>
      </c>
      <c r="I1034" s="12" t="s">
        <v>20</v>
      </c>
      <c r="J1034" s="12" t="s">
        <v>51</v>
      </c>
      <c r="K1034" s="12"/>
      <c r="L1034" s="9" t="n">
        <f aca="false">L1033+H1034</f>
        <v>48649.51</v>
      </c>
      <c r="M1034" s="10" t="str">
        <f aca="false">VLOOKUP(J1034,RECATALOGANDO!A:C,2,0)</f>
        <v>VENTA DE ALIMENTO</v>
      </c>
      <c r="N1034" s="12" t="str">
        <f aca="false">VLOOKUP(M1034,RECATALOGANDO!B:C,2,0)</f>
        <v>VENTA DE PRODUCTO</v>
      </c>
      <c r="O1034" s="2" t="s">
        <v>78</v>
      </c>
    </row>
    <row r="1035" customFormat="false" ht="13.8" hidden="false" customHeight="false" outlineLevel="0" collapsed="false">
      <c r="A1035" s="8" t="n">
        <v>45530</v>
      </c>
      <c r="B1035" s="9" t="n">
        <f aca="false">DAY(A1035)</f>
        <v>26</v>
      </c>
      <c r="C1035" s="9" t="n">
        <f aca="false">MONTH(A1035)</f>
        <v>8</v>
      </c>
      <c r="D1035" s="9" t="n">
        <f aca="false">YEAR(A1035)</f>
        <v>2024</v>
      </c>
      <c r="E1035" s="9" t="n">
        <f aca="false">WEEKDAY(A1035,2)</f>
        <v>1</v>
      </c>
      <c r="F1035" s="10" t="n">
        <f aca="false">WEEKNUM(A1035,2) - WEEKNUM(DATE(YEAR(A1035),MONTH(A1035),1),2) + 1</f>
        <v>5</v>
      </c>
      <c r="G1035" s="10"/>
      <c r="H1035" s="11" t="n">
        <v>2289</v>
      </c>
      <c r="I1035" s="12" t="s">
        <v>20</v>
      </c>
      <c r="J1035" s="12" t="s">
        <v>51</v>
      </c>
      <c r="K1035" s="12"/>
      <c r="L1035" s="9" t="n">
        <f aca="false">L1034+H1035</f>
        <v>50938.51</v>
      </c>
      <c r="M1035" s="10" t="str">
        <f aca="false">VLOOKUP(J1035,RECATALOGANDO!A:C,2,0)</f>
        <v>VENTA DE ALIMENTO</v>
      </c>
      <c r="N1035" s="12" t="str">
        <f aca="false">VLOOKUP(M1035,RECATALOGANDO!B:C,2,0)</f>
        <v>VENTA DE PRODUCTO</v>
      </c>
      <c r="O1035" s="2" t="s">
        <v>78</v>
      </c>
    </row>
    <row r="1036" customFormat="false" ht="13.8" hidden="false" customHeight="false" outlineLevel="0" collapsed="false">
      <c r="A1036" s="8" t="n">
        <v>45530</v>
      </c>
      <c r="B1036" s="9" t="n">
        <f aca="false">DAY(A1036)</f>
        <v>26</v>
      </c>
      <c r="C1036" s="9" t="n">
        <f aca="false">MONTH(A1036)</f>
        <v>8</v>
      </c>
      <c r="D1036" s="9" t="n">
        <f aca="false">YEAR(A1036)</f>
        <v>2024</v>
      </c>
      <c r="E1036" s="9" t="n">
        <f aca="false">WEEKDAY(A1036,2)</f>
        <v>1</v>
      </c>
      <c r="F1036" s="10" t="n">
        <f aca="false">WEEKNUM(A1036,2) - WEEKNUM(DATE(YEAR(A1036),MONTH(A1036),1),2) + 1</f>
        <v>5</v>
      </c>
      <c r="G1036" s="10"/>
      <c r="H1036" s="11" t="n">
        <v>385</v>
      </c>
      <c r="I1036" s="12" t="s">
        <v>20</v>
      </c>
      <c r="J1036" s="12" t="s">
        <v>49</v>
      </c>
      <c r="K1036" s="12"/>
      <c r="L1036" s="9" t="n">
        <f aca="false">L1035+H1036</f>
        <v>51323.51</v>
      </c>
      <c r="M1036" s="10" t="str">
        <f aca="false">VLOOKUP(J1036,RECATALOGANDO!A:C,2,0)</f>
        <v>SERVICIO DE GROOMING</v>
      </c>
      <c r="N1036" s="12" t="str">
        <f aca="false">VLOOKUP(M1036,RECATALOGANDO!B:C,2,0)</f>
        <v>VENTA DE SERVICIO</v>
      </c>
      <c r="O1036" s="2" t="s">
        <v>78</v>
      </c>
    </row>
    <row r="1037" customFormat="false" ht="13.8" hidden="false" customHeight="false" outlineLevel="0" collapsed="false">
      <c r="A1037" s="8" t="n">
        <v>45530</v>
      </c>
      <c r="B1037" s="9" t="n">
        <f aca="false">DAY(A1037)</f>
        <v>26</v>
      </c>
      <c r="C1037" s="9" t="n">
        <f aca="false">MONTH(A1037)</f>
        <v>8</v>
      </c>
      <c r="D1037" s="9" t="n">
        <f aca="false">YEAR(A1037)</f>
        <v>2024</v>
      </c>
      <c r="E1037" s="9" t="n">
        <f aca="false">WEEKDAY(A1037,2)</f>
        <v>1</v>
      </c>
      <c r="F1037" s="10" t="n">
        <f aca="false">WEEKNUM(A1037,2) - WEEKNUM(DATE(YEAR(A1037),MONTH(A1037),1),2) + 1</f>
        <v>5</v>
      </c>
      <c r="G1037" s="10"/>
      <c r="H1037" s="11" t="n">
        <v>400</v>
      </c>
      <c r="I1037" s="12" t="s">
        <v>20</v>
      </c>
      <c r="J1037" s="12" t="s">
        <v>49</v>
      </c>
      <c r="K1037" s="12"/>
      <c r="L1037" s="9" t="n">
        <f aca="false">L1036+H1037</f>
        <v>51723.51</v>
      </c>
      <c r="M1037" s="10" t="str">
        <f aca="false">VLOOKUP(J1037,RECATALOGANDO!A:C,2,0)</f>
        <v>SERVICIO DE GROOMING</v>
      </c>
      <c r="N1037" s="12" t="str">
        <f aca="false">VLOOKUP(M1037,RECATALOGANDO!B:C,2,0)</f>
        <v>VENTA DE SERVICIO</v>
      </c>
      <c r="O1037" s="2" t="s">
        <v>78</v>
      </c>
    </row>
    <row r="1038" customFormat="false" ht="13.8" hidden="false" customHeight="false" outlineLevel="0" collapsed="false">
      <c r="A1038" s="8" t="n">
        <v>45530</v>
      </c>
      <c r="B1038" s="9" t="n">
        <f aca="false">DAY(A1038)</f>
        <v>26</v>
      </c>
      <c r="C1038" s="9" t="n">
        <f aca="false">MONTH(A1038)</f>
        <v>8</v>
      </c>
      <c r="D1038" s="9" t="n">
        <f aca="false">YEAR(A1038)</f>
        <v>2024</v>
      </c>
      <c r="E1038" s="9" t="n">
        <f aca="false">WEEKDAY(A1038,2)</f>
        <v>1</v>
      </c>
      <c r="F1038" s="10" t="n">
        <f aca="false">WEEKNUM(A1038,2) - WEEKNUM(DATE(YEAR(A1038),MONTH(A1038),1),2) + 1</f>
        <v>5</v>
      </c>
      <c r="G1038" s="10"/>
      <c r="H1038" s="11" t="n">
        <v>2940</v>
      </c>
      <c r="I1038" s="12" t="s">
        <v>20</v>
      </c>
      <c r="J1038" s="12" t="s">
        <v>44</v>
      </c>
      <c r="K1038" s="12"/>
      <c r="L1038" s="9" t="n">
        <f aca="false">L1037+H1038</f>
        <v>54663.51</v>
      </c>
      <c r="M1038" s="10" t="str">
        <f aca="false">VLOOKUP(J1038,RECATALOGANDO!A:C,2,0)</f>
        <v>HONORARIOS MEDICOS</v>
      </c>
      <c r="N1038" s="12" t="str">
        <f aca="false">VLOOKUP(M1038,RECATALOGANDO!B:C,2,0)</f>
        <v>VENTA DE SERVICIO</v>
      </c>
      <c r="O1038" s="2" t="s">
        <v>78</v>
      </c>
    </row>
    <row r="1039" customFormat="false" ht="13.8" hidden="false" customHeight="false" outlineLevel="0" collapsed="false">
      <c r="A1039" s="8" t="n">
        <v>45532</v>
      </c>
      <c r="B1039" s="9" t="n">
        <f aca="false">DAY(A1039)</f>
        <v>28</v>
      </c>
      <c r="C1039" s="9" t="n">
        <f aca="false">MONTH(A1039)</f>
        <v>8</v>
      </c>
      <c r="D1039" s="9" t="n">
        <f aca="false">YEAR(A1039)</f>
        <v>2024</v>
      </c>
      <c r="E1039" s="9" t="n">
        <f aca="false">WEEKDAY(A1039,2)</f>
        <v>3</v>
      </c>
      <c r="F1039" s="10" t="n">
        <f aca="false">WEEKNUM(A1039,2) - WEEKNUM(DATE(YEAR(A1039),MONTH(A1039),1),2) + 1</f>
        <v>5</v>
      </c>
      <c r="G1039" s="10"/>
      <c r="H1039" s="11" t="n">
        <v>1420</v>
      </c>
      <c r="I1039" s="12" t="s">
        <v>20</v>
      </c>
      <c r="J1039" s="12" t="s">
        <v>45</v>
      </c>
      <c r="K1039" s="12"/>
      <c r="L1039" s="9" t="n">
        <f aca="false">L1038+H1039</f>
        <v>56083.51</v>
      </c>
      <c r="M1039" s="10" t="str">
        <f aca="false">VLOOKUP(J1039,RECATALOGANDO!A:C,2,0)</f>
        <v>VENTA DE MEDICAMENTO</v>
      </c>
      <c r="N1039" s="12" t="str">
        <f aca="false">VLOOKUP(M1039,RECATALOGANDO!B:C,2,0)</f>
        <v>VENTA DE PRODUCTO</v>
      </c>
      <c r="O1039" s="2" t="s">
        <v>78</v>
      </c>
    </row>
    <row r="1040" customFormat="false" ht="13.8" hidden="false" customHeight="false" outlineLevel="0" collapsed="false">
      <c r="A1040" s="8" t="n">
        <v>45533</v>
      </c>
      <c r="B1040" s="9" t="n">
        <f aca="false">DAY(A1040)</f>
        <v>29</v>
      </c>
      <c r="C1040" s="9" t="n">
        <f aca="false">MONTH(A1040)</f>
        <v>8</v>
      </c>
      <c r="D1040" s="9" t="n">
        <f aca="false">YEAR(A1040)</f>
        <v>2024</v>
      </c>
      <c r="E1040" s="9" t="n">
        <f aca="false">WEEKDAY(A1040,2)</f>
        <v>4</v>
      </c>
      <c r="F1040" s="10" t="n">
        <f aca="false">WEEKNUM(A1040,2) - WEEKNUM(DATE(YEAR(A1040),MONTH(A1040),1),2) + 1</f>
        <v>5</v>
      </c>
      <c r="G1040" s="10"/>
      <c r="H1040" s="11" t="n">
        <v>3410</v>
      </c>
      <c r="I1040" s="12" t="s">
        <v>20</v>
      </c>
      <c r="J1040" s="12" t="s">
        <v>51</v>
      </c>
      <c r="K1040" s="12"/>
      <c r="L1040" s="9" t="n">
        <f aca="false">L1039+H1040</f>
        <v>59493.51</v>
      </c>
      <c r="M1040" s="10" t="str">
        <f aca="false">VLOOKUP(J1040,RECATALOGANDO!A:C,2,0)</f>
        <v>VENTA DE ALIMENTO</v>
      </c>
      <c r="N1040" s="12" t="str">
        <f aca="false">VLOOKUP(M1040,RECATALOGANDO!B:C,2,0)</f>
        <v>VENTA DE PRODUCTO</v>
      </c>
      <c r="O1040" s="2" t="s">
        <v>78</v>
      </c>
    </row>
    <row r="1041" customFormat="false" ht="13.8" hidden="false" customHeight="false" outlineLevel="0" collapsed="false">
      <c r="A1041" s="8" t="n">
        <v>45533</v>
      </c>
      <c r="B1041" s="9" t="n">
        <f aca="false">DAY(A1041)</f>
        <v>29</v>
      </c>
      <c r="C1041" s="9" t="n">
        <f aca="false">MONTH(A1041)</f>
        <v>8</v>
      </c>
      <c r="D1041" s="9" t="n">
        <f aca="false">YEAR(A1041)</f>
        <v>2024</v>
      </c>
      <c r="E1041" s="9" t="n">
        <f aca="false">WEEKDAY(A1041,2)</f>
        <v>4</v>
      </c>
      <c r="F1041" s="10" t="n">
        <f aca="false">WEEKNUM(A1041,2) - WEEKNUM(DATE(YEAR(A1041),MONTH(A1041),1),2) + 1</f>
        <v>5</v>
      </c>
      <c r="G1041" s="10"/>
      <c r="H1041" s="11" t="n">
        <v>300</v>
      </c>
      <c r="I1041" s="12" t="s">
        <v>20</v>
      </c>
      <c r="J1041" s="12" t="s">
        <v>49</v>
      </c>
      <c r="K1041" s="12"/>
      <c r="L1041" s="9" t="n">
        <f aca="false">L1040+H1041</f>
        <v>59793.51</v>
      </c>
      <c r="M1041" s="10" t="str">
        <f aca="false">VLOOKUP(J1041,RECATALOGANDO!A:C,2,0)</f>
        <v>SERVICIO DE GROOMING</v>
      </c>
      <c r="N1041" s="12" t="str">
        <f aca="false">VLOOKUP(M1041,RECATALOGANDO!B:C,2,0)</f>
        <v>VENTA DE SERVICIO</v>
      </c>
      <c r="O1041" s="2" t="s">
        <v>78</v>
      </c>
    </row>
    <row r="1042" customFormat="false" ht="13.8" hidden="false" customHeight="false" outlineLevel="0" collapsed="false">
      <c r="A1042" s="8" t="n">
        <v>45533</v>
      </c>
      <c r="B1042" s="9" t="n">
        <f aca="false">DAY(A1042)</f>
        <v>29</v>
      </c>
      <c r="C1042" s="9" t="n">
        <f aca="false">MONTH(A1042)</f>
        <v>8</v>
      </c>
      <c r="D1042" s="9" t="n">
        <f aca="false">YEAR(A1042)</f>
        <v>2024</v>
      </c>
      <c r="E1042" s="9" t="n">
        <f aca="false">WEEKDAY(A1042,2)</f>
        <v>4</v>
      </c>
      <c r="F1042" s="10" t="n">
        <f aca="false">WEEKNUM(A1042,2) - WEEKNUM(DATE(YEAR(A1042),MONTH(A1042),1),2) + 1</f>
        <v>5</v>
      </c>
      <c r="G1042" s="10"/>
      <c r="H1042" s="11" t="n">
        <v>4230</v>
      </c>
      <c r="I1042" s="12" t="s">
        <v>20</v>
      </c>
      <c r="J1042" s="12" t="s">
        <v>44</v>
      </c>
      <c r="K1042" s="12"/>
      <c r="L1042" s="9" t="n">
        <f aca="false">L1041+H1042</f>
        <v>64023.51</v>
      </c>
      <c r="M1042" s="10" t="str">
        <f aca="false">VLOOKUP(J1042,RECATALOGANDO!A:C,2,0)</f>
        <v>HONORARIOS MEDICOS</v>
      </c>
      <c r="N1042" s="12" t="str">
        <f aca="false">VLOOKUP(M1042,RECATALOGANDO!B:C,2,0)</f>
        <v>VENTA DE SERVICIO</v>
      </c>
      <c r="O1042" s="2" t="s">
        <v>78</v>
      </c>
    </row>
    <row r="1043" customFormat="false" ht="13.8" hidden="false" customHeight="false" outlineLevel="0" collapsed="false">
      <c r="A1043" s="8" t="n">
        <v>45534</v>
      </c>
      <c r="B1043" s="9" t="n">
        <f aca="false">DAY(A1043)</f>
        <v>30</v>
      </c>
      <c r="C1043" s="9" t="n">
        <f aca="false">MONTH(A1043)</f>
        <v>8</v>
      </c>
      <c r="D1043" s="9" t="n">
        <f aca="false">YEAR(A1043)</f>
        <v>2024</v>
      </c>
      <c r="E1043" s="9" t="n">
        <f aca="false">WEEKDAY(A1043,2)</f>
        <v>5</v>
      </c>
      <c r="F1043" s="10" t="n">
        <f aca="false">WEEKNUM(A1043,2) - WEEKNUM(DATE(YEAR(A1043),MONTH(A1043),1),2) + 1</f>
        <v>5</v>
      </c>
      <c r="G1043" s="10" t="n">
        <v>2</v>
      </c>
      <c r="H1043" s="11" t="n">
        <v>425</v>
      </c>
      <c r="I1043" s="12" t="s">
        <v>20</v>
      </c>
      <c r="J1043" s="12" t="s">
        <v>45</v>
      </c>
      <c r="K1043" s="12"/>
      <c r="L1043" s="9" t="n">
        <f aca="false">L1042+H1043</f>
        <v>64448.51</v>
      </c>
      <c r="M1043" s="10" t="str">
        <f aca="false">VLOOKUP(J1043,RECATALOGANDO!A:C,2,0)</f>
        <v>VENTA DE MEDICAMENTO</v>
      </c>
      <c r="N1043" s="12" t="str">
        <f aca="false">VLOOKUP(M1043,RECATALOGANDO!B:C,2,0)</f>
        <v>VENTA DE PRODUCTO</v>
      </c>
      <c r="O1043" s="2" t="s">
        <v>78</v>
      </c>
    </row>
    <row r="1044" customFormat="false" ht="13.8" hidden="false" customHeight="false" outlineLevel="0" collapsed="false">
      <c r="A1044" s="8" t="n">
        <v>45534</v>
      </c>
      <c r="B1044" s="9" t="n">
        <f aca="false">DAY(A1044)</f>
        <v>30</v>
      </c>
      <c r="C1044" s="9" t="n">
        <f aca="false">MONTH(A1044)</f>
        <v>8</v>
      </c>
      <c r="D1044" s="9" t="n">
        <f aca="false">YEAR(A1044)</f>
        <v>2024</v>
      </c>
      <c r="E1044" s="9" t="n">
        <f aca="false">WEEKDAY(A1044,2)</f>
        <v>5</v>
      </c>
      <c r="F1044" s="10" t="n">
        <f aca="false">WEEKNUM(A1044,2) - WEEKNUM(DATE(YEAR(A1044),MONTH(A1044),1),2) + 1</f>
        <v>5</v>
      </c>
      <c r="G1044" s="10" t="n">
        <v>2</v>
      </c>
      <c r="H1044" s="11" t="n">
        <v>1100</v>
      </c>
      <c r="I1044" s="12" t="s">
        <v>20</v>
      </c>
      <c r="J1044" s="12" t="s">
        <v>45</v>
      </c>
      <c r="K1044" s="12"/>
      <c r="L1044" s="9" t="n">
        <f aca="false">L1043+H1044</f>
        <v>65548.51</v>
      </c>
      <c r="M1044" s="10" t="str">
        <f aca="false">VLOOKUP(J1044,RECATALOGANDO!A:C,2,0)</f>
        <v>VENTA DE MEDICAMENTO</v>
      </c>
      <c r="N1044" s="12" t="str">
        <f aca="false">VLOOKUP(M1044,RECATALOGANDO!B:C,2,0)</f>
        <v>VENTA DE PRODUCTO</v>
      </c>
      <c r="O1044" s="2" t="s">
        <v>78</v>
      </c>
    </row>
    <row r="1045" customFormat="false" ht="13.8" hidden="false" customHeight="false" outlineLevel="0" collapsed="false">
      <c r="A1045" s="8" t="n">
        <v>45534</v>
      </c>
      <c r="B1045" s="9" t="n">
        <f aca="false">DAY(A1045)</f>
        <v>30</v>
      </c>
      <c r="C1045" s="9" t="n">
        <f aca="false">MONTH(A1045)</f>
        <v>8</v>
      </c>
      <c r="D1045" s="9" t="n">
        <f aca="false">YEAR(A1045)</f>
        <v>2024</v>
      </c>
      <c r="E1045" s="9" t="n">
        <f aca="false">WEEKDAY(A1045,2)</f>
        <v>5</v>
      </c>
      <c r="F1045" s="10" t="n">
        <f aca="false">WEEKNUM(A1045,2) - WEEKNUM(DATE(YEAR(A1045),MONTH(A1045),1),2) + 1</f>
        <v>5</v>
      </c>
      <c r="G1045" s="10" t="n">
        <v>2</v>
      </c>
      <c r="H1045" s="11" t="n">
        <v>1762</v>
      </c>
      <c r="I1045" s="12" t="s">
        <v>20</v>
      </c>
      <c r="J1045" s="12" t="s">
        <v>45</v>
      </c>
      <c r="K1045" s="12"/>
      <c r="L1045" s="9" t="n">
        <f aca="false">L1044+H1045</f>
        <v>67310.51</v>
      </c>
      <c r="M1045" s="10" t="str">
        <f aca="false">VLOOKUP(J1045,RECATALOGANDO!A:C,2,0)</f>
        <v>VENTA DE MEDICAMENTO</v>
      </c>
      <c r="N1045" s="12" t="str">
        <f aca="false">VLOOKUP(M1045,RECATALOGANDO!B:C,2,0)</f>
        <v>VENTA DE PRODUCTO</v>
      </c>
      <c r="O1045" s="2" t="s">
        <v>78</v>
      </c>
    </row>
    <row r="1046" customFormat="false" ht="13.8" hidden="false" customHeight="false" outlineLevel="0" collapsed="false">
      <c r="A1046" s="8" t="n">
        <v>45534</v>
      </c>
      <c r="B1046" s="9" t="n">
        <f aca="false">DAY(A1046)</f>
        <v>30</v>
      </c>
      <c r="C1046" s="9" t="n">
        <f aca="false">MONTH(A1046)</f>
        <v>8</v>
      </c>
      <c r="D1046" s="9" t="n">
        <f aca="false">YEAR(A1046)</f>
        <v>2024</v>
      </c>
      <c r="E1046" s="9" t="n">
        <f aca="false">WEEKDAY(A1046,2)</f>
        <v>5</v>
      </c>
      <c r="F1046" s="10" t="n">
        <f aca="false">WEEKNUM(A1046,2) - WEEKNUM(DATE(YEAR(A1046),MONTH(A1046),1),2) + 1</f>
        <v>5</v>
      </c>
      <c r="G1046" s="10" t="n">
        <v>2</v>
      </c>
      <c r="H1046" s="11" t="n">
        <v>200</v>
      </c>
      <c r="I1046" s="12" t="s">
        <v>20</v>
      </c>
      <c r="J1046" s="12" t="s">
        <v>49</v>
      </c>
      <c r="K1046" s="12"/>
      <c r="L1046" s="9" t="n">
        <f aca="false">L1045+H1046</f>
        <v>67510.51</v>
      </c>
      <c r="M1046" s="10" t="str">
        <f aca="false">VLOOKUP(J1046,RECATALOGANDO!A:C,2,0)</f>
        <v>SERVICIO DE GROOMING</v>
      </c>
      <c r="N1046" s="12" t="str">
        <f aca="false">VLOOKUP(M1046,RECATALOGANDO!B:C,2,0)</f>
        <v>VENTA DE SERVICIO</v>
      </c>
      <c r="O1046" s="2" t="s">
        <v>78</v>
      </c>
    </row>
    <row r="1047" customFormat="false" ht="13.8" hidden="false" customHeight="false" outlineLevel="0" collapsed="false">
      <c r="A1047" s="8" t="n">
        <v>45534</v>
      </c>
      <c r="B1047" s="9" t="n">
        <f aca="false">DAY(A1047)</f>
        <v>30</v>
      </c>
      <c r="C1047" s="9" t="n">
        <f aca="false">MONTH(A1047)</f>
        <v>8</v>
      </c>
      <c r="D1047" s="9" t="n">
        <f aca="false">YEAR(A1047)</f>
        <v>2024</v>
      </c>
      <c r="E1047" s="9" t="n">
        <f aca="false">WEEKDAY(A1047,2)</f>
        <v>5</v>
      </c>
      <c r="F1047" s="10" t="n">
        <f aca="false">WEEKNUM(A1047,2) - WEEKNUM(DATE(YEAR(A1047),MONTH(A1047),1),2) + 1</f>
        <v>5</v>
      </c>
      <c r="G1047" s="10" t="n">
        <v>2</v>
      </c>
      <c r="H1047" s="11" t="n">
        <v>240</v>
      </c>
      <c r="I1047" s="12" t="s">
        <v>20</v>
      </c>
      <c r="J1047" s="12" t="s">
        <v>44</v>
      </c>
      <c r="K1047" s="12"/>
      <c r="L1047" s="9" t="n">
        <f aca="false">L1046+H1047</f>
        <v>67750.51</v>
      </c>
      <c r="M1047" s="10" t="str">
        <f aca="false">VLOOKUP(J1047,RECATALOGANDO!A:C,2,0)</f>
        <v>HONORARIOS MEDICOS</v>
      </c>
      <c r="N1047" s="12" t="str">
        <f aca="false">VLOOKUP(M1047,RECATALOGANDO!B:C,2,0)</f>
        <v>VENTA DE SERVICIO</v>
      </c>
      <c r="O1047" s="2" t="s">
        <v>78</v>
      </c>
    </row>
    <row r="1048" customFormat="false" ht="13.8" hidden="false" customHeight="false" outlineLevel="0" collapsed="false">
      <c r="A1048" s="8" t="n">
        <v>45534</v>
      </c>
      <c r="B1048" s="9" t="n">
        <f aca="false">DAY(A1048)</f>
        <v>30</v>
      </c>
      <c r="C1048" s="9" t="n">
        <f aca="false">MONTH(A1048)</f>
        <v>8</v>
      </c>
      <c r="D1048" s="9" t="n">
        <f aca="false">YEAR(A1048)</f>
        <v>2024</v>
      </c>
      <c r="E1048" s="9" t="n">
        <f aca="false">WEEKDAY(A1048,2)</f>
        <v>5</v>
      </c>
      <c r="F1048" s="10" t="n">
        <f aca="false">WEEKNUM(A1048,2) - WEEKNUM(DATE(YEAR(A1048),MONTH(A1048),1),2) + 1</f>
        <v>5</v>
      </c>
      <c r="G1048" s="10" t="n">
        <v>2</v>
      </c>
      <c r="H1048" s="11" t="n">
        <v>250</v>
      </c>
      <c r="I1048" s="12" t="s">
        <v>20</v>
      </c>
      <c r="J1048" s="12" t="s">
        <v>49</v>
      </c>
      <c r="K1048" s="12"/>
      <c r="L1048" s="9" t="n">
        <f aca="false">L1047+H1048</f>
        <v>68000.51</v>
      </c>
      <c r="M1048" s="10" t="str">
        <f aca="false">VLOOKUP(J1048,RECATALOGANDO!A:C,2,0)</f>
        <v>SERVICIO DE GROOMING</v>
      </c>
      <c r="N1048" s="12" t="str">
        <f aca="false">VLOOKUP(M1048,RECATALOGANDO!B:C,2,0)</f>
        <v>VENTA DE SERVICIO</v>
      </c>
      <c r="O1048" s="2" t="s">
        <v>78</v>
      </c>
    </row>
    <row r="1049" customFormat="false" ht="13.8" hidden="false" customHeight="false" outlineLevel="0" collapsed="false">
      <c r="A1049" s="8" t="n">
        <v>45534</v>
      </c>
      <c r="B1049" s="9" t="n">
        <f aca="false">DAY(A1049)</f>
        <v>30</v>
      </c>
      <c r="C1049" s="9" t="n">
        <f aca="false">MONTH(A1049)</f>
        <v>8</v>
      </c>
      <c r="D1049" s="9" t="n">
        <f aca="false">YEAR(A1049)</f>
        <v>2024</v>
      </c>
      <c r="E1049" s="9" t="n">
        <f aca="false">WEEKDAY(A1049,2)</f>
        <v>5</v>
      </c>
      <c r="F1049" s="10" t="n">
        <f aca="false">WEEKNUM(A1049,2) - WEEKNUM(DATE(YEAR(A1049),MONTH(A1049),1),2) + 1</f>
        <v>5</v>
      </c>
      <c r="G1049" s="10" t="n">
        <v>2</v>
      </c>
      <c r="H1049" s="11" t="n">
        <v>1000</v>
      </c>
      <c r="I1049" s="12" t="s">
        <v>20</v>
      </c>
      <c r="J1049" s="12" t="s">
        <v>44</v>
      </c>
      <c r="K1049" s="12"/>
      <c r="L1049" s="9" t="n">
        <f aca="false">L1048+H1049</f>
        <v>69000.51</v>
      </c>
      <c r="M1049" s="10" t="str">
        <f aca="false">VLOOKUP(J1049,RECATALOGANDO!A:C,2,0)</f>
        <v>HONORARIOS MEDICOS</v>
      </c>
      <c r="N1049" s="12" t="str">
        <f aca="false">VLOOKUP(M1049,RECATALOGANDO!B:C,2,0)</f>
        <v>VENTA DE SERVICIO</v>
      </c>
      <c r="O1049" s="2" t="s">
        <v>78</v>
      </c>
    </row>
    <row r="1050" customFormat="false" ht="13.8" hidden="false" customHeight="false" outlineLevel="0" collapsed="false">
      <c r="A1050" s="8" t="n">
        <v>45537</v>
      </c>
      <c r="B1050" s="9" t="n">
        <f aca="false">DAY(A1050)</f>
        <v>2</v>
      </c>
      <c r="C1050" s="9" t="n">
        <f aca="false">MONTH(A1050)</f>
        <v>9</v>
      </c>
      <c r="D1050" s="9" t="n">
        <f aca="false">YEAR(A1050)</f>
        <v>2024</v>
      </c>
      <c r="E1050" s="9" t="n">
        <f aca="false">WEEKDAY(A1050,2)</f>
        <v>1</v>
      </c>
      <c r="F1050" s="10" t="n">
        <f aca="false">WEEKNUM(A1050,2) - WEEKNUM(DATE(YEAR(A1050),MONTH(A1050),1),2) + 1</f>
        <v>2</v>
      </c>
      <c r="G1050" s="10"/>
      <c r="H1050" s="11" t="n">
        <v>90</v>
      </c>
      <c r="I1050" s="12" t="s">
        <v>20</v>
      </c>
      <c r="J1050" s="12" t="s">
        <v>45</v>
      </c>
      <c r="K1050" s="12"/>
      <c r="L1050" s="9" t="n">
        <f aca="false">H1050</f>
        <v>90</v>
      </c>
      <c r="M1050" s="10" t="str">
        <f aca="false">VLOOKUP(J1050,RECATALOGANDO!A:C,2,0)</f>
        <v>VENTA DE MEDICAMENTO</v>
      </c>
      <c r="N1050" s="12" t="str">
        <f aca="false">VLOOKUP(M1050,RECATALOGANDO!B:C,2,0)</f>
        <v>VENTA DE PRODUCTO</v>
      </c>
      <c r="O1050" s="2" t="s">
        <v>78</v>
      </c>
    </row>
    <row r="1051" customFormat="false" ht="13.8" hidden="false" customHeight="false" outlineLevel="0" collapsed="false">
      <c r="A1051" s="8" t="n">
        <v>45537</v>
      </c>
      <c r="B1051" s="9" t="n">
        <f aca="false">DAY(A1051)</f>
        <v>2</v>
      </c>
      <c r="C1051" s="9" t="n">
        <f aca="false">MONTH(A1051)</f>
        <v>9</v>
      </c>
      <c r="D1051" s="9" t="n">
        <f aca="false">YEAR(A1051)</f>
        <v>2024</v>
      </c>
      <c r="E1051" s="9" t="n">
        <f aca="false">WEEKDAY(A1051,2)</f>
        <v>1</v>
      </c>
      <c r="F1051" s="10" t="n">
        <f aca="false">WEEKNUM(A1051,2) - WEEKNUM(DATE(YEAR(A1051),MONTH(A1051),1),2) + 1</f>
        <v>2</v>
      </c>
      <c r="G1051" s="10"/>
      <c r="H1051" s="11" t="n">
        <v>105</v>
      </c>
      <c r="I1051" s="12" t="s">
        <v>20</v>
      </c>
      <c r="J1051" s="12" t="s">
        <v>51</v>
      </c>
      <c r="K1051" s="12"/>
      <c r="L1051" s="9" t="n">
        <f aca="false">L1050+H1051</f>
        <v>195</v>
      </c>
      <c r="M1051" s="10" t="str">
        <f aca="false">VLOOKUP(J1051,RECATALOGANDO!A:C,2,0)</f>
        <v>VENTA DE ALIMENTO</v>
      </c>
      <c r="N1051" s="12" t="str">
        <f aca="false">VLOOKUP(M1051,RECATALOGANDO!B:C,2,0)</f>
        <v>VENTA DE PRODUCTO</v>
      </c>
      <c r="O1051" s="2" t="s">
        <v>78</v>
      </c>
    </row>
    <row r="1052" customFormat="false" ht="13.8" hidden="false" customHeight="false" outlineLevel="0" collapsed="false">
      <c r="A1052" s="8" t="n">
        <v>45537</v>
      </c>
      <c r="B1052" s="9" t="n">
        <f aca="false">DAY(A1052)</f>
        <v>2</v>
      </c>
      <c r="C1052" s="9" t="n">
        <f aca="false">MONTH(A1052)</f>
        <v>9</v>
      </c>
      <c r="D1052" s="9" t="n">
        <f aca="false">YEAR(A1052)</f>
        <v>2024</v>
      </c>
      <c r="E1052" s="9" t="n">
        <f aca="false">WEEKDAY(A1052,2)</f>
        <v>1</v>
      </c>
      <c r="F1052" s="10" t="n">
        <f aca="false">WEEKNUM(A1052,2) - WEEKNUM(DATE(YEAR(A1052),MONTH(A1052),1),2) + 1</f>
        <v>2</v>
      </c>
      <c r="G1052" s="10"/>
      <c r="H1052" s="11" t="n">
        <v>600</v>
      </c>
      <c r="I1052" s="12" t="s">
        <v>20</v>
      </c>
      <c r="J1052" s="12" t="s">
        <v>45</v>
      </c>
      <c r="K1052" s="12"/>
      <c r="L1052" s="9" t="n">
        <f aca="false">L1051+H1052</f>
        <v>795</v>
      </c>
      <c r="M1052" s="10" t="str">
        <f aca="false">VLOOKUP(J1052,RECATALOGANDO!A:C,2,0)</f>
        <v>VENTA DE MEDICAMENTO</v>
      </c>
      <c r="N1052" s="12" t="str">
        <f aca="false">VLOOKUP(M1052,RECATALOGANDO!B:C,2,0)</f>
        <v>VENTA DE PRODUCTO</v>
      </c>
      <c r="O1052" s="2" t="s">
        <v>78</v>
      </c>
    </row>
    <row r="1053" customFormat="false" ht="13.8" hidden="false" customHeight="false" outlineLevel="0" collapsed="false">
      <c r="A1053" s="8" t="n">
        <v>45537</v>
      </c>
      <c r="B1053" s="9" t="n">
        <f aca="false">DAY(A1053)</f>
        <v>2</v>
      </c>
      <c r="C1053" s="9" t="n">
        <f aca="false">MONTH(A1053)</f>
        <v>9</v>
      </c>
      <c r="D1053" s="9" t="n">
        <f aca="false">YEAR(A1053)</f>
        <v>2024</v>
      </c>
      <c r="E1053" s="9" t="n">
        <f aca="false">WEEKDAY(A1053,2)</f>
        <v>1</v>
      </c>
      <c r="F1053" s="10" t="n">
        <f aca="false">WEEKNUM(A1053,2) - WEEKNUM(DATE(YEAR(A1053),MONTH(A1053),1),2) + 1</f>
        <v>2</v>
      </c>
      <c r="G1053" s="10"/>
      <c r="H1053" s="11" t="n">
        <v>240</v>
      </c>
      <c r="I1053" s="12" t="s">
        <v>20</v>
      </c>
      <c r="J1053" s="12" t="s">
        <v>44</v>
      </c>
      <c r="K1053" s="12"/>
      <c r="L1053" s="9" t="n">
        <f aca="false">L1052+H1053</f>
        <v>1035</v>
      </c>
      <c r="M1053" s="10" t="str">
        <f aca="false">VLOOKUP(J1053,RECATALOGANDO!A:C,2,0)</f>
        <v>HONORARIOS MEDICOS</v>
      </c>
      <c r="N1053" s="12" t="str">
        <f aca="false">VLOOKUP(M1053,RECATALOGANDO!B:C,2,0)</f>
        <v>VENTA DE SERVICIO</v>
      </c>
      <c r="O1053" s="2" t="s">
        <v>78</v>
      </c>
    </row>
    <row r="1054" customFormat="false" ht="13.8" hidden="false" customHeight="false" outlineLevel="0" collapsed="false">
      <c r="A1054" s="8" t="n">
        <v>45537</v>
      </c>
      <c r="B1054" s="9" t="n">
        <f aca="false">DAY(A1054)</f>
        <v>2</v>
      </c>
      <c r="C1054" s="9" t="n">
        <f aca="false">MONTH(A1054)</f>
        <v>9</v>
      </c>
      <c r="D1054" s="9" t="n">
        <f aca="false">YEAR(A1054)</f>
        <v>2024</v>
      </c>
      <c r="E1054" s="9" t="n">
        <f aca="false">WEEKDAY(A1054,2)</f>
        <v>1</v>
      </c>
      <c r="F1054" s="10" t="n">
        <f aca="false">WEEKNUM(A1054,2) - WEEKNUM(DATE(YEAR(A1054),MONTH(A1054),1),2) + 1</f>
        <v>2</v>
      </c>
      <c r="G1054" s="10"/>
      <c r="H1054" s="11" t="n">
        <v>950</v>
      </c>
      <c r="I1054" s="12" t="s">
        <v>20</v>
      </c>
      <c r="J1054" s="12" t="s">
        <v>56</v>
      </c>
      <c r="K1054" s="12"/>
      <c r="L1054" s="9" t="n">
        <f aca="false">L1053+H1054</f>
        <v>1985</v>
      </c>
      <c r="M1054" s="10" t="str">
        <f aca="false">VLOOKUP(J1054,RECATALOGANDO!A:C,2,0)</f>
        <v>SERVICIO DE IMAGEN</v>
      </c>
      <c r="N1054" s="12" t="str">
        <f aca="false">VLOOKUP(M1054,RECATALOGANDO!B:C,2,0)</f>
        <v>VENTA DE SERVICIO</v>
      </c>
      <c r="O1054" s="2" t="s">
        <v>78</v>
      </c>
    </row>
    <row r="1055" customFormat="false" ht="13.8" hidden="false" customHeight="false" outlineLevel="0" collapsed="false">
      <c r="A1055" s="8" t="n">
        <v>45537</v>
      </c>
      <c r="B1055" s="9" t="n">
        <f aca="false">DAY(A1055)</f>
        <v>2</v>
      </c>
      <c r="C1055" s="9" t="n">
        <f aca="false">MONTH(A1055)</f>
        <v>9</v>
      </c>
      <c r="D1055" s="9" t="n">
        <f aca="false">YEAR(A1055)</f>
        <v>2024</v>
      </c>
      <c r="E1055" s="9" t="n">
        <f aca="false">WEEKDAY(A1055,2)</f>
        <v>1</v>
      </c>
      <c r="F1055" s="10" t="n">
        <f aca="false">WEEKNUM(A1055,2) - WEEKNUM(DATE(YEAR(A1055),MONTH(A1055),1),2) + 1</f>
        <v>2</v>
      </c>
      <c r="G1055" s="10"/>
      <c r="H1055" s="11" t="n">
        <v>1200</v>
      </c>
      <c r="I1055" s="12" t="s">
        <v>20</v>
      </c>
      <c r="J1055" s="12" t="s">
        <v>56</v>
      </c>
      <c r="K1055" s="12"/>
      <c r="L1055" s="9" t="n">
        <f aca="false">L1054+H1055</f>
        <v>3185</v>
      </c>
      <c r="M1055" s="10" t="str">
        <f aca="false">VLOOKUP(J1055,RECATALOGANDO!A:C,2,0)</f>
        <v>SERVICIO DE IMAGEN</v>
      </c>
      <c r="N1055" s="12" t="str">
        <f aca="false">VLOOKUP(M1055,RECATALOGANDO!B:C,2,0)</f>
        <v>VENTA DE SERVICIO</v>
      </c>
      <c r="O1055" s="2" t="s">
        <v>78</v>
      </c>
    </row>
    <row r="1056" customFormat="false" ht="13.8" hidden="false" customHeight="false" outlineLevel="0" collapsed="false">
      <c r="A1056" s="8" t="n">
        <v>45537</v>
      </c>
      <c r="B1056" s="9" t="n">
        <f aca="false">DAY(A1056)</f>
        <v>2</v>
      </c>
      <c r="C1056" s="9" t="n">
        <f aca="false">MONTH(A1056)</f>
        <v>9</v>
      </c>
      <c r="D1056" s="9" t="n">
        <f aca="false">YEAR(A1056)</f>
        <v>2024</v>
      </c>
      <c r="E1056" s="9" t="n">
        <f aca="false">WEEKDAY(A1056,2)</f>
        <v>1</v>
      </c>
      <c r="F1056" s="10" t="n">
        <f aca="false">WEEKNUM(A1056,2) - WEEKNUM(DATE(YEAR(A1056),MONTH(A1056),1),2) + 1</f>
        <v>2</v>
      </c>
      <c r="G1056" s="10"/>
      <c r="H1056" s="11" t="n">
        <v>1500</v>
      </c>
      <c r="I1056" s="12" t="s">
        <v>20</v>
      </c>
      <c r="J1056" s="12" t="s">
        <v>56</v>
      </c>
      <c r="K1056" s="12"/>
      <c r="L1056" s="9" t="n">
        <f aca="false">L1055+H1056</f>
        <v>4685</v>
      </c>
      <c r="M1056" s="10" t="str">
        <f aca="false">VLOOKUP(J1056,RECATALOGANDO!A:C,2,0)</f>
        <v>SERVICIO DE IMAGEN</v>
      </c>
      <c r="N1056" s="12" t="str">
        <f aca="false">VLOOKUP(M1056,RECATALOGANDO!B:C,2,0)</f>
        <v>VENTA DE SERVICIO</v>
      </c>
      <c r="O1056" s="2" t="s">
        <v>78</v>
      </c>
    </row>
    <row r="1057" customFormat="false" ht="13.8" hidden="false" customHeight="false" outlineLevel="0" collapsed="false">
      <c r="A1057" s="8" t="n">
        <v>45537</v>
      </c>
      <c r="B1057" s="9" t="n">
        <f aca="false">DAY(A1057)</f>
        <v>2</v>
      </c>
      <c r="C1057" s="9" t="n">
        <f aca="false">MONTH(A1057)</f>
        <v>9</v>
      </c>
      <c r="D1057" s="9" t="n">
        <f aca="false">YEAR(A1057)</f>
        <v>2024</v>
      </c>
      <c r="E1057" s="9" t="n">
        <f aca="false">WEEKDAY(A1057,2)</f>
        <v>1</v>
      </c>
      <c r="F1057" s="10" t="n">
        <f aca="false">WEEKNUM(A1057,2) - WEEKNUM(DATE(YEAR(A1057),MONTH(A1057),1),2) + 1</f>
        <v>2</v>
      </c>
      <c r="G1057" s="10"/>
      <c r="H1057" s="11" t="n">
        <v>4200</v>
      </c>
      <c r="I1057" s="12" t="s">
        <v>20</v>
      </c>
      <c r="J1057" s="12" t="s">
        <v>64</v>
      </c>
      <c r="K1057" s="12"/>
      <c r="L1057" s="9" t="n">
        <f aca="false">L1056+H1057</f>
        <v>8885</v>
      </c>
      <c r="M1057" s="10" t="str">
        <f aca="false">VLOOKUP(J1057,RECATALOGANDO!A:C,2,0)</f>
        <v>HONORARIOS QUIRURGICOS</v>
      </c>
      <c r="N1057" s="12" t="str">
        <f aca="false">VLOOKUP(M1057,RECATALOGANDO!B:C,2,0)</f>
        <v>VENTA DE SERVICIO</v>
      </c>
      <c r="O1057" s="2" t="s">
        <v>78</v>
      </c>
    </row>
    <row r="1058" customFormat="false" ht="13.8" hidden="false" customHeight="false" outlineLevel="0" collapsed="false">
      <c r="A1058" s="8" t="n">
        <v>45538</v>
      </c>
      <c r="B1058" s="9" t="n">
        <f aca="false">DAY(A1058)</f>
        <v>3</v>
      </c>
      <c r="C1058" s="9" t="n">
        <f aca="false">MONTH(A1058)</f>
        <v>9</v>
      </c>
      <c r="D1058" s="9" t="n">
        <f aca="false">YEAR(A1058)</f>
        <v>2024</v>
      </c>
      <c r="E1058" s="9" t="n">
        <f aca="false">WEEKDAY(A1058,2)</f>
        <v>2</v>
      </c>
      <c r="F1058" s="10" t="n">
        <f aca="false">WEEKNUM(A1058,2) - WEEKNUM(DATE(YEAR(A1058),MONTH(A1058),1),2) + 1</f>
        <v>2</v>
      </c>
      <c r="G1058" s="10"/>
      <c r="H1058" s="11" t="n">
        <v>480</v>
      </c>
      <c r="I1058" s="12" t="s">
        <v>20</v>
      </c>
      <c r="J1058" s="12" t="s">
        <v>51</v>
      </c>
      <c r="K1058" s="12"/>
      <c r="L1058" s="9" t="n">
        <f aca="false">L1057+H1058</f>
        <v>9365</v>
      </c>
      <c r="M1058" s="10" t="str">
        <f aca="false">VLOOKUP(J1058,RECATALOGANDO!A:C,2,0)</f>
        <v>VENTA DE ALIMENTO</v>
      </c>
      <c r="N1058" s="12" t="str">
        <f aca="false">VLOOKUP(M1058,RECATALOGANDO!B:C,2,0)</f>
        <v>VENTA DE PRODUCTO</v>
      </c>
      <c r="O1058" s="2" t="s">
        <v>78</v>
      </c>
    </row>
    <row r="1059" customFormat="false" ht="13.8" hidden="false" customHeight="false" outlineLevel="0" collapsed="false">
      <c r="A1059" s="8" t="n">
        <v>45538</v>
      </c>
      <c r="B1059" s="9" t="n">
        <f aca="false">DAY(A1059)</f>
        <v>3</v>
      </c>
      <c r="C1059" s="9" t="n">
        <f aca="false">MONTH(A1059)</f>
        <v>9</v>
      </c>
      <c r="D1059" s="9" t="n">
        <f aca="false">YEAR(A1059)</f>
        <v>2024</v>
      </c>
      <c r="E1059" s="9" t="n">
        <f aca="false">WEEKDAY(A1059,2)</f>
        <v>2</v>
      </c>
      <c r="F1059" s="10" t="n">
        <f aca="false">WEEKNUM(A1059,2) - WEEKNUM(DATE(YEAR(A1059),MONTH(A1059),1),2) + 1</f>
        <v>2</v>
      </c>
      <c r="G1059" s="10"/>
      <c r="H1059" s="11" t="n">
        <v>920</v>
      </c>
      <c r="I1059" s="12" t="s">
        <v>20</v>
      </c>
      <c r="J1059" s="12" t="s">
        <v>45</v>
      </c>
      <c r="K1059" s="12"/>
      <c r="L1059" s="9" t="n">
        <f aca="false">L1058+H1059</f>
        <v>10285</v>
      </c>
      <c r="M1059" s="10" t="str">
        <f aca="false">VLOOKUP(J1059,RECATALOGANDO!A:C,2,0)</f>
        <v>VENTA DE MEDICAMENTO</v>
      </c>
      <c r="N1059" s="12" t="str">
        <f aca="false">VLOOKUP(M1059,RECATALOGANDO!B:C,2,0)</f>
        <v>VENTA DE PRODUCTO</v>
      </c>
      <c r="O1059" s="2" t="s">
        <v>78</v>
      </c>
    </row>
    <row r="1060" customFormat="false" ht="13.8" hidden="false" customHeight="false" outlineLevel="0" collapsed="false">
      <c r="A1060" s="8" t="n">
        <v>45538</v>
      </c>
      <c r="B1060" s="9" t="n">
        <f aca="false">DAY(A1060)</f>
        <v>3</v>
      </c>
      <c r="C1060" s="9" t="n">
        <f aca="false">MONTH(A1060)</f>
        <v>9</v>
      </c>
      <c r="D1060" s="9" t="n">
        <f aca="false">YEAR(A1060)</f>
        <v>2024</v>
      </c>
      <c r="E1060" s="9" t="n">
        <f aca="false">WEEKDAY(A1060,2)</f>
        <v>2</v>
      </c>
      <c r="F1060" s="10" t="n">
        <f aca="false">WEEKNUM(A1060,2) - WEEKNUM(DATE(YEAR(A1060),MONTH(A1060),1),2) + 1</f>
        <v>2</v>
      </c>
      <c r="G1060" s="10"/>
      <c r="H1060" s="11" t="n">
        <v>4500</v>
      </c>
      <c r="I1060" s="12" t="s">
        <v>20</v>
      </c>
      <c r="J1060" s="12" t="s">
        <v>64</v>
      </c>
      <c r="K1060" s="12"/>
      <c r="L1060" s="9" t="n">
        <f aca="false">L1059+H1060</f>
        <v>14785</v>
      </c>
      <c r="M1060" s="10" t="str">
        <f aca="false">VLOOKUP(J1060,RECATALOGANDO!A:C,2,0)</f>
        <v>HONORARIOS QUIRURGICOS</v>
      </c>
      <c r="N1060" s="12" t="str">
        <f aca="false">VLOOKUP(M1060,RECATALOGANDO!B:C,2,0)</f>
        <v>VENTA DE SERVICIO</v>
      </c>
      <c r="O1060" s="2" t="s">
        <v>78</v>
      </c>
    </row>
    <row r="1061" customFormat="false" ht="13.8" hidden="false" customHeight="false" outlineLevel="0" collapsed="false">
      <c r="A1061" s="8" t="n">
        <v>45539</v>
      </c>
      <c r="B1061" s="9" t="n">
        <f aca="false">DAY(A1061)</f>
        <v>4</v>
      </c>
      <c r="C1061" s="9" t="n">
        <f aca="false">MONTH(A1061)</f>
        <v>9</v>
      </c>
      <c r="D1061" s="9" t="n">
        <f aca="false">YEAR(A1061)</f>
        <v>2024</v>
      </c>
      <c r="E1061" s="9" t="n">
        <f aca="false">WEEKDAY(A1061,2)</f>
        <v>3</v>
      </c>
      <c r="F1061" s="10" t="n">
        <f aca="false">WEEKNUM(A1061,2) - WEEKNUM(DATE(YEAR(A1061),MONTH(A1061),1),2) + 1</f>
        <v>2</v>
      </c>
      <c r="G1061" s="10"/>
      <c r="H1061" s="11" t="n">
        <v>290</v>
      </c>
      <c r="I1061" s="12" t="s">
        <v>20</v>
      </c>
      <c r="J1061" s="12" t="s">
        <v>45</v>
      </c>
      <c r="K1061" s="12"/>
      <c r="L1061" s="9" t="n">
        <f aca="false">L1060+H1061</f>
        <v>15075</v>
      </c>
      <c r="M1061" s="10" t="str">
        <f aca="false">VLOOKUP(J1061,RECATALOGANDO!A:C,2,0)</f>
        <v>VENTA DE MEDICAMENTO</v>
      </c>
      <c r="N1061" s="12" t="str">
        <f aca="false">VLOOKUP(M1061,RECATALOGANDO!B:C,2,0)</f>
        <v>VENTA DE PRODUCTO</v>
      </c>
      <c r="O1061" s="2" t="s">
        <v>78</v>
      </c>
    </row>
    <row r="1062" customFormat="false" ht="13.8" hidden="false" customHeight="false" outlineLevel="0" collapsed="false">
      <c r="A1062" s="8" t="n">
        <v>45539</v>
      </c>
      <c r="B1062" s="9" t="n">
        <f aca="false">DAY(A1062)</f>
        <v>4</v>
      </c>
      <c r="C1062" s="9" t="n">
        <f aca="false">MONTH(A1062)</f>
        <v>9</v>
      </c>
      <c r="D1062" s="9" t="n">
        <f aca="false">YEAR(A1062)</f>
        <v>2024</v>
      </c>
      <c r="E1062" s="9" t="n">
        <f aca="false">WEEKDAY(A1062,2)</f>
        <v>3</v>
      </c>
      <c r="F1062" s="10" t="n">
        <f aca="false">WEEKNUM(A1062,2) - WEEKNUM(DATE(YEAR(A1062),MONTH(A1062),1),2) + 1</f>
        <v>2</v>
      </c>
      <c r="G1062" s="10"/>
      <c r="H1062" s="11" t="n">
        <v>1040</v>
      </c>
      <c r="I1062" s="12" t="s">
        <v>20</v>
      </c>
      <c r="J1062" s="12" t="s">
        <v>45</v>
      </c>
      <c r="K1062" s="12"/>
      <c r="L1062" s="9" t="n">
        <f aca="false">L1061+H1062</f>
        <v>16115</v>
      </c>
      <c r="M1062" s="10" t="str">
        <f aca="false">VLOOKUP(J1062,RECATALOGANDO!A:C,2,0)</f>
        <v>VENTA DE MEDICAMENTO</v>
      </c>
      <c r="N1062" s="12" t="str">
        <f aca="false">VLOOKUP(M1062,RECATALOGANDO!B:C,2,0)</f>
        <v>VENTA DE PRODUCTO</v>
      </c>
      <c r="O1062" s="2" t="s">
        <v>78</v>
      </c>
    </row>
    <row r="1063" customFormat="false" ht="13.8" hidden="false" customHeight="false" outlineLevel="0" collapsed="false">
      <c r="A1063" s="8" t="n">
        <v>45539</v>
      </c>
      <c r="B1063" s="9" t="n">
        <f aca="false">DAY(A1063)</f>
        <v>4</v>
      </c>
      <c r="C1063" s="9" t="n">
        <f aca="false">MONTH(A1063)</f>
        <v>9</v>
      </c>
      <c r="D1063" s="9" t="n">
        <f aca="false">YEAR(A1063)</f>
        <v>2024</v>
      </c>
      <c r="E1063" s="9" t="n">
        <f aca="false">WEEKDAY(A1063,2)</f>
        <v>3</v>
      </c>
      <c r="F1063" s="10" t="n">
        <f aca="false">WEEKNUM(A1063,2) - WEEKNUM(DATE(YEAR(A1063),MONTH(A1063),1),2) + 1</f>
        <v>2</v>
      </c>
      <c r="G1063" s="10"/>
      <c r="H1063" s="11" t="n">
        <v>857</v>
      </c>
      <c r="I1063" s="12" t="s">
        <v>15</v>
      </c>
      <c r="J1063" s="12" t="s">
        <v>44</v>
      </c>
      <c r="K1063" s="12"/>
      <c r="L1063" s="9" t="n">
        <f aca="false">L1062+H1063</f>
        <v>16972</v>
      </c>
      <c r="M1063" s="10" t="str">
        <f aca="false">VLOOKUP(J1063,RECATALOGANDO!A:C,2,0)</f>
        <v>HONORARIOS MEDICOS</v>
      </c>
      <c r="N1063" s="12" t="str">
        <f aca="false">VLOOKUP(M1063,RECATALOGANDO!B:C,2,0)</f>
        <v>VENTA DE SERVICIO</v>
      </c>
      <c r="O1063" s="2" t="s">
        <v>78</v>
      </c>
    </row>
    <row r="1064" customFormat="false" ht="13.8" hidden="false" customHeight="false" outlineLevel="0" collapsed="false">
      <c r="A1064" s="8" t="n">
        <v>45540</v>
      </c>
      <c r="B1064" s="9" t="n">
        <f aca="false">DAY(A1064)</f>
        <v>5</v>
      </c>
      <c r="C1064" s="9" t="n">
        <f aca="false">MONTH(A1064)</f>
        <v>9</v>
      </c>
      <c r="D1064" s="9" t="n">
        <f aca="false">YEAR(A1064)</f>
        <v>2024</v>
      </c>
      <c r="E1064" s="9" t="n">
        <f aca="false">WEEKDAY(A1064,2)</f>
        <v>4</v>
      </c>
      <c r="F1064" s="10" t="n">
        <f aca="false">WEEKNUM(A1064,2) - WEEKNUM(DATE(YEAR(A1064),MONTH(A1064),1),2) + 1</f>
        <v>2</v>
      </c>
      <c r="G1064" s="10"/>
      <c r="H1064" s="11" t="n">
        <v>1000</v>
      </c>
      <c r="I1064" s="12" t="s">
        <v>20</v>
      </c>
      <c r="J1064" s="12" t="s">
        <v>45</v>
      </c>
      <c r="K1064" s="12"/>
      <c r="L1064" s="9" t="n">
        <f aca="false">L1063+H1064</f>
        <v>17972</v>
      </c>
      <c r="M1064" s="10" t="str">
        <f aca="false">VLOOKUP(J1064,RECATALOGANDO!A:C,2,0)</f>
        <v>VENTA DE MEDICAMENTO</v>
      </c>
      <c r="N1064" s="12" t="str">
        <f aca="false">VLOOKUP(M1064,RECATALOGANDO!B:C,2,0)</f>
        <v>VENTA DE PRODUCTO</v>
      </c>
      <c r="O1064" s="2" t="s">
        <v>78</v>
      </c>
    </row>
    <row r="1065" customFormat="false" ht="13.8" hidden="false" customHeight="false" outlineLevel="0" collapsed="false">
      <c r="A1065" s="8" t="n">
        <v>45540</v>
      </c>
      <c r="B1065" s="9" t="n">
        <f aca="false">DAY(A1065)</f>
        <v>5</v>
      </c>
      <c r="C1065" s="9" t="n">
        <f aca="false">MONTH(A1065)</f>
        <v>9</v>
      </c>
      <c r="D1065" s="9" t="n">
        <f aca="false">YEAR(A1065)</f>
        <v>2024</v>
      </c>
      <c r="E1065" s="9" t="n">
        <f aca="false">WEEKDAY(A1065,2)</f>
        <v>4</v>
      </c>
      <c r="F1065" s="10" t="n">
        <f aca="false">WEEKNUM(A1065,2) - WEEKNUM(DATE(YEAR(A1065),MONTH(A1065),1),2) + 1</f>
        <v>2</v>
      </c>
      <c r="G1065" s="10"/>
      <c r="H1065" s="11" t="n">
        <v>1100</v>
      </c>
      <c r="I1065" s="12" t="s">
        <v>20</v>
      </c>
      <c r="J1065" s="12" t="s">
        <v>51</v>
      </c>
      <c r="K1065" s="12"/>
      <c r="L1065" s="9" t="n">
        <f aca="false">L1064+H1065</f>
        <v>19072</v>
      </c>
      <c r="M1065" s="10" t="str">
        <f aca="false">VLOOKUP(J1065,RECATALOGANDO!A:C,2,0)</f>
        <v>VENTA DE ALIMENTO</v>
      </c>
      <c r="N1065" s="12" t="str">
        <f aca="false">VLOOKUP(M1065,RECATALOGANDO!B:C,2,0)</f>
        <v>VENTA DE PRODUCTO</v>
      </c>
      <c r="O1065" s="2" t="s">
        <v>78</v>
      </c>
    </row>
    <row r="1066" customFormat="false" ht="13.8" hidden="false" customHeight="false" outlineLevel="0" collapsed="false">
      <c r="A1066" s="8" t="n">
        <v>45540</v>
      </c>
      <c r="B1066" s="9" t="n">
        <f aca="false">DAY(A1066)</f>
        <v>5</v>
      </c>
      <c r="C1066" s="9" t="n">
        <f aca="false">MONTH(A1066)</f>
        <v>9</v>
      </c>
      <c r="D1066" s="9" t="n">
        <f aca="false">YEAR(A1066)</f>
        <v>2024</v>
      </c>
      <c r="E1066" s="9" t="n">
        <f aca="false">WEEKDAY(A1066,2)</f>
        <v>4</v>
      </c>
      <c r="F1066" s="10" t="n">
        <f aca="false">WEEKNUM(A1066,2) - WEEKNUM(DATE(YEAR(A1066),MONTH(A1066),1),2) + 1</f>
        <v>2</v>
      </c>
      <c r="G1066" s="10"/>
      <c r="H1066" s="11" t="n">
        <v>370</v>
      </c>
      <c r="I1066" s="12" t="s">
        <v>20</v>
      </c>
      <c r="J1066" s="12" t="s">
        <v>44</v>
      </c>
      <c r="K1066" s="12"/>
      <c r="L1066" s="9" t="n">
        <f aca="false">L1065+H1066</f>
        <v>19442</v>
      </c>
      <c r="M1066" s="10" t="str">
        <f aca="false">VLOOKUP(J1066,RECATALOGANDO!A:C,2,0)</f>
        <v>HONORARIOS MEDICOS</v>
      </c>
      <c r="N1066" s="12" t="str">
        <f aca="false">VLOOKUP(M1066,RECATALOGANDO!B:C,2,0)</f>
        <v>VENTA DE SERVICIO</v>
      </c>
      <c r="O1066" s="2" t="s">
        <v>78</v>
      </c>
    </row>
    <row r="1067" customFormat="false" ht="13.8" hidden="false" customHeight="false" outlineLevel="0" collapsed="false">
      <c r="A1067" s="8" t="n">
        <v>45541</v>
      </c>
      <c r="B1067" s="9" t="n">
        <f aca="false">DAY(A1067)</f>
        <v>6</v>
      </c>
      <c r="C1067" s="9" t="n">
        <f aca="false">MONTH(A1067)</f>
        <v>9</v>
      </c>
      <c r="D1067" s="9" t="n">
        <f aca="false">YEAR(A1067)</f>
        <v>2024</v>
      </c>
      <c r="E1067" s="9" t="n">
        <f aca="false">WEEKDAY(A1067,2)</f>
        <v>5</v>
      </c>
      <c r="F1067" s="10" t="n">
        <f aca="false">WEEKNUM(A1067,2) - WEEKNUM(DATE(YEAR(A1067),MONTH(A1067),1),2) + 1</f>
        <v>2</v>
      </c>
      <c r="G1067" s="10"/>
      <c r="H1067" s="11" t="n">
        <v>1250</v>
      </c>
      <c r="I1067" s="12" t="s">
        <v>20</v>
      </c>
      <c r="J1067" s="12" t="s">
        <v>45</v>
      </c>
      <c r="K1067" s="12"/>
      <c r="L1067" s="9" t="n">
        <f aca="false">L1066+H1067</f>
        <v>20692</v>
      </c>
      <c r="M1067" s="10" t="str">
        <f aca="false">VLOOKUP(J1067,RECATALOGANDO!A:C,2,0)</f>
        <v>VENTA DE MEDICAMENTO</v>
      </c>
      <c r="N1067" s="12" t="str">
        <f aca="false">VLOOKUP(M1067,RECATALOGANDO!B:C,2,0)</f>
        <v>VENTA DE PRODUCTO</v>
      </c>
      <c r="O1067" s="2" t="s">
        <v>78</v>
      </c>
    </row>
    <row r="1068" customFormat="false" ht="13.8" hidden="false" customHeight="false" outlineLevel="0" collapsed="false">
      <c r="A1068" s="8" t="n">
        <v>45541</v>
      </c>
      <c r="B1068" s="9" t="n">
        <f aca="false">DAY(A1068)</f>
        <v>6</v>
      </c>
      <c r="C1068" s="9" t="n">
        <f aca="false">MONTH(A1068)</f>
        <v>9</v>
      </c>
      <c r="D1068" s="9" t="n">
        <f aca="false">YEAR(A1068)</f>
        <v>2024</v>
      </c>
      <c r="E1068" s="9" t="n">
        <f aca="false">WEEKDAY(A1068,2)</f>
        <v>5</v>
      </c>
      <c r="F1068" s="10" t="n">
        <f aca="false">WEEKNUM(A1068,2) - WEEKNUM(DATE(YEAR(A1068),MONTH(A1068),1),2) + 1</f>
        <v>2</v>
      </c>
      <c r="G1068" s="10"/>
      <c r="H1068" s="11" t="n">
        <v>2080</v>
      </c>
      <c r="I1068" s="12" t="s">
        <v>20</v>
      </c>
      <c r="J1068" s="12" t="s">
        <v>56</v>
      </c>
      <c r="K1068" s="12"/>
      <c r="L1068" s="9" t="n">
        <f aca="false">L1067+H1068</f>
        <v>22772</v>
      </c>
      <c r="M1068" s="10" t="str">
        <f aca="false">VLOOKUP(J1068,RECATALOGANDO!A:C,2,0)</f>
        <v>SERVICIO DE IMAGEN</v>
      </c>
      <c r="N1068" s="12" t="str">
        <f aca="false">VLOOKUP(M1068,RECATALOGANDO!B:C,2,0)</f>
        <v>VENTA DE SERVICIO</v>
      </c>
      <c r="O1068" s="2" t="s">
        <v>78</v>
      </c>
    </row>
    <row r="1069" customFormat="false" ht="13.8" hidden="false" customHeight="false" outlineLevel="0" collapsed="false">
      <c r="A1069" s="8" t="n">
        <v>45542</v>
      </c>
      <c r="B1069" s="9" t="n">
        <f aca="false">DAY(A1069)</f>
        <v>7</v>
      </c>
      <c r="C1069" s="9" t="n">
        <f aca="false">MONTH(A1069)</f>
        <v>9</v>
      </c>
      <c r="D1069" s="9" t="n">
        <f aca="false">YEAR(A1069)</f>
        <v>2024</v>
      </c>
      <c r="E1069" s="9" t="n">
        <f aca="false">WEEKDAY(A1069,2)</f>
        <v>6</v>
      </c>
      <c r="F1069" s="10" t="n">
        <f aca="false">WEEKNUM(A1069,2) - WEEKNUM(DATE(YEAR(A1069),MONTH(A1069),1),2) + 1</f>
        <v>2</v>
      </c>
      <c r="G1069" s="10"/>
      <c r="H1069" s="11" t="n">
        <v>2232.68</v>
      </c>
      <c r="I1069" s="12" t="s">
        <v>15</v>
      </c>
      <c r="J1069" s="12" t="s">
        <v>51</v>
      </c>
      <c r="K1069" s="12"/>
      <c r="L1069" s="9" t="n">
        <f aca="false">L1068+H1069</f>
        <v>25004.68</v>
      </c>
      <c r="M1069" s="10" t="str">
        <f aca="false">VLOOKUP(J1069,RECATALOGANDO!A:C,2,0)</f>
        <v>VENTA DE ALIMENTO</v>
      </c>
      <c r="N1069" s="12" t="str">
        <f aca="false">VLOOKUP(M1069,RECATALOGANDO!B:C,2,0)</f>
        <v>VENTA DE PRODUCTO</v>
      </c>
      <c r="O1069" s="2" t="s">
        <v>78</v>
      </c>
    </row>
    <row r="1070" customFormat="false" ht="13.8" hidden="false" customHeight="false" outlineLevel="0" collapsed="false">
      <c r="A1070" s="8" t="n">
        <v>45542</v>
      </c>
      <c r="B1070" s="9" t="n">
        <f aca="false">DAY(A1070)</f>
        <v>7</v>
      </c>
      <c r="C1070" s="9" t="n">
        <f aca="false">MONTH(A1070)</f>
        <v>9</v>
      </c>
      <c r="D1070" s="9" t="n">
        <f aca="false">YEAR(A1070)</f>
        <v>2024</v>
      </c>
      <c r="E1070" s="9" t="n">
        <f aca="false">WEEKDAY(A1070,2)</f>
        <v>6</v>
      </c>
      <c r="F1070" s="10" t="n">
        <f aca="false">WEEKNUM(A1070,2) - WEEKNUM(DATE(YEAR(A1070),MONTH(A1070),1),2) + 1</f>
        <v>2</v>
      </c>
      <c r="G1070" s="10"/>
      <c r="H1070" s="11" t="n">
        <v>2270</v>
      </c>
      <c r="I1070" s="12" t="s">
        <v>15</v>
      </c>
      <c r="J1070" s="12" t="s">
        <v>45</v>
      </c>
      <c r="K1070" s="12"/>
      <c r="L1070" s="9" t="n">
        <f aca="false">L1069+H1070</f>
        <v>27274.68</v>
      </c>
      <c r="M1070" s="10" t="str">
        <f aca="false">VLOOKUP(J1070,RECATALOGANDO!A:C,2,0)</f>
        <v>VENTA DE MEDICAMENTO</v>
      </c>
      <c r="N1070" s="12" t="str">
        <f aca="false">VLOOKUP(M1070,RECATALOGANDO!B:C,2,0)</f>
        <v>VENTA DE PRODUCTO</v>
      </c>
      <c r="O1070" s="2" t="s">
        <v>78</v>
      </c>
    </row>
    <row r="1071" customFormat="false" ht="13.8" hidden="false" customHeight="false" outlineLevel="0" collapsed="false">
      <c r="A1071" s="8" t="n">
        <v>45542</v>
      </c>
      <c r="B1071" s="9" t="n">
        <f aca="false">DAY(A1071)</f>
        <v>7</v>
      </c>
      <c r="C1071" s="9" t="n">
        <f aca="false">MONTH(A1071)</f>
        <v>9</v>
      </c>
      <c r="D1071" s="9" t="n">
        <f aca="false">YEAR(A1071)</f>
        <v>2024</v>
      </c>
      <c r="E1071" s="9" t="n">
        <f aca="false">WEEKDAY(A1071,2)</f>
        <v>6</v>
      </c>
      <c r="F1071" s="10" t="n">
        <f aca="false">WEEKNUM(A1071,2) - WEEKNUM(DATE(YEAR(A1071),MONTH(A1071),1),2) + 1</f>
        <v>2</v>
      </c>
      <c r="G1071" s="10"/>
      <c r="H1071" s="11" t="n">
        <v>240</v>
      </c>
      <c r="I1071" s="12" t="s">
        <v>15</v>
      </c>
      <c r="J1071" s="12" t="s">
        <v>49</v>
      </c>
      <c r="K1071" s="12"/>
      <c r="L1071" s="9" t="n">
        <f aca="false">L1070+H1071</f>
        <v>27514.68</v>
      </c>
      <c r="M1071" s="10" t="str">
        <f aca="false">VLOOKUP(J1071,RECATALOGANDO!A:C,2,0)</f>
        <v>SERVICIO DE GROOMING</v>
      </c>
      <c r="N1071" s="12" t="str">
        <f aca="false">VLOOKUP(M1071,RECATALOGANDO!B:C,2,0)</f>
        <v>VENTA DE SERVICIO</v>
      </c>
      <c r="O1071" s="2" t="s">
        <v>78</v>
      </c>
    </row>
    <row r="1072" customFormat="false" ht="13.8" hidden="false" customHeight="false" outlineLevel="0" collapsed="false">
      <c r="A1072" s="8" t="n">
        <v>45544</v>
      </c>
      <c r="B1072" s="9" t="n">
        <f aca="false">DAY(A1072)</f>
        <v>9</v>
      </c>
      <c r="C1072" s="9" t="n">
        <f aca="false">MONTH(A1072)</f>
        <v>9</v>
      </c>
      <c r="D1072" s="9" t="n">
        <f aca="false">YEAR(A1072)</f>
        <v>2024</v>
      </c>
      <c r="E1072" s="9" t="n">
        <f aca="false">WEEKDAY(A1072,2)</f>
        <v>1</v>
      </c>
      <c r="F1072" s="10" t="n">
        <f aca="false">WEEKNUM(A1072,2) - WEEKNUM(DATE(YEAR(A1072),MONTH(A1072),1),2) + 1</f>
        <v>3</v>
      </c>
      <c r="G1072" s="10"/>
      <c r="H1072" s="11" t="n">
        <v>1505</v>
      </c>
      <c r="I1072" s="12" t="s">
        <v>20</v>
      </c>
      <c r="J1072" s="12" t="s">
        <v>51</v>
      </c>
      <c r="K1072" s="12"/>
      <c r="L1072" s="9" t="n">
        <f aca="false">L1071+H1072</f>
        <v>29019.68</v>
      </c>
      <c r="M1072" s="10" t="str">
        <f aca="false">VLOOKUP(J1072,RECATALOGANDO!A:C,2,0)</f>
        <v>VENTA DE ALIMENTO</v>
      </c>
      <c r="N1072" s="12" t="str">
        <f aca="false">VLOOKUP(M1072,RECATALOGANDO!B:C,2,0)</f>
        <v>VENTA DE PRODUCTO</v>
      </c>
      <c r="O1072" s="2" t="s">
        <v>78</v>
      </c>
    </row>
    <row r="1073" customFormat="false" ht="13.8" hidden="false" customHeight="false" outlineLevel="0" collapsed="false">
      <c r="A1073" s="8" t="n">
        <v>45544</v>
      </c>
      <c r="B1073" s="9" t="n">
        <f aca="false">DAY(A1073)</f>
        <v>9</v>
      </c>
      <c r="C1073" s="9" t="n">
        <f aca="false">MONTH(A1073)</f>
        <v>9</v>
      </c>
      <c r="D1073" s="9" t="n">
        <f aca="false">YEAR(A1073)</f>
        <v>2024</v>
      </c>
      <c r="E1073" s="9" t="n">
        <f aca="false">WEEKDAY(A1073,2)</f>
        <v>1</v>
      </c>
      <c r="F1073" s="10" t="n">
        <f aca="false">WEEKNUM(A1073,2) - WEEKNUM(DATE(YEAR(A1073),MONTH(A1073),1),2) + 1</f>
        <v>3</v>
      </c>
      <c r="G1073" s="10"/>
      <c r="H1073" s="11" t="n">
        <v>1664</v>
      </c>
      <c r="I1073" s="12" t="s">
        <v>20</v>
      </c>
      <c r="J1073" s="12" t="s">
        <v>45</v>
      </c>
      <c r="K1073" s="12"/>
      <c r="L1073" s="9" t="n">
        <f aca="false">L1072+H1073</f>
        <v>30683.68</v>
      </c>
      <c r="M1073" s="10" t="str">
        <f aca="false">VLOOKUP(J1073,RECATALOGANDO!A:C,2,0)</f>
        <v>VENTA DE MEDICAMENTO</v>
      </c>
      <c r="N1073" s="12" t="str">
        <f aca="false">VLOOKUP(M1073,RECATALOGANDO!B:C,2,0)</f>
        <v>VENTA DE PRODUCTO</v>
      </c>
      <c r="O1073" s="2" t="s">
        <v>78</v>
      </c>
    </row>
    <row r="1074" customFormat="false" ht="13.8" hidden="false" customHeight="false" outlineLevel="0" collapsed="false">
      <c r="A1074" s="8" t="n">
        <v>45544</v>
      </c>
      <c r="B1074" s="9" t="n">
        <f aca="false">DAY(A1074)</f>
        <v>9</v>
      </c>
      <c r="C1074" s="9" t="n">
        <f aca="false">MONTH(A1074)</f>
        <v>9</v>
      </c>
      <c r="D1074" s="9" t="n">
        <f aca="false">YEAR(A1074)</f>
        <v>2024</v>
      </c>
      <c r="E1074" s="9" t="n">
        <f aca="false">WEEKDAY(A1074,2)</f>
        <v>1</v>
      </c>
      <c r="F1074" s="10" t="n">
        <f aca="false">WEEKNUM(A1074,2) - WEEKNUM(DATE(YEAR(A1074),MONTH(A1074),1),2) + 1</f>
        <v>3</v>
      </c>
      <c r="G1074" s="10"/>
      <c r="H1074" s="11" t="n">
        <v>350</v>
      </c>
      <c r="I1074" s="12" t="s">
        <v>15</v>
      </c>
      <c r="J1074" s="12" t="s">
        <v>49</v>
      </c>
      <c r="K1074" s="12"/>
      <c r="L1074" s="9" t="n">
        <f aca="false">L1073+H1074</f>
        <v>31033.68</v>
      </c>
      <c r="M1074" s="10" t="str">
        <f aca="false">VLOOKUP(J1074,RECATALOGANDO!A:C,2,0)</f>
        <v>SERVICIO DE GROOMING</v>
      </c>
      <c r="N1074" s="12" t="str">
        <f aca="false">VLOOKUP(M1074,RECATALOGANDO!B:C,2,0)</f>
        <v>VENTA DE SERVICIO</v>
      </c>
      <c r="O1074" s="2" t="s">
        <v>78</v>
      </c>
    </row>
    <row r="1075" customFormat="false" ht="13.8" hidden="false" customHeight="false" outlineLevel="0" collapsed="false">
      <c r="A1075" s="8" t="n">
        <v>45544</v>
      </c>
      <c r="B1075" s="9" t="n">
        <f aca="false">DAY(A1075)</f>
        <v>9</v>
      </c>
      <c r="C1075" s="9" t="n">
        <f aca="false">MONTH(A1075)</f>
        <v>9</v>
      </c>
      <c r="D1075" s="9" t="n">
        <f aca="false">YEAR(A1075)</f>
        <v>2024</v>
      </c>
      <c r="E1075" s="9" t="n">
        <f aca="false">WEEKDAY(A1075,2)</f>
        <v>1</v>
      </c>
      <c r="F1075" s="10" t="n">
        <f aca="false">WEEKNUM(A1075,2) - WEEKNUM(DATE(YEAR(A1075),MONTH(A1075),1),2) + 1</f>
        <v>3</v>
      </c>
      <c r="G1075" s="10"/>
      <c r="H1075" s="11" t="n">
        <v>4940</v>
      </c>
      <c r="I1075" s="12" t="s">
        <v>20</v>
      </c>
      <c r="J1075" s="12" t="s">
        <v>54</v>
      </c>
      <c r="K1075" s="12"/>
      <c r="L1075" s="9" t="n">
        <f aca="false">L1074+H1075</f>
        <v>35973.68</v>
      </c>
      <c r="M1075" s="10" t="str">
        <f aca="false">VLOOKUP(J1075,RECATALOGANDO!A:C,2,0)</f>
        <v>SERVICIO DE LABORATORIO</v>
      </c>
      <c r="N1075" s="12" t="str">
        <f aca="false">VLOOKUP(M1075,RECATALOGANDO!B:C,2,0)</f>
        <v>VENTA DE SERVICIO</v>
      </c>
      <c r="O1075" s="2" t="s">
        <v>78</v>
      </c>
    </row>
    <row r="1076" customFormat="false" ht="13.8" hidden="false" customHeight="false" outlineLevel="0" collapsed="false">
      <c r="A1076" s="8" t="n">
        <v>45545</v>
      </c>
      <c r="B1076" s="9" t="n">
        <f aca="false">DAY(A1076)</f>
        <v>10</v>
      </c>
      <c r="C1076" s="9" t="n">
        <f aca="false">MONTH(A1076)</f>
        <v>9</v>
      </c>
      <c r="D1076" s="9" t="n">
        <f aca="false">YEAR(A1076)</f>
        <v>2024</v>
      </c>
      <c r="E1076" s="9" t="n">
        <f aca="false">WEEKDAY(A1076,2)</f>
        <v>2</v>
      </c>
      <c r="F1076" s="10" t="n">
        <f aca="false">WEEKNUM(A1076,2) - WEEKNUM(DATE(YEAR(A1076),MONTH(A1076),1),2) + 1</f>
        <v>3</v>
      </c>
      <c r="G1076" s="10"/>
      <c r="H1076" s="11" t="n">
        <v>2019</v>
      </c>
      <c r="I1076" s="12" t="s">
        <v>20</v>
      </c>
      <c r="J1076" s="12" t="s">
        <v>51</v>
      </c>
      <c r="K1076" s="12"/>
      <c r="L1076" s="9" t="n">
        <f aca="false">L1075+H1076</f>
        <v>37992.68</v>
      </c>
      <c r="M1076" s="10" t="str">
        <f aca="false">VLOOKUP(J1076,RECATALOGANDO!A:C,2,0)</f>
        <v>VENTA DE ALIMENTO</v>
      </c>
      <c r="N1076" s="12" t="str">
        <f aca="false">VLOOKUP(M1076,RECATALOGANDO!B:C,2,0)</f>
        <v>VENTA DE PRODUCTO</v>
      </c>
      <c r="O1076" s="2" t="s">
        <v>78</v>
      </c>
    </row>
    <row r="1077" customFormat="false" ht="13.8" hidden="false" customHeight="false" outlineLevel="0" collapsed="false">
      <c r="A1077" s="8" t="n">
        <v>45545</v>
      </c>
      <c r="B1077" s="9" t="n">
        <f aca="false">DAY(A1077)</f>
        <v>10</v>
      </c>
      <c r="C1077" s="9" t="n">
        <f aca="false">MONTH(A1077)</f>
        <v>9</v>
      </c>
      <c r="D1077" s="9" t="n">
        <f aca="false">YEAR(A1077)</f>
        <v>2024</v>
      </c>
      <c r="E1077" s="9" t="n">
        <f aca="false">WEEKDAY(A1077,2)</f>
        <v>2</v>
      </c>
      <c r="F1077" s="10" t="n">
        <f aca="false">WEEKNUM(A1077,2) - WEEKNUM(DATE(YEAR(A1077),MONTH(A1077),1),2) + 1</f>
        <v>3</v>
      </c>
      <c r="G1077" s="10"/>
      <c r="H1077" s="11" t="n">
        <v>3573.28</v>
      </c>
      <c r="I1077" s="12" t="s">
        <v>15</v>
      </c>
      <c r="J1077" s="12" t="s">
        <v>45</v>
      </c>
      <c r="K1077" s="12"/>
      <c r="L1077" s="9" t="n">
        <f aca="false">L1076+H1077</f>
        <v>41565.96</v>
      </c>
      <c r="M1077" s="10" t="str">
        <f aca="false">VLOOKUP(J1077,RECATALOGANDO!A:C,2,0)</f>
        <v>VENTA DE MEDICAMENTO</v>
      </c>
      <c r="N1077" s="12" t="str">
        <f aca="false">VLOOKUP(M1077,RECATALOGANDO!B:C,2,0)</f>
        <v>VENTA DE PRODUCTO</v>
      </c>
      <c r="O1077" s="2" t="s">
        <v>78</v>
      </c>
    </row>
    <row r="1078" customFormat="false" ht="13.8" hidden="false" customHeight="false" outlineLevel="0" collapsed="false">
      <c r="A1078" s="8" t="n">
        <v>45546</v>
      </c>
      <c r="B1078" s="9" t="n">
        <f aca="false">DAY(A1078)</f>
        <v>11</v>
      </c>
      <c r="C1078" s="9" t="n">
        <f aca="false">MONTH(A1078)</f>
        <v>9</v>
      </c>
      <c r="D1078" s="9" t="n">
        <f aca="false">YEAR(A1078)</f>
        <v>2024</v>
      </c>
      <c r="E1078" s="9" t="n">
        <f aca="false">WEEKDAY(A1078,2)</f>
        <v>3</v>
      </c>
      <c r="F1078" s="10" t="n">
        <f aca="false">WEEKNUM(A1078,2) - WEEKNUM(DATE(YEAR(A1078),MONTH(A1078),1),2) + 1</f>
        <v>3</v>
      </c>
      <c r="G1078" s="10"/>
      <c r="H1078" s="11" t="n">
        <v>237.64</v>
      </c>
      <c r="I1078" s="12" t="s">
        <v>15</v>
      </c>
      <c r="J1078" s="12" t="s">
        <v>49</v>
      </c>
      <c r="K1078" s="12"/>
      <c r="L1078" s="9" t="n">
        <f aca="false">L1077+H1078</f>
        <v>41803.6</v>
      </c>
      <c r="M1078" s="10" t="str">
        <f aca="false">VLOOKUP(J1078,RECATALOGANDO!A:C,2,0)</f>
        <v>SERVICIO DE GROOMING</v>
      </c>
      <c r="N1078" s="12" t="str">
        <f aca="false">VLOOKUP(M1078,RECATALOGANDO!B:C,2,0)</f>
        <v>VENTA DE SERVICIO</v>
      </c>
      <c r="O1078" s="2" t="s">
        <v>78</v>
      </c>
    </row>
    <row r="1079" customFormat="false" ht="13.8" hidden="false" customHeight="false" outlineLevel="0" collapsed="false">
      <c r="A1079" s="8" t="n">
        <v>45546</v>
      </c>
      <c r="B1079" s="9" t="n">
        <f aca="false">DAY(A1079)</f>
        <v>11</v>
      </c>
      <c r="C1079" s="9" t="n">
        <f aca="false">MONTH(A1079)</f>
        <v>9</v>
      </c>
      <c r="D1079" s="9" t="n">
        <f aca="false">YEAR(A1079)</f>
        <v>2024</v>
      </c>
      <c r="E1079" s="9" t="n">
        <f aca="false">WEEKDAY(A1079,2)</f>
        <v>3</v>
      </c>
      <c r="F1079" s="10" t="n">
        <f aca="false">WEEKNUM(A1079,2) - WEEKNUM(DATE(YEAR(A1079),MONTH(A1079),1),2) + 1</f>
        <v>3</v>
      </c>
      <c r="G1079" s="10"/>
      <c r="H1079" s="11" t="n">
        <v>4296</v>
      </c>
      <c r="I1079" s="12" t="s">
        <v>20</v>
      </c>
      <c r="J1079" s="12" t="s">
        <v>54</v>
      </c>
      <c r="K1079" s="12"/>
      <c r="L1079" s="9" t="n">
        <f aca="false">L1078+H1079</f>
        <v>46099.6</v>
      </c>
      <c r="M1079" s="10" t="str">
        <f aca="false">VLOOKUP(J1079,RECATALOGANDO!A:C,2,0)</f>
        <v>SERVICIO DE LABORATORIO</v>
      </c>
      <c r="N1079" s="12" t="str">
        <f aca="false">VLOOKUP(M1079,RECATALOGANDO!B:C,2,0)</f>
        <v>VENTA DE SERVICIO</v>
      </c>
      <c r="O1079" s="2" t="s">
        <v>78</v>
      </c>
    </row>
    <row r="1080" customFormat="false" ht="13.8" hidden="false" customHeight="false" outlineLevel="0" collapsed="false">
      <c r="A1080" s="8" t="n">
        <v>45547</v>
      </c>
      <c r="B1080" s="9" t="n">
        <f aca="false">DAY(A1080)</f>
        <v>12</v>
      </c>
      <c r="C1080" s="9" t="n">
        <f aca="false">MONTH(A1080)</f>
        <v>9</v>
      </c>
      <c r="D1080" s="9" t="n">
        <f aca="false">YEAR(A1080)</f>
        <v>2024</v>
      </c>
      <c r="E1080" s="9" t="n">
        <f aca="false">WEEKDAY(A1080,2)</f>
        <v>4</v>
      </c>
      <c r="F1080" s="10" t="n">
        <f aca="false">WEEKNUM(A1080,2) - WEEKNUM(DATE(YEAR(A1080),MONTH(A1080),1),2) + 1</f>
        <v>3</v>
      </c>
      <c r="G1080" s="10"/>
      <c r="H1080" s="11" t="n">
        <v>260</v>
      </c>
      <c r="I1080" s="12" t="s">
        <v>20</v>
      </c>
      <c r="J1080" s="12" t="s">
        <v>45</v>
      </c>
      <c r="K1080" s="12"/>
      <c r="L1080" s="9" t="n">
        <f aca="false">L1079+H1080</f>
        <v>46359.6</v>
      </c>
      <c r="M1080" s="10" t="str">
        <f aca="false">VLOOKUP(J1080,RECATALOGANDO!A:C,2,0)</f>
        <v>VENTA DE MEDICAMENTO</v>
      </c>
      <c r="N1080" s="12" t="str">
        <f aca="false">VLOOKUP(M1080,RECATALOGANDO!B:C,2,0)</f>
        <v>VENTA DE PRODUCTO</v>
      </c>
      <c r="O1080" s="2" t="s">
        <v>78</v>
      </c>
    </row>
    <row r="1081" customFormat="false" ht="13.8" hidden="false" customHeight="false" outlineLevel="0" collapsed="false">
      <c r="A1081" s="8" t="n">
        <v>45547</v>
      </c>
      <c r="B1081" s="9" t="n">
        <f aca="false">DAY(A1081)</f>
        <v>12</v>
      </c>
      <c r="C1081" s="9" t="n">
        <f aca="false">MONTH(A1081)</f>
        <v>9</v>
      </c>
      <c r="D1081" s="9" t="n">
        <f aca="false">YEAR(A1081)</f>
        <v>2024</v>
      </c>
      <c r="E1081" s="9" t="n">
        <f aca="false">WEEKDAY(A1081,2)</f>
        <v>4</v>
      </c>
      <c r="F1081" s="10" t="n">
        <f aca="false">WEEKNUM(A1081,2) - WEEKNUM(DATE(YEAR(A1081),MONTH(A1081),1),2) + 1</f>
        <v>3</v>
      </c>
      <c r="G1081" s="10"/>
      <c r="H1081" s="11" t="n">
        <v>280</v>
      </c>
      <c r="I1081" s="12" t="s">
        <v>20</v>
      </c>
      <c r="J1081" s="12" t="s">
        <v>45</v>
      </c>
      <c r="K1081" s="12"/>
      <c r="L1081" s="9" t="n">
        <f aca="false">L1080+H1081</f>
        <v>46639.6</v>
      </c>
      <c r="M1081" s="10" t="str">
        <f aca="false">VLOOKUP(J1081,RECATALOGANDO!A:C,2,0)</f>
        <v>VENTA DE MEDICAMENTO</v>
      </c>
      <c r="N1081" s="12" t="str">
        <f aca="false">VLOOKUP(M1081,RECATALOGANDO!B:C,2,0)</f>
        <v>VENTA DE PRODUCTO</v>
      </c>
      <c r="O1081" s="2" t="s">
        <v>78</v>
      </c>
    </row>
    <row r="1082" customFormat="false" ht="13.8" hidden="false" customHeight="false" outlineLevel="0" collapsed="false">
      <c r="A1082" s="8" t="n">
        <v>45547</v>
      </c>
      <c r="B1082" s="9" t="n">
        <f aca="false">DAY(A1082)</f>
        <v>12</v>
      </c>
      <c r="C1082" s="9" t="n">
        <f aca="false">MONTH(A1082)</f>
        <v>9</v>
      </c>
      <c r="D1082" s="9" t="n">
        <f aca="false">YEAR(A1082)</f>
        <v>2024</v>
      </c>
      <c r="E1082" s="9" t="n">
        <f aca="false">WEEKDAY(A1082,2)</f>
        <v>4</v>
      </c>
      <c r="F1082" s="10" t="n">
        <f aca="false">WEEKNUM(A1082,2) - WEEKNUM(DATE(YEAR(A1082),MONTH(A1082),1),2) + 1</f>
        <v>3</v>
      </c>
      <c r="G1082" s="10"/>
      <c r="H1082" s="11" t="n">
        <v>1750</v>
      </c>
      <c r="I1082" s="12" t="s">
        <v>20</v>
      </c>
      <c r="J1082" s="12" t="s">
        <v>51</v>
      </c>
      <c r="K1082" s="12"/>
      <c r="L1082" s="9" t="n">
        <f aca="false">L1081+H1082</f>
        <v>48389.6</v>
      </c>
      <c r="M1082" s="10" t="str">
        <f aca="false">VLOOKUP(J1082,RECATALOGANDO!A:C,2,0)</f>
        <v>VENTA DE ALIMENTO</v>
      </c>
      <c r="N1082" s="12" t="str">
        <f aca="false">VLOOKUP(M1082,RECATALOGANDO!B:C,2,0)</f>
        <v>VENTA DE PRODUCTO</v>
      </c>
      <c r="O1082" s="2" t="s">
        <v>78</v>
      </c>
    </row>
    <row r="1083" customFormat="false" ht="13.8" hidden="false" customHeight="false" outlineLevel="0" collapsed="false">
      <c r="A1083" s="8" t="n">
        <v>45547</v>
      </c>
      <c r="B1083" s="9" t="n">
        <f aca="false">DAY(A1083)</f>
        <v>12</v>
      </c>
      <c r="C1083" s="9" t="n">
        <f aca="false">MONTH(A1083)</f>
        <v>9</v>
      </c>
      <c r="D1083" s="9" t="n">
        <f aca="false">YEAR(A1083)</f>
        <v>2024</v>
      </c>
      <c r="E1083" s="9" t="n">
        <f aca="false">WEEKDAY(A1083,2)</f>
        <v>4</v>
      </c>
      <c r="F1083" s="10" t="n">
        <f aca="false">WEEKNUM(A1083,2) - WEEKNUM(DATE(YEAR(A1083),MONTH(A1083),1),2) + 1</f>
        <v>3</v>
      </c>
      <c r="G1083" s="10"/>
      <c r="H1083" s="11" t="n">
        <v>2600</v>
      </c>
      <c r="I1083" s="12" t="s">
        <v>20</v>
      </c>
      <c r="J1083" s="12" t="s">
        <v>57</v>
      </c>
      <c r="K1083" s="12"/>
      <c r="L1083" s="9" t="n">
        <f aca="false">L1082+H1083</f>
        <v>50989.6</v>
      </c>
      <c r="M1083" s="10" t="str">
        <f aca="false">VLOOKUP(J1083,RECATALOGANDO!A:C,2,0)</f>
        <v>SERVICIO DE CREMACION</v>
      </c>
      <c r="N1083" s="12" t="str">
        <f aca="false">VLOOKUP(M1083,RECATALOGANDO!B:C,2,0)</f>
        <v>VENTA DE SERVICIO</v>
      </c>
      <c r="O1083" s="2" t="s">
        <v>78</v>
      </c>
    </row>
    <row r="1084" customFormat="false" ht="13.8" hidden="false" customHeight="false" outlineLevel="0" collapsed="false">
      <c r="A1084" s="8" t="n">
        <v>45548</v>
      </c>
      <c r="B1084" s="9" t="n">
        <f aca="false">DAY(A1084)</f>
        <v>13</v>
      </c>
      <c r="C1084" s="9" t="n">
        <f aca="false">MONTH(A1084)</f>
        <v>9</v>
      </c>
      <c r="D1084" s="9" t="n">
        <f aca="false">YEAR(A1084)</f>
        <v>2024</v>
      </c>
      <c r="E1084" s="9" t="n">
        <f aca="false">WEEKDAY(A1084,2)</f>
        <v>5</v>
      </c>
      <c r="F1084" s="10" t="n">
        <f aca="false">WEEKNUM(A1084,2) - WEEKNUM(DATE(YEAR(A1084),MONTH(A1084),1),2) + 1</f>
        <v>3</v>
      </c>
      <c r="G1084" s="10" t="n">
        <v>1</v>
      </c>
      <c r="H1084" s="11" t="n">
        <v>1200</v>
      </c>
      <c r="I1084" s="12" t="s">
        <v>20</v>
      </c>
      <c r="J1084" s="12" t="s">
        <v>64</v>
      </c>
      <c r="K1084" s="12"/>
      <c r="L1084" s="9" t="n">
        <f aca="false">L1083+H1084</f>
        <v>52189.6</v>
      </c>
      <c r="M1084" s="10" t="str">
        <f aca="false">VLOOKUP(J1084,RECATALOGANDO!A:C,2,0)</f>
        <v>HONORARIOS QUIRURGICOS</v>
      </c>
      <c r="N1084" s="12" t="str">
        <f aca="false">VLOOKUP(M1084,RECATALOGANDO!B:C,2,0)</f>
        <v>VENTA DE SERVICIO</v>
      </c>
      <c r="O1084" s="2" t="s">
        <v>78</v>
      </c>
    </row>
    <row r="1085" customFormat="false" ht="13.8" hidden="false" customHeight="false" outlineLevel="0" collapsed="false">
      <c r="A1085" s="8" t="n">
        <v>45548</v>
      </c>
      <c r="B1085" s="9" t="n">
        <f aca="false">DAY(A1085)</f>
        <v>13</v>
      </c>
      <c r="C1085" s="9" t="n">
        <f aca="false">MONTH(A1085)</f>
        <v>9</v>
      </c>
      <c r="D1085" s="9" t="n">
        <f aca="false">YEAR(A1085)</f>
        <v>2024</v>
      </c>
      <c r="E1085" s="9" t="n">
        <f aca="false">WEEKDAY(A1085,2)</f>
        <v>5</v>
      </c>
      <c r="F1085" s="10" t="n">
        <f aca="false">WEEKNUM(A1085,2) - WEEKNUM(DATE(YEAR(A1085),MONTH(A1085),1),2) + 1</f>
        <v>3</v>
      </c>
      <c r="G1085" s="10" t="n">
        <v>1</v>
      </c>
      <c r="H1085" s="11" t="n">
        <v>4150</v>
      </c>
      <c r="I1085" s="12" t="s">
        <v>20</v>
      </c>
      <c r="J1085" s="12" t="s">
        <v>54</v>
      </c>
      <c r="K1085" s="12"/>
      <c r="L1085" s="9" t="n">
        <f aca="false">L1084+H1085</f>
        <v>56339.6</v>
      </c>
      <c r="M1085" s="10" t="str">
        <f aca="false">VLOOKUP(J1085,RECATALOGANDO!A:C,2,0)</f>
        <v>SERVICIO DE LABORATORIO</v>
      </c>
      <c r="N1085" s="12" t="str">
        <f aca="false">VLOOKUP(M1085,RECATALOGANDO!B:C,2,0)</f>
        <v>VENTA DE SERVICIO</v>
      </c>
      <c r="O1085" s="2" t="s">
        <v>78</v>
      </c>
    </row>
    <row r="1086" customFormat="false" ht="13.8" hidden="false" customHeight="false" outlineLevel="0" collapsed="false">
      <c r="A1086" s="8" t="n">
        <v>45549</v>
      </c>
      <c r="B1086" s="9" t="n">
        <f aca="false">DAY(A1086)</f>
        <v>14</v>
      </c>
      <c r="C1086" s="9" t="n">
        <f aca="false">MONTH(A1086)</f>
        <v>9</v>
      </c>
      <c r="D1086" s="9" t="n">
        <f aca="false">YEAR(A1086)</f>
        <v>2024</v>
      </c>
      <c r="E1086" s="9" t="n">
        <f aca="false">WEEKDAY(A1086,2)</f>
        <v>6</v>
      </c>
      <c r="F1086" s="10" t="n">
        <f aca="false">WEEKNUM(A1086,2) - WEEKNUM(DATE(YEAR(A1086),MONTH(A1086),1),2) + 1</f>
        <v>3</v>
      </c>
      <c r="G1086" s="10"/>
      <c r="H1086" s="11" t="n">
        <v>1160.42</v>
      </c>
      <c r="I1086" s="12" t="s">
        <v>15</v>
      </c>
      <c r="J1086" s="12" t="s">
        <v>45</v>
      </c>
      <c r="K1086" s="12"/>
      <c r="L1086" s="9" t="n">
        <f aca="false">L1085+H1086</f>
        <v>57500.02</v>
      </c>
      <c r="M1086" s="10" t="str">
        <f aca="false">VLOOKUP(J1086,RECATALOGANDO!A:C,2,0)</f>
        <v>VENTA DE MEDICAMENTO</v>
      </c>
      <c r="N1086" s="12" t="str">
        <f aca="false">VLOOKUP(M1086,RECATALOGANDO!B:C,2,0)</f>
        <v>VENTA DE PRODUCTO</v>
      </c>
      <c r="O1086" s="2" t="s">
        <v>78</v>
      </c>
    </row>
    <row r="1087" customFormat="false" ht="13.8" hidden="false" customHeight="false" outlineLevel="0" collapsed="false">
      <c r="A1087" s="8" t="n">
        <v>45552</v>
      </c>
      <c r="B1087" s="9" t="n">
        <f aca="false">DAY(A1087)</f>
        <v>17</v>
      </c>
      <c r="C1087" s="9" t="n">
        <f aca="false">MONTH(A1087)</f>
        <v>9</v>
      </c>
      <c r="D1087" s="9" t="n">
        <f aca="false">YEAR(A1087)</f>
        <v>2024</v>
      </c>
      <c r="E1087" s="9" t="n">
        <f aca="false">WEEKDAY(A1087,2)</f>
        <v>2</v>
      </c>
      <c r="F1087" s="10" t="n">
        <f aca="false">WEEKNUM(A1087,2) - WEEKNUM(DATE(YEAR(A1087),MONTH(A1087),1),2) + 1</f>
        <v>4</v>
      </c>
      <c r="G1087" s="10"/>
      <c r="H1087" s="11" t="n">
        <v>540</v>
      </c>
      <c r="I1087" s="12" t="s">
        <v>20</v>
      </c>
      <c r="J1087" s="12" t="s">
        <v>45</v>
      </c>
      <c r="K1087" s="12"/>
      <c r="L1087" s="9" t="n">
        <f aca="false">L1086+H1087</f>
        <v>58040.02</v>
      </c>
      <c r="M1087" s="10" t="str">
        <f aca="false">VLOOKUP(J1087,RECATALOGANDO!A:C,2,0)</f>
        <v>VENTA DE MEDICAMENTO</v>
      </c>
      <c r="N1087" s="12" t="str">
        <f aca="false">VLOOKUP(M1087,RECATALOGANDO!B:C,2,0)</f>
        <v>VENTA DE PRODUCTO</v>
      </c>
      <c r="O1087" s="2" t="s">
        <v>78</v>
      </c>
    </row>
    <row r="1088" customFormat="false" ht="13.8" hidden="false" customHeight="false" outlineLevel="0" collapsed="false">
      <c r="A1088" s="8" t="n">
        <v>45552</v>
      </c>
      <c r="B1088" s="9" t="n">
        <f aca="false">DAY(A1088)</f>
        <v>17</v>
      </c>
      <c r="C1088" s="9" t="n">
        <f aca="false">MONTH(A1088)</f>
        <v>9</v>
      </c>
      <c r="D1088" s="9" t="n">
        <f aca="false">YEAR(A1088)</f>
        <v>2024</v>
      </c>
      <c r="E1088" s="9" t="n">
        <f aca="false">WEEKDAY(A1088,2)</f>
        <v>2</v>
      </c>
      <c r="F1088" s="10" t="n">
        <f aca="false">WEEKNUM(A1088,2) - WEEKNUM(DATE(YEAR(A1088),MONTH(A1088),1),2) + 1</f>
        <v>4</v>
      </c>
      <c r="G1088" s="10"/>
      <c r="H1088" s="11" t="n">
        <v>720</v>
      </c>
      <c r="I1088" s="12" t="s">
        <v>20</v>
      </c>
      <c r="J1088" s="12" t="s">
        <v>45</v>
      </c>
      <c r="K1088" s="12"/>
      <c r="L1088" s="9" t="n">
        <f aca="false">L1087+H1088</f>
        <v>58760.02</v>
      </c>
      <c r="M1088" s="10" t="str">
        <f aca="false">VLOOKUP(J1088,RECATALOGANDO!A:C,2,0)</f>
        <v>VENTA DE MEDICAMENTO</v>
      </c>
      <c r="N1088" s="12" t="str">
        <f aca="false">VLOOKUP(M1088,RECATALOGANDO!B:C,2,0)</f>
        <v>VENTA DE PRODUCTO</v>
      </c>
      <c r="O1088" s="2" t="s">
        <v>78</v>
      </c>
    </row>
    <row r="1089" customFormat="false" ht="13.8" hidden="false" customHeight="false" outlineLevel="0" collapsed="false">
      <c r="A1089" s="8" t="n">
        <v>45552</v>
      </c>
      <c r="B1089" s="9" t="n">
        <f aca="false">DAY(A1089)</f>
        <v>17</v>
      </c>
      <c r="C1089" s="9" t="n">
        <f aca="false">MONTH(A1089)</f>
        <v>9</v>
      </c>
      <c r="D1089" s="9" t="n">
        <f aca="false">YEAR(A1089)</f>
        <v>2024</v>
      </c>
      <c r="E1089" s="9" t="n">
        <f aca="false">WEEKDAY(A1089,2)</f>
        <v>2</v>
      </c>
      <c r="F1089" s="10" t="n">
        <f aca="false">WEEKNUM(A1089,2) - WEEKNUM(DATE(YEAR(A1089),MONTH(A1089),1),2) + 1</f>
        <v>4</v>
      </c>
      <c r="G1089" s="10"/>
      <c r="H1089" s="11" t="n">
        <v>2160</v>
      </c>
      <c r="I1089" s="12" t="s">
        <v>20</v>
      </c>
      <c r="J1089" s="12" t="s">
        <v>51</v>
      </c>
      <c r="K1089" s="12"/>
      <c r="L1089" s="9" t="n">
        <f aca="false">L1088+H1089</f>
        <v>60920.02</v>
      </c>
      <c r="M1089" s="10" t="str">
        <f aca="false">VLOOKUP(J1089,RECATALOGANDO!A:C,2,0)</f>
        <v>VENTA DE ALIMENTO</v>
      </c>
      <c r="N1089" s="12" t="str">
        <f aca="false">VLOOKUP(M1089,RECATALOGANDO!B:C,2,0)</f>
        <v>VENTA DE PRODUCTO</v>
      </c>
      <c r="O1089" s="2" t="s">
        <v>78</v>
      </c>
    </row>
    <row r="1090" customFormat="false" ht="13.8" hidden="false" customHeight="false" outlineLevel="0" collapsed="false">
      <c r="A1090" s="8" t="n">
        <v>45552</v>
      </c>
      <c r="B1090" s="9" t="n">
        <f aca="false">DAY(A1090)</f>
        <v>17</v>
      </c>
      <c r="C1090" s="9" t="n">
        <f aca="false">MONTH(A1090)</f>
        <v>9</v>
      </c>
      <c r="D1090" s="9" t="n">
        <f aca="false">YEAR(A1090)</f>
        <v>2024</v>
      </c>
      <c r="E1090" s="9" t="n">
        <f aca="false">WEEKDAY(A1090,2)</f>
        <v>2</v>
      </c>
      <c r="F1090" s="10" t="n">
        <f aca="false">WEEKNUM(A1090,2) - WEEKNUM(DATE(YEAR(A1090),MONTH(A1090),1),2) + 1</f>
        <v>4</v>
      </c>
      <c r="G1090" s="10"/>
      <c r="H1090" s="11" t="n">
        <v>110</v>
      </c>
      <c r="I1090" s="12" t="s">
        <v>20</v>
      </c>
      <c r="J1090" s="12" t="s">
        <v>49</v>
      </c>
      <c r="K1090" s="12"/>
      <c r="L1090" s="9" t="n">
        <f aca="false">L1089+H1090</f>
        <v>61030.02</v>
      </c>
      <c r="M1090" s="10" t="str">
        <f aca="false">VLOOKUP(J1090,RECATALOGANDO!A:C,2,0)</f>
        <v>SERVICIO DE GROOMING</v>
      </c>
      <c r="N1090" s="12" t="str">
        <f aca="false">VLOOKUP(M1090,RECATALOGANDO!B:C,2,0)</f>
        <v>VENTA DE SERVICIO</v>
      </c>
      <c r="O1090" s="2" t="s">
        <v>78</v>
      </c>
    </row>
    <row r="1091" customFormat="false" ht="13.8" hidden="false" customHeight="false" outlineLevel="0" collapsed="false">
      <c r="A1091" s="8" t="n">
        <v>45552</v>
      </c>
      <c r="B1091" s="9" t="n">
        <f aca="false">DAY(A1091)</f>
        <v>17</v>
      </c>
      <c r="C1091" s="9" t="n">
        <f aca="false">MONTH(A1091)</f>
        <v>9</v>
      </c>
      <c r="D1091" s="9" t="n">
        <f aca="false">YEAR(A1091)</f>
        <v>2024</v>
      </c>
      <c r="E1091" s="9" t="n">
        <f aca="false">WEEKDAY(A1091,2)</f>
        <v>2</v>
      </c>
      <c r="F1091" s="10" t="n">
        <f aca="false">WEEKNUM(A1091,2) - WEEKNUM(DATE(YEAR(A1091),MONTH(A1091),1),2) + 1</f>
        <v>4</v>
      </c>
      <c r="G1091" s="10"/>
      <c r="H1091" s="11" t="n">
        <v>185</v>
      </c>
      <c r="I1091" s="12" t="s">
        <v>20</v>
      </c>
      <c r="J1091" s="12" t="s">
        <v>49</v>
      </c>
      <c r="K1091" s="12"/>
      <c r="L1091" s="9" t="n">
        <f aca="false">L1090+H1091</f>
        <v>61215.02</v>
      </c>
      <c r="M1091" s="10" t="str">
        <f aca="false">VLOOKUP(J1091,RECATALOGANDO!A:C,2,0)</f>
        <v>SERVICIO DE GROOMING</v>
      </c>
      <c r="N1091" s="12" t="str">
        <f aca="false">VLOOKUP(M1091,RECATALOGANDO!B:C,2,0)</f>
        <v>VENTA DE SERVICIO</v>
      </c>
      <c r="O1091" s="2" t="s">
        <v>78</v>
      </c>
    </row>
    <row r="1092" customFormat="false" ht="13.8" hidden="false" customHeight="false" outlineLevel="0" collapsed="false">
      <c r="A1092" s="8" t="n">
        <v>45552</v>
      </c>
      <c r="B1092" s="9" t="n">
        <f aca="false">DAY(A1092)</f>
        <v>17</v>
      </c>
      <c r="C1092" s="9" t="n">
        <f aca="false">MONTH(A1092)</f>
        <v>9</v>
      </c>
      <c r="D1092" s="9" t="n">
        <f aca="false">YEAR(A1092)</f>
        <v>2024</v>
      </c>
      <c r="E1092" s="9" t="n">
        <f aca="false">WEEKDAY(A1092,2)</f>
        <v>2</v>
      </c>
      <c r="F1092" s="10" t="n">
        <f aca="false">WEEKNUM(A1092,2) - WEEKNUM(DATE(YEAR(A1092),MONTH(A1092),1),2) + 1</f>
        <v>4</v>
      </c>
      <c r="G1092" s="10"/>
      <c r="H1092" s="11" t="n">
        <v>200</v>
      </c>
      <c r="I1092" s="12" t="s">
        <v>20</v>
      </c>
      <c r="J1092" s="12" t="s">
        <v>49</v>
      </c>
      <c r="K1092" s="12"/>
      <c r="L1092" s="9" t="n">
        <f aca="false">L1091+H1092</f>
        <v>61415.02</v>
      </c>
      <c r="M1092" s="10" t="str">
        <f aca="false">VLOOKUP(J1092,RECATALOGANDO!A:C,2,0)</f>
        <v>SERVICIO DE GROOMING</v>
      </c>
      <c r="N1092" s="12" t="str">
        <f aca="false">VLOOKUP(M1092,RECATALOGANDO!B:C,2,0)</f>
        <v>VENTA DE SERVICIO</v>
      </c>
      <c r="O1092" s="2" t="s">
        <v>78</v>
      </c>
    </row>
    <row r="1093" customFormat="false" ht="13.8" hidden="false" customHeight="false" outlineLevel="0" collapsed="false">
      <c r="A1093" s="8" t="n">
        <v>45552</v>
      </c>
      <c r="B1093" s="9" t="n">
        <f aca="false">DAY(A1093)</f>
        <v>17</v>
      </c>
      <c r="C1093" s="9" t="n">
        <f aca="false">MONTH(A1093)</f>
        <v>9</v>
      </c>
      <c r="D1093" s="9" t="n">
        <f aca="false">YEAR(A1093)</f>
        <v>2024</v>
      </c>
      <c r="E1093" s="9" t="n">
        <f aca="false">WEEKDAY(A1093,2)</f>
        <v>2</v>
      </c>
      <c r="F1093" s="10" t="n">
        <f aca="false">WEEKNUM(A1093,2) - WEEKNUM(DATE(YEAR(A1093),MONTH(A1093),1),2) + 1</f>
        <v>4</v>
      </c>
      <c r="G1093" s="10"/>
      <c r="H1093" s="11" t="n">
        <v>230</v>
      </c>
      <c r="I1093" s="12" t="s">
        <v>20</v>
      </c>
      <c r="J1093" s="12" t="s">
        <v>49</v>
      </c>
      <c r="K1093" s="12"/>
      <c r="L1093" s="9" t="n">
        <f aca="false">L1092+H1093</f>
        <v>61645.02</v>
      </c>
      <c r="M1093" s="10" t="str">
        <f aca="false">VLOOKUP(J1093,RECATALOGANDO!A:C,2,0)</f>
        <v>SERVICIO DE GROOMING</v>
      </c>
      <c r="N1093" s="12" t="str">
        <f aca="false">VLOOKUP(M1093,RECATALOGANDO!B:C,2,0)</f>
        <v>VENTA DE SERVICIO</v>
      </c>
      <c r="O1093" s="2" t="s">
        <v>78</v>
      </c>
    </row>
    <row r="1094" customFormat="false" ht="13.8" hidden="false" customHeight="false" outlineLevel="0" collapsed="false">
      <c r="A1094" s="8" t="n">
        <v>45552</v>
      </c>
      <c r="B1094" s="9" t="n">
        <f aca="false">DAY(A1094)</f>
        <v>17</v>
      </c>
      <c r="C1094" s="9" t="n">
        <f aca="false">MONTH(A1094)</f>
        <v>9</v>
      </c>
      <c r="D1094" s="9" t="n">
        <f aca="false">YEAR(A1094)</f>
        <v>2024</v>
      </c>
      <c r="E1094" s="9" t="n">
        <f aca="false">WEEKDAY(A1094,2)</f>
        <v>2</v>
      </c>
      <c r="F1094" s="10" t="n">
        <f aca="false">WEEKNUM(A1094,2) - WEEKNUM(DATE(YEAR(A1094),MONTH(A1094),1),2) + 1</f>
        <v>4</v>
      </c>
      <c r="G1094" s="10"/>
      <c r="H1094" s="11" t="n">
        <v>280</v>
      </c>
      <c r="I1094" s="12" t="s">
        <v>20</v>
      </c>
      <c r="J1094" s="12" t="s">
        <v>49</v>
      </c>
      <c r="K1094" s="12"/>
      <c r="L1094" s="9" t="n">
        <f aca="false">L1093+H1094</f>
        <v>61925.02</v>
      </c>
      <c r="M1094" s="10" t="str">
        <f aca="false">VLOOKUP(J1094,RECATALOGANDO!A:C,2,0)</f>
        <v>SERVICIO DE GROOMING</v>
      </c>
      <c r="N1094" s="12" t="str">
        <f aca="false">VLOOKUP(M1094,RECATALOGANDO!B:C,2,0)</f>
        <v>VENTA DE SERVICIO</v>
      </c>
      <c r="O1094" s="2" t="s">
        <v>78</v>
      </c>
    </row>
    <row r="1095" customFormat="false" ht="13.8" hidden="false" customHeight="false" outlineLevel="0" collapsed="false">
      <c r="A1095" s="8" t="n">
        <v>45552</v>
      </c>
      <c r="B1095" s="9" t="n">
        <f aca="false">DAY(A1095)</f>
        <v>17</v>
      </c>
      <c r="C1095" s="9" t="n">
        <f aca="false">MONTH(A1095)</f>
        <v>9</v>
      </c>
      <c r="D1095" s="9" t="n">
        <f aca="false">YEAR(A1095)</f>
        <v>2024</v>
      </c>
      <c r="E1095" s="9" t="n">
        <f aca="false">WEEKDAY(A1095,2)</f>
        <v>2</v>
      </c>
      <c r="F1095" s="10" t="n">
        <f aca="false">WEEKNUM(A1095,2) - WEEKNUM(DATE(YEAR(A1095),MONTH(A1095),1),2) + 1</f>
        <v>4</v>
      </c>
      <c r="G1095" s="10"/>
      <c r="H1095" s="11" t="n">
        <v>1440</v>
      </c>
      <c r="I1095" s="12" t="s">
        <v>20</v>
      </c>
      <c r="J1095" s="12" t="s">
        <v>59</v>
      </c>
      <c r="K1095" s="12"/>
      <c r="L1095" s="9" t="n">
        <f aca="false">L1094+H1095</f>
        <v>63365.02</v>
      </c>
      <c r="M1095" s="10" t="str">
        <f aca="false">VLOOKUP(J1095,RECATALOGANDO!A:C,2,0)</f>
        <v>SERVICIO DE PENSION</v>
      </c>
      <c r="N1095" s="12" t="str">
        <f aca="false">VLOOKUP(M1095,RECATALOGANDO!B:C,2,0)</f>
        <v>VENTA DE SERVICIO</v>
      </c>
      <c r="O1095" s="2" t="s">
        <v>78</v>
      </c>
    </row>
    <row r="1096" customFormat="false" ht="13.8" hidden="false" customHeight="false" outlineLevel="0" collapsed="false">
      <c r="A1096" s="8" t="n">
        <v>45557</v>
      </c>
      <c r="B1096" s="9" t="n">
        <f aca="false">DAY(A1096)</f>
        <v>22</v>
      </c>
      <c r="C1096" s="9" t="n">
        <f aca="false">MONTH(A1096)</f>
        <v>9</v>
      </c>
      <c r="D1096" s="9" t="n">
        <f aca="false">YEAR(A1096)</f>
        <v>2024</v>
      </c>
      <c r="E1096" s="9" t="n">
        <f aca="false">WEEKDAY(A1096,2)</f>
        <v>7</v>
      </c>
      <c r="F1096" s="10" t="n">
        <f aca="false">WEEKNUM(A1096,2) - WEEKNUM(DATE(YEAR(A1096),MONTH(A1096),1),2) + 1</f>
        <v>4</v>
      </c>
      <c r="G1096" s="10"/>
      <c r="H1096" s="11" t="n">
        <v>2162.59</v>
      </c>
      <c r="I1096" s="12" t="s">
        <v>15</v>
      </c>
      <c r="J1096" s="12" t="s">
        <v>59</v>
      </c>
      <c r="K1096" s="12"/>
      <c r="L1096" s="9" t="n">
        <f aca="false">L1095+H1096</f>
        <v>65527.61</v>
      </c>
      <c r="M1096" s="10" t="str">
        <f aca="false">VLOOKUP(J1096,RECATALOGANDO!A:C,2,0)</f>
        <v>SERVICIO DE PENSION</v>
      </c>
      <c r="N1096" s="12" t="str">
        <f aca="false">VLOOKUP(M1096,RECATALOGANDO!B:C,2,0)</f>
        <v>VENTA DE SERVICIO</v>
      </c>
      <c r="O1096" s="2" t="s">
        <v>78</v>
      </c>
    </row>
    <row r="1097" customFormat="false" ht="13.8" hidden="false" customHeight="false" outlineLevel="0" collapsed="false">
      <c r="A1097" s="8" t="n">
        <v>45558</v>
      </c>
      <c r="B1097" s="9" t="n">
        <f aca="false">DAY(A1097)</f>
        <v>23</v>
      </c>
      <c r="C1097" s="9" t="n">
        <f aca="false">MONTH(A1097)</f>
        <v>9</v>
      </c>
      <c r="D1097" s="9" t="n">
        <f aca="false">YEAR(A1097)</f>
        <v>2024</v>
      </c>
      <c r="E1097" s="9" t="n">
        <f aca="false">WEEKDAY(A1097,2)</f>
        <v>1</v>
      </c>
      <c r="F1097" s="10" t="n">
        <f aca="false">WEEKNUM(A1097,2) - WEEKNUM(DATE(YEAR(A1097),MONTH(A1097),1),2) + 1</f>
        <v>5</v>
      </c>
      <c r="G1097" s="10"/>
      <c r="H1097" s="11" t="n">
        <v>630</v>
      </c>
      <c r="I1097" s="12" t="s">
        <v>20</v>
      </c>
      <c r="J1097" s="12" t="s">
        <v>45</v>
      </c>
      <c r="K1097" s="12"/>
      <c r="L1097" s="9" t="n">
        <f aca="false">L1096+H1097</f>
        <v>66157.61</v>
      </c>
      <c r="M1097" s="10" t="str">
        <f aca="false">VLOOKUP(J1097,RECATALOGANDO!A:C,2,0)</f>
        <v>VENTA DE MEDICAMENTO</v>
      </c>
      <c r="N1097" s="12" t="str">
        <f aca="false">VLOOKUP(M1097,RECATALOGANDO!B:C,2,0)</f>
        <v>VENTA DE PRODUCTO</v>
      </c>
      <c r="O1097" s="2" t="s">
        <v>78</v>
      </c>
    </row>
    <row r="1098" customFormat="false" ht="13.8" hidden="false" customHeight="false" outlineLevel="0" collapsed="false">
      <c r="A1098" s="8" t="n">
        <v>45559</v>
      </c>
      <c r="B1098" s="9" t="n">
        <f aca="false">DAY(A1098)</f>
        <v>24</v>
      </c>
      <c r="C1098" s="9" t="n">
        <f aca="false">MONTH(A1098)</f>
        <v>9</v>
      </c>
      <c r="D1098" s="9" t="n">
        <f aca="false">YEAR(A1098)</f>
        <v>2024</v>
      </c>
      <c r="E1098" s="9" t="n">
        <f aca="false">WEEKDAY(A1098,2)</f>
        <v>2</v>
      </c>
      <c r="F1098" s="10" t="n">
        <f aca="false">WEEKNUM(A1098,2) - WEEKNUM(DATE(YEAR(A1098),MONTH(A1098),1),2) + 1</f>
        <v>5</v>
      </c>
      <c r="G1098" s="10"/>
      <c r="H1098" s="11" t="n">
        <v>851</v>
      </c>
      <c r="I1098" s="12" t="s">
        <v>20</v>
      </c>
      <c r="J1098" s="12" t="s">
        <v>45</v>
      </c>
      <c r="K1098" s="12"/>
      <c r="L1098" s="9" t="n">
        <f aca="false">L1097+H1098</f>
        <v>67008.61</v>
      </c>
      <c r="M1098" s="10" t="str">
        <f aca="false">VLOOKUP(J1098,RECATALOGANDO!A:C,2,0)</f>
        <v>VENTA DE MEDICAMENTO</v>
      </c>
      <c r="N1098" s="12" t="str">
        <f aca="false">VLOOKUP(M1098,RECATALOGANDO!B:C,2,0)</f>
        <v>VENTA DE PRODUCTO</v>
      </c>
      <c r="O1098" s="2" t="s">
        <v>78</v>
      </c>
    </row>
    <row r="1099" customFormat="false" ht="13.8" hidden="false" customHeight="false" outlineLevel="0" collapsed="false">
      <c r="A1099" s="8" t="n">
        <v>45559</v>
      </c>
      <c r="B1099" s="9" t="n">
        <f aca="false">DAY(A1099)</f>
        <v>24</v>
      </c>
      <c r="C1099" s="9" t="n">
        <f aca="false">MONTH(A1099)</f>
        <v>9</v>
      </c>
      <c r="D1099" s="9" t="n">
        <f aca="false">YEAR(A1099)</f>
        <v>2024</v>
      </c>
      <c r="E1099" s="9" t="n">
        <f aca="false">WEEKDAY(A1099,2)</f>
        <v>2</v>
      </c>
      <c r="F1099" s="10" t="n">
        <f aca="false">WEEKNUM(A1099,2) - WEEKNUM(DATE(YEAR(A1099),MONTH(A1099),1),2) + 1</f>
        <v>5</v>
      </c>
      <c r="G1099" s="10"/>
      <c r="H1099" s="11" t="n">
        <v>1169</v>
      </c>
      <c r="I1099" s="12" t="s">
        <v>20</v>
      </c>
      <c r="J1099" s="12" t="s">
        <v>45</v>
      </c>
      <c r="K1099" s="12"/>
      <c r="L1099" s="9" t="n">
        <f aca="false">L1098+H1099</f>
        <v>68177.61</v>
      </c>
      <c r="M1099" s="10" t="str">
        <f aca="false">VLOOKUP(J1099,RECATALOGANDO!A:C,2,0)</f>
        <v>VENTA DE MEDICAMENTO</v>
      </c>
      <c r="N1099" s="12" t="str">
        <f aca="false">VLOOKUP(M1099,RECATALOGANDO!B:C,2,0)</f>
        <v>VENTA DE PRODUCTO</v>
      </c>
      <c r="O1099" s="2" t="s">
        <v>78</v>
      </c>
    </row>
    <row r="1100" customFormat="false" ht="13.8" hidden="false" customHeight="false" outlineLevel="0" collapsed="false">
      <c r="A1100" s="8" t="n">
        <v>45559</v>
      </c>
      <c r="B1100" s="9" t="n">
        <f aca="false">DAY(A1100)</f>
        <v>24</v>
      </c>
      <c r="C1100" s="9" t="n">
        <f aca="false">MONTH(A1100)</f>
        <v>9</v>
      </c>
      <c r="D1100" s="9" t="n">
        <f aca="false">YEAR(A1100)</f>
        <v>2024</v>
      </c>
      <c r="E1100" s="9" t="n">
        <f aca="false">WEEKDAY(A1100,2)</f>
        <v>2</v>
      </c>
      <c r="F1100" s="10" t="n">
        <f aca="false">WEEKNUM(A1100,2) - WEEKNUM(DATE(YEAR(A1100),MONTH(A1100),1),2) + 1</f>
        <v>5</v>
      </c>
      <c r="G1100" s="10"/>
      <c r="H1100" s="11" t="n">
        <v>1200</v>
      </c>
      <c r="I1100" s="12" t="s">
        <v>20</v>
      </c>
      <c r="J1100" s="12" t="s">
        <v>54</v>
      </c>
      <c r="K1100" s="12"/>
      <c r="L1100" s="9" t="n">
        <f aca="false">L1099+H1100</f>
        <v>69377.61</v>
      </c>
      <c r="M1100" s="10" t="str">
        <f aca="false">VLOOKUP(J1100,RECATALOGANDO!A:C,2,0)</f>
        <v>SERVICIO DE LABORATORIO</v>
      </c>
      <c r="N1100" s="12" t="str">
        <f aca="false">VLOOKUP(M1100,RECATALOGANDO!B:C,2,0)</f>
        <v>VENTA DE SERVICIO</v>
      </c>
      <c r="O1100" s="2" t="s">
        <v>78</v>
      </c>
    </row>
    <row r="1101" customFormat="false" ht="13.8" hidden="false" customHeight="false" outlineLevel="0" collapsed="false">
      <c r="A1101" s="8" t="n">
        <v>45560</v>
      </c>
      <c r="B1101" s="9" t="n">
        <f aca="false">DAY(A1101)</f>
        <v>25</v>
      </c>
      <c r="C1101" s="9" t="n">
        <f aca="false">MONTH(A1101)</f>
        <v>9</v>
      </c>
      <c r="D1101" s="9" t="n">
        <f aca="false">YEAR(A1101)</f>
        <v>2024</v>
      </c>
      <c r="E1101" s="9" t="n">
        <f aca="false">WEEKDAY(A1101,2)</f>
        <v>3</v>
      </c>
      <c r="F1101" s="10" t="n">
        <f aca="false">WEEKNUM(A1101,2) - WEEKNUM(DATE(YEAR(A1101),MONTH(A1101),1),2) + 1</f>
        <v>5</v>
      </c>
      <c r="G1101" s="10"/>
      <c r="H1101" s="11" t="n">
        <v>360</v>
      </c>
      <c r="I1101" s="12" t="s">
        <v>20</v>
      </c>
      <c r="J1101" s="12" t="s">
        <v>45</v>
      </c>
      <c r="K1101" s="12"/>
      <c r="L1101" s="9" t="n">
        <f aca="false">L1100+H1101</f>
        <v>69737.61</v>
      </c>
      <c r="M1101" s="10" t="str">
        <f aca="false">VLOOKUP(J1101,RECATALOGANDO!A:C,2,0)</f>
        <v>VENTA DE MEDICAMENTO</v>
      </c>
      <c r="N1101" s="12" t="str">
        <f aca="false">VLOOKUP(M1101,RECATALOGANDO!B:C,2,0)</f>
        <v>VENTA DE PRODUCTO</v>
      </c>
      <c r="O1101" s="2" t="s">
        <v>78</v>
      </c>
    </row>
    <row r="1102" customFormat="false" ht="13.8" hidden="false" customHeight="false" outlineLevel="0" collapsed="false">
      <c r="A1102" s="8" t="n">
        <v>45560</v>
      </c>
      <c r="B1102" s="9" t="n">
        <f aca="false">DAY(A1102)</f>
        <v>25</v>
      </c>
      <c r="C1102" s="9" t="n">
        <f aca="false">MONTH(A1102)</f>
        <v>9</v>
      </c>
      <c r="D1102" s="9" t="n">
        <f aca="false">YEAR(A1102)</f>
        <v>2024</v>
      </c>
      <c r="E1102" s="9" t="n">
        <f aca="false">WEEKDAY(A1102,2)</f>
        <v>3</v>
      </c>
      <c r="F1102" s="10" t="n">
        <f aca="false">WEEKNUM(A1102,2) - WEEKNUM(DATE(YEAR(A1102),MONTH(A1102),1),2) + 1</f>
        <v>5</v>
      </c>
      <c r="G1102" s="10"/>
      <c r="H1102" s="11" t="n">
        <v>575.97</v>
      </c>
      <c r="I1102" s="12" t="s">
        <v>15</v>
      </c>
      <c r="J1102" s="22" t="s">
        <v>51</v>
      </c>
      <c r="K1102" s="12"/>
      <c r="L1102" s="9" t="n">
        <f aca="false">L1101+H1102</f>
        <v>70313.58</v>
      </c>
      <c r="M1102" s="10" t="str">
        <f aca="false">VLOOKUP(J1102,RECATALOGANDO!A:C,2,0)</f>
        <v>VENTA DE ALIMENTO</v>
      </c>
      <c r="N1102" s="12" t="str">
        <f aca="false">VLOOKUP(M1102,RECATALOGANDO!B:C,2,0)</f>
        <v>VENTA DE PRODUCTO</v>
      </c>
      <c r="O1102" s="2" t="s">
        <v>78</v>
      </c>
    </row>
    <row r="1103" customFormat="false" ht="13.8" hidden="false" customHeight="false" outlineLevel="0" collapsed="false">
      <c r="A1103" s="8" t="n">
        <v>45560</v>
      </c>
      <c r="B1103" s="9" t="n">
        <f aca="false">DAY(A1103)</f>
        <v>25</v>
      </c>
      <c r="C1103" s="9" t="n">
        <f aca="false">MONTH(A1103)</f>
        <v>9</v>
      </c>
      <c r="D1103" s="9" t="n">
        <f aca="false">YEAR(A1103)</f>
        <v>2024</v>
      </c>
      <c r="E1103" s="9" t="n">
        <f aca="false">WEEKDAY(A1103,2)</f>
        <v>3</v>
      </c>
      <c r="F1103" s="10" t="n">
        <f aca="false">WEEKNUM(A1103,2) - WEEKNUM(DATE(YEAR(A1103),MONTH(A1103),1),2) + 1</f>
        <v>5</v>
      </c>
      <c r="G1103" s="10"/>
      <c r="H1103" s="11" t="n">
        <v>1230</v>
      </c>
      <c r="I1103" s="12" t="s">
        <v>15</v>
      </c>
      <c r="J1103" s="12" t="s">
        <v>51</v>
      </c>
      <c r="K1103" s="12"/>
      <c r="L1103" s="9" t="n">
        <f aca="false">L1102+H1103</f>
        <v>71543.58</v>
      </c>
      <c r="M1103" s="10" t="str">
        <f aca="false">VLOOKUP(J1103,RECATALOGANDO!A:C,2,0)</f>
        <v>VENTA DE ALIMENTO</v>
      </c>
      <c r="N1103" s="12" t="str">
        <f aca="false">VLOOKUP(M1103,RECATALOGANDO!B:C,2,0)</f>
        <v>VENTA DE PRODUCTO</v>
      </c>
      <c r="O1103" s="2" t="s">
        <v>78</v>
      </c>
    </row>
    <row r="1104" customFormat="false" ht="13.8" hidden="false" customHeight="false" outlineLevel="0" collapsed="false">
      <c r="A1104" s="8" t="n">
        <v>45560</v>
      </c>
      <c r="B1104" s="9" t="n">
        <f aca="false">DAY(A1104)</f>
        <v>25</v>
      </c>
      <c r="C1104" s="9" t="n">
        <f aca="false">MONTH(A1104)</f>
        <v>9</v>
      </c>
      <c r="D1104" s="9" t="n">
        <f aca="false">YEAR(A1104)</f>
        <v>2024</v>
      </c>
      <c r="E1104" s="9" t="n">
        <f aca="false">WEEKDAY(A1104,2)</f>
        <v>3</v>
      </c>
      <c r="F1104" s="10" t="n">
        <f aca="false">WEEKNUM(A1104,2) - WEEKNUM(DATE(YEAR(A1104),MONTH(A1104),1),2) + 1</f>
        <v>5</v>
      </c>
      <c r="G1104" s="10"/>
      <c r="H1104" s="11" t="n">
        <v>6710</v>
      </c>
      <c r="I1104" s="12" t="s">
        <v>15</v>
      </c>
      <c r="J1104" s="12" t="s">
        <v>64</v>
      </c>
      <c r="K1104" s="12"/>
      <c r="L1104" s="9" t="n">
        <f aca="false">L1103+H1104</f>
        <v>78253.58</v>
      </c>
      <c r="M1104" s="10" t="str">
        <f aca="false">VLOOKUP(J1104,RECATALOGANDO!A:C,2,0)</f>
        <v>HONORARIOS QUIRURGICOS</v>
      </c>
      <c r="N1104" s="12" t="str">
        <f aca="false">VLOOKUP(M1104,RECATALOGANDO!B:C,2,0)</f>
        <v>VENTA DE SERVICIO</v>
      </c>
      <c r="O1104" s="2" t="s">
        <v>78</v>
      </c>
    </row>
    <row r="1105" customFormat="false" ht="13.8" hidden="false" customHeight="false" outlineLevel="0" collapsed="false">
      <c r="A1105" s="8" t="n">
        <v>45561</v>
      </c>
      <c r="B1105" s="9" t="n">
        <f aca="false">DAY(A1105)</f>
        <v>26</v>
      </c>
      <c r="C1105" s="9" t="n">
        <f aca="false">MONTH(A1105)</f>
        <v>9</v>
      </c>
      <c r="D1105" s="9" t="n">
        <f aca="false">YEAR(A1105)</f>
        <v>2024</v>
      </c>
      <c r="E1105" s="9" t="n">
        <f aca="false">WEEKDAY(A1105,2)</f>
        <v>4</v>
      </c>
      <c r="F1105" s="10" t="n">
        <f aca="false">WEEKNUM(A1105,2) - WEEKNUM(DATE(YEAR(A1105),MONTH(A1105),1),2) + 1</f>
        <v>5</v>
      </c>
      <c r="G1105" s="10"/>
      <c r="H1105" s="11" t="n">
        <v>2280</v>
      </c>
      <c r="I1105" s="12" t="s">
        <v>20</v>
      </c>
      <c r="J1105" s="12" t="s">
        <v>51</v>
      </c>
      <c r="K1105" s="12"/>
      <c r="L1105" s="9" t="n">
        <f aca="false">L1104+H1105</f>
        <v>80533.58</v>
      </c>
      <c r="M1105" s="10" t="str">
        <f aca="false">VLOOKUP(J1105,RECATALOGANDO!A:C,2,0)</f>
        <v>VENTA DE ALIMENTO</v>
      </c>
      <c r="N1105" s="12" t="str">
        <f aca="false">VLOOKUP(M1105,RECATALOGANDO!B:C,2,0)</f>
        <v>VENTA DE PRODUCTO</v>
      </c>
      <c r="O1105" s="2" t="s">
        <v>78</v>
      </c>
    </row>
    <row r="1106" customFormat="false" ht="13.8" hidden="false" customHeight="false" outlineLevel="0" collapsed="false">
      <c r="A1106" s="8" t="n">
        <v>45563</v>
      </c>
      <c r="B1106" s="9" t="n">
        <f aca="false">DAY(A1106)</f>
        <v>28</v>
      </c>
      <c r="C1106" s="9" t="n">
        <f aca="false">MONTH(A1106)</f>
        <v>9</v>
      </c>
      <c r="D1106" s="9" t="n">
        <f aca="false">YEAR(A1106)</f>
        <v>2024</v>
      </c>
      <c r="E1106" s="9" t="n">
        <f aca="false">WEEKDAY(A1106,2)</f>
        <v>6</v>
      </c>
      <c r="F1106" s="10" t="n">
        <f aca="false">WEEKNUM(A1106,2) - WEEKNUM(DATE(YEAR(A1106),MONTH(A1106),1),2) + 1</f>
        <v>5</v>
      </c>
      <c r="G1106" s="10"/>
      <c r="H1106" s="11" t="n">
        <v>1865.7</v>
      </c>
      <c r="I1106" s="12" t="s">
        <v>15</v>
      </c>
      <c r="J1106" s="12" t="s">
        <v>51</v>
      </c>
      <c r="K1106" s="12"/>
      <c r="L1106" s="9" t="n">
        <f aca="false">L1105+H1106</f>
        <v>82399.28</v>
      </c>
      <c r="M1106" s="10" t="str">
        <f aca="false">VLOOKUP(J1106,RECATALOGANDO!A:C,2,0)</f>
        <v>VENTA DE ALIMENTO</v>
      </c>
      <c r="N1106" s="12" t="str">
        <f aca="false">VLOOKUP(M1106,RECATALOGANDO!B:C,2,0)</f>
        <v>VENTA DE PRODUCTO</v>
      </c>
      <c r="O1106" s="2" t="s">
        <v>78</v>
      </c>
    </row>
    <row r="1107" customFormat="false" ht="13.8" hidden="false" customHeight="false" outlineLevel="0" collapsed="false">
      <c r="A1107" s="8" t="n">
        <v>45564</v>
      </c>
      <c r="B1107" s="9" t="n">
        <f aca="false">DAY(A1107)</f>
        <v>29</v>
      </c>
      <c r="C1107" s="9" t="n">
        <f aca="false">MONTH(A1107)</f>
        <v>9</v>
      </c>
      <c r="D1107" s="9" t="n">
        <f aca="false">YEAR(A1107)</f>
        <v>2024</v>
      </c>
      <c r="E1107" s="9" t="n">
        <f aca="false">WEEKDAY(A1107,2)</f>
        <v>7</v>
      </c>
      <c r="F1107" s="10" t="n">
        <f aca="false">WEEKNUM(A1107,2) - WEEKNUM(DATE(YEAR(A1107),MONTH(A1107),1),2) + 1</f>
        <v>5</v>
      </c>
      <c r="G1107" s="10"/>
      <c r="H1107" s="11" t="n">
        <v>2333.32</v>
      </c>
      <c r="I1107" s="12" t="s">
        <v>15</v>
      </c>
      <c r="J1107" s="12" t="s">
        <v>54</v>
      </c>
      <c r="K1107" s="12"/>
      <c r="L1107" s="9" t="n">
        <f aca="false">L1106+H1107</f>
        <v>84732.6</v>
      </c>
      <c r="M1107" s="10" t="str">
        <f aca="false">VLOOKUP(J1107,RECATALOGANDO!A:C,2,0)</f>
        <v>SERVICIO DE LABORATORIO</v>
      </c>
      <c r="N1107" s="12" t="str">
        <f aca="false">VLOOKUP(M1107,RECATALOGANDO!B:C,2,0)</f>
        <v>VENTA DE SERVICIO</v>
      </c>
      <c r="O1107" s="2" t="s">
        <v>78</v>
      </c>
    </row>
    <row r="1108" customFormat="false" ht="13.8" hidden="false" customHeight="false" outlineLevel="0" collapsed="false">
      <c r="A1108" s="8" t="n">
        <v>45566</v>
      </c>
      <c r="B1108" s="9" t="n">
        <f aca="false">DAY(A1108)</f>
        <v>1</v>
      </c>
      <c r="C1108" s="9" t="n">
        <f aca="false">MONTH(A1108)</f>
        <v>10</v>
      </c>
      <c r="D1108" s="9" t="n">
        <f aca="false">YEAR(A1108)</f>
        <v>2024</v>
      </c>
      <c r="E1108" s="9" t="n">
        <f aca="false">WEEKDAY(A1108,2)</f>
        <v>2</v>
      </c>
      <c r="F1108" s="10" t="n">
        <f aca="false">WEEKNUM(A1108,2) - WEEKNUM(DATE(YEAR(A1108),MONTH(A1108),1),2) + 1</f>
        <v>1</v>
      </c>
      <c r="G1108" s="10"/>
      <c r="H1108" s="11" t="n">
        <v>6094</v>
      </c>
      <c r="I1108" s="12" t="s">
        <v>15</v>
      </c>
      <c r="J1108" s="12" t="s">
        <v>64</v>
      </c>
      <c r="K1108" s="12"/>
      <c r="L1108" s="9" t="n">
        <f aca="false">H1108</f>
        <v>6094</v>
      </c>
      <c r="M1108" s="10" t="str">
        <f aca="false">VLOOKUP(J1108,RECATALOGANDO!A:C,2,0)</f>
        <v>HONORARIOS QUIRURGICOS</v>
      </c>
      <c r="N1108" s="12" t="str">
        <f aca="false">VLOOKUP(M1108,RECATALOGANDO!B:C,2,0)</f>
        <v>VENTA DE SERVICIO</v>
      </c>
      <c r="O1108" s="2" t="s">
        <v>78</v>
      </c>
    </row>
    <row r="1109" customFormat="false" ht="13.8" hidden="false" customHeight="false" outlineLevel="0" collapsed="false">
      <c r="A1109" s="8" t="n">
        <v>45567</v>
      </c>
      <c r="B1109" s="9" t="n">
        <f aca="false">DAY(A1109)</f>
        <v>2</v>
      </c>
      <c r="C1109" s="9" t="n">
        <f aca="false">MONTH(A1109)</f>
        <v>10</v>
      </c>
      <c r="D1109" s="9" t="n">
        <f aca="false">YEAR(A1109)</f>
        <v>2024</v>
      </c>
      <c r="E1109" s="9" t="n">
        <f aca="false">WEEKDAY(A1109,2)</f>
        <v>3</v>
      </c>
      <c r="F1109" s="10" t="n">
        <f aca="false">WEEKNUM(A1109,2) - WEEKNUM(DATE(YEAR(A1109),MONTH(A1109),1),2) + 1</f>
        <v>1</v>
      </c>
      <c r="G1109" s="10"/>
      <c r="H1109" s="11" t="n">
        <v>3700</v>
      </c>
      <c r="I1109" s="12" t="s">
        <v>20</v>
      </c>
      <c r="J1109" s="12" t="s">
        <v>45</v>
      </c>
      <c r="K1109" s="12"/>
      <c r="L1109" s="9" t="n">
        <f aca="false">L1108+H1109</f>
        <v>9794</v>
      </c>
      <c r="M1109" s="10" t="str">
        <f aca="false">VLOOKUP(J1109,RECATALOGANDO!A:C,2,0)</f>
        <v>VENTA DE MEDICAMENTO</v>
      </c>
      <c r="N1109" s="12" t="str">
        <f aca="false">VLOOKUP(M1109,RECATALOGANDO!B:C,2,0)</f>
        <v>VENTA DE PRODUCTO</v>
      </c>
      <c r="O1109" s="2" t="s">
        <v>78</v>
      </c>
    </row>
    <row r="1110" customFormat="false" ht="13.8" hidden="false" customHeight="false" outlineLevel="0" collapsed="false">
      <c r="A1110" s="8" t="n">
        <v>45567</v>
      </c>
      <c r="B1110" s="9" t="n">
        <f aca="false">DAY(A1110)</f>
        <v>2</v>
      </c>
      <c r="C1110" s="9" t="n">
        <f aca="false">MONTH(A1110)</f>
        <v>10</v>
      </c>
      <c r="D1110" s="9" t="n">
        <f aca="false">YEAR(A1110)</f>
        <v>2024</v>
      </c>
      <c r="E1110" s="9" t="n">
        <f aca="false">WEEKDAY(A1110,2)</f>
        <v>3</v>
      </c>
      <c r="F1110" s="10" t="n">
        <f aca="false">WEEKNUM(A1110,2) - WEEKNUM(DATE(YEAR(A1110),MONTH(A1110),1),2) + 1</f>
        <v>1</v>
      </c>
      <c r="G1110" s="10"/>
      <c r="H1110" s="11" t="n">
        <v>379</v>
      </c>
      <c r="I1110" s="12" t="s">
        <v>20</v>
      </c>
      <c r="J1110" s="12" t="s">
        <v>49</v>
      </c>
      <c r="K1110" s="12"/>
      <c r="L1110" s="9" t="n">
        <f aca="false">L1109+H1110</f>
        <v>10173</v>
      </c>
      <c r="M1110" s="10" t="str">
        <f aca="false">VLOOKUP(J1110,RECATALOGANDO!A:C,2,0)</f>
        <v>SERVICIO DE GROOMING</v>
      </c>
      <c r="N1110" s="12" t="str">
        <f aca="false">VLOOKUP(M1110,RECATALOGANDO!B:C,2,0)</f>
        <v>VENTA DE SERVICIO</v>
      </c>
      <c r="O1110" s="2" t="s">
        <v>78</v>
      </c>
    </row>
    <row r="1111" customFormat="false" ht="13.8" hidden="false" customHeight="false" outlineLevel="0" collapsed="false">
      <c r="A1111" s="8" t="n">
        <v>45567</v>
      </c>
      <c r="B1111" s="9" t="n">
        <f aca="false">DAY(A1111)</f>
        <v>2</v>
      </c>
      <c r="C1111" s="9" t="n">
        <f aca="false">MONTH(A1111)</f>
        <v>10</v>
      </c>
      <c r="D1111" s="9" t="n">
        <f aca="false">YEAR(A1111)</f>
        <v>2024</v>
      </c>
      <c r="E1111" s="9" t="n">
        <f aca="false">WEEKDAY(A1111,2)</f>
        <v>3</v>
      </c>
      <c r="F1111" s="10" t="n">
        <f aca="false">WEEKNUM(A1111,2) - WEEKNUM(DATE(YEAR(A1111),MONTH(A1111),1),2) + 1</f>
        <v>1</v>
      </c>
      <c r="G1111" s="10"/>
      <c r="H1111" s="11" t="n">
        <v>435</v>
      </c>
      <c r="I1111" s="12" t="s">
        <v>20</v>
      </c>
      <c r="J1111" s="12" t="s">
        <v>44</v>
      </c>
      <c r="K1111" s="12"/>
      <c r="L1111" s="9" t="n">
        <f aca="false">L1110+H1111</f>
        <v>10608</v>
      </c>
      <c r="M1111" s="10" t="str">
        <f aca="false">VLOOKUP(J1111,RECATALOGANDO!A:C,2,0)</f>
        <v>HONORARIOS MEDICOS</v>
      </c>
      <c r="N1111" s="12" t="str">
        <f aca="false">VLOOKUP(M1111,RECATALOGANDO!B:C,2,0)</f>
        <v>VENTA DE SERVICIO</v>
      </c>
      <c r="O1111" s="2" t="s">
        <v>78</v>
      </c>
    </row>
    <row r="1112" customFormat="false" ht="13.8" hidden="false" customHeight="false" outlineLevel="0" collapsed="false">
      <c r="A1112" s="8" t="n">
        <v>45568</v>
      </c>
      <c r="B1112" s="9" t="n">
        <f aca="false">DAY(A1112)</f>
        <v>3</v>
      </c>
      <c r="C1112" s="9" t="n">
        <f aca="false">MONTH(A1112)</f>
        <v>10</v>
      </c>
      <c r="D1112" s="9" t="n">
        <f aca="false">YEAR(A1112)</f>
        <v>2024</v>
      </c>
      <c r="E1112" s="9" t="n">
        <f aca="false">WEEKDAY(A1112,2)</f>
        <v>4</v>
      </c>
      <c r="F1112" s="10" t="n">
        <f aca="false">WEEKNUM(A1112,2) - WEEKNUM(DATE(YEAR(A1112),MONTH(A1112),1),2) + 1</f>
        <v>1</v>
      </c>
      <c r="G1112" s="10"/>
      <c r="H1112" s="11" t="n">
        <v>1210</v>
      </c>
      <c r="I1112" s="12" t="s">
        <v>20</v>
      </c>
      <c r="J1112" s="12" t="s">
        <v>51</v>
      </c>
      <c r="K1112" s="12"/>
      <c r="L1112" s="9" t="n">
        <f aca="false">L1111+H1112</f>
        <v>11818</v>
      </c>
      <c r="M1112" s="10" t="str">
        <f aca="false">VLOOKUP(J1112,RECATALOGANDO!A:C,2,0)</f>
        <v>VENTA DE ALIMENTO</v>
      </c>
      <c r="N1112" s="12" t="str">
        <f aca="false">VLOOKUP(M1112,RECATALOGANDO!B:C,2,0)</f>
        <v>VENTA DE PRODUCTO</v>
      </c>
      <c r="O1112" s="2" t="s">
        <v>78</v>
      </c>
    </row>
    <row r="1113" customFormat="false" ht="13.8" hidden="false" customHeight="false" outlineLevel="0" collapsed="false">
      <c r="A1113" s="8" t="n">
        <v>45568</v>
      </c>
      <c r="B1113" s="9" t="n">
        <f aca="false">DAY(A1113)</f>
        <v>3</v>
      </c>
      <c r="C1113" s="9" t="n">
        <f aca="false">MONTH(A1113)</f>
        <v>10</v>
      </c>
      <c r="D1113" s="9" t="n">
        <f aca="false">YEAR(A1113)</f>
        <v>2024</v>
      </c>
      <c r="E1113" s="9" t="n">
        <f aca="false">WEEKDAY(A1113,2)</f>
        <v>4</v>
      </c>
      <c r="F1113" s="10" t="n">
        <f aca="false">WEEKNUM(A1113,2) - WEEKNUM(DATE(YEAR(A1113),MONTH(A1113),1),2) + 1</f>
        <v>1</v>
      </c>
      <c r="G1113" s="10"/>
      <c r="H1113" s="11" t="n">
        <v>1537.98</v>
      </c>
      <c r="I1113" s="12" t="s">
        <v>15</v>
      </c>
      <c r="J1113" s="12" t="s">
        <v>51</v>
      </c>
      <c r="K1113" s="12"/>
      <c r="L1113" s="9" t="n">
        <f aca="false">L1112+H1113</f>
        <v>13355.98</v>
      </c>
      <c r="M1113" s="10" t="str">
        <f aca="false">VLOOKUP(J1113,RECATALOGANDO!A:C,2,0)</f>
        <v>VENTA DE ALIMENTO</v>
      </c>
      <c r="N1113" s="12" t="str">
        <f aca="false">VLOOKUP(M1113,RECATALOGANDO!B:C,2,0)</f>
        <v>VENTA DE PRODUCTO</v>
      </c>
      <c r="O1113" s="2" t="s">
        <v>78</v>
      </c>
    </row>
    <row r="1114" customFormat="false" ht="13.8" hidden="false" customHeight="false" outlineLevel="0" collapsed="false">
      <c r="A1114" s="8" t="n">
        <v>45568</v>
      </c>
      <c r="B1114" s="9" t="n">
        <f aca="false">DAY(A1114)</f>
        <v>3</v>
      </c>
      <c r="C1114" s="9" t="n">
        <f aca="false">MONTH(A1114)</f>
        <v>10</v>
      </c>
      <c r="D1114" s="9" t="n">
        <f aca="false">YEAR(A1114)</f>
        <v>2024</v>
      </c>
      <c r="E1114" s="9" t="n">
        <f aca="false">WEEKDAY(A1114,2)</f>
        <v>4</v>
      </c>
      <c r="F1114" s="10" t="n">
        <f aca="false">WEEKNUM(A1114,2) - WEEKNUM(DATE(YEAR(A1114),MONTH(A1114),1),2) + 1</f>
        <v>1</v>
      </c>
      <c r="G1114" s="10"/>
      <c r="H1114" s="11" t="n">
        <v>1600</v>
      </c>
      <c r="I1114" s="12" t="s">
        <v>20</v>
      </c>
      <c r="J1114" s="12" t="s">
        <v>45</v>
      </c>
      <c r="K1114" s="12"/>
      <c r="L1114" s="9" t="n">
        <f aca="false">L1113+H1114</f>
        <v>14955.98</v>
      </c>
      <c r="M1114" s="10" t="str">
        <f aca="false">VLOOKUP(J1114,RECATALOGANDO!A:C,2,0)</f>
        <v>VENTA DE MEDICAMENTO</v>
      </c>
      <c r="N1114" s="12" t="str">
        <f aca="false">VLOOKUP(M1114,RECATALOGANDO!B:C,2,0)</f>
        <v>VENTA DE PRODUCTO</v>
      </c>
      <c r="O1114" s="2" t="s">
        <v>78</v>
      </c>
    </row>
    <row r="1115" customFormat="false" ht="13.8" hidden="false" customHeight="false" outlineLevel="0" collapsed="false">
      <c r="A1115" s="8" t="n">
        <v>45568</v>
      </c>
      <c r="B1115" s="9" t="n">
        <f aca="false">DAY(A1115)</f>
        <v>3</v>
      </c>
      <c r="C1115" s="9" t="n">
        <f aca="false">MONTH(A1115)</f>
        <v>10</v>
      </c>
      <c r="D1115" s="9" t="n">
        <f aca="false">YEAR(A1115)</f>
        <v>2024</v>
      </c>
      <c r="E1115" s="9" t="n">
        <f aca="false">WEEKDAY(A1115,2)</f>
        <v>4</v>
      </c>
      <c r="F1115" s="10" t="n">
        <f aca="false">WEEKNUM(A1115,2) - WEEKNUM(DATE(YEAR(A1115),MONTH(A1115),1),2) + 1</f>
        <v>1</v>
      </c>
      <c r="G1115" s="10"/>
      <c r="H1115" s="11" t="n">
        <v>1052</v>
      </c>
      <c r="I1115" s="12" t="s">
        <v>20</v>
      </c>
      <c r="J1115" s="12" t="s">
        <v>56</v>
      </c>
      <c r="K1115" s="12"/>
      <c r="L1115" s="9" t="n">
        <f aca="false">L1114+H1115</f>
        <v>16007.98</v>
      </c>
      <c r="M1115" s="10" t="str">
        <f aca="false">VLOOKUP(J1115,RECATALOGANDO!A:C,2,0)</f>
        <v>SERVICIO DE IMAGEN</v>
      </c>
      <c r="N1115" s="12" t="str">
        <f aca="false">VLOOKUP(M1115,RECATALOGANDO!B:C,2,0)</f>
        <v>VENTA DE SERVICIO</v>
      </c>
      <c r="O1115" s="2" t="s">
        <v>78</v>
      </c>
    </row>
    <row r="1116" customFormat="false" ht="13.8" hidden="false" customHeight="false" outlineLevel="0" collapsed="false">
      <c r="A1116" s="8" t="n">
        <v>45569</v>
      </c>
      <c r="B1116" s="9" t="n">
        <f aca="false">DAY(A1116)</f>
        <v>4</v>
      </c>
      <c r="C1116" s="9" t="n">
        <f aca="false">MONTH(A1116)</f>
        <v>10</v>
      </c>
      <c r="D1116" s="9" t="n">
        <f aca="false">YEAR(A1116)</f>
        <v>2024</v>
      </c>
      <c r="E1116" s="9" t="n">
        <f aca="false">WEEKDAY(A1116,2)</f>
        <v>5</v>
      </c>
      <c r="F1116" s="10" t="n">
        <f aca="false">WEEKNUM(A1116,2) - WEEKNUM(DATE(YEAR(A1116),MONTH(A1116),1),2) + 1</f>
        <v>1</v>
      </c>
      <c r="G1116" s="10"/>
      <c r="H1116" s="11" t="n">
        <v>1980</v>
      </c>
      <c r="I1116" s="12" t="s">
        <v>15</v>
      </c>
      <c r="J1116" s="12" t="s">
        <v>45</v>
      </c>
      <c r="K1116" s="12"/>
      <c r="L1116" s="9" t="n">
        <f aca="false">L1115+H1116</f>
        <v>17987.98</v>
      </c>
      <c r="M1116" s="10" t="str">
        <f aca="false">VLOOKUP(J1116,RECATALOGANDO!A:C,2,0)</f>
        <v>VENTA DE MEDICAMENTO</v>
      </c>
      <c r="N1116" s="12" t="str">
        <f aca="false">VLOOKUP(M1116,RECATALOGANDO!B:C,2,0)</f>
        <v>VENTA DE PRODUCTO</v>
      </c>
      <c r="O1116" s="2" t="s">
        <v>78</v>
      </c>
    </row>
    <row r="1117" customFormat="false" ht="13.8" hidden="false" customHeight="false" outlineLevel="0" collapsed="false">
      <c r="A1117" s="8" t="n">
        <v>45569</v>
      </c>
      <c r="B1117" s="9" t="n">
        <f aca="false">DAY(A1117)</f>
        <v>4</v>
      </c>
      <c r="C1117" s="9" t="n">
        <f aca="false">MONTH(A1117)</f>
        <v>10</v>
      </c>
      <c r="D1117" s="9" t="n">
        <f aca="false">YEAR(A1117)</f>
        <v>2024</v>
      </c>
      <c r="E1117" s="9" t="n">
        <f aca="false">WEEKDAY(A1117,2)</f>
        <v>5</v>
      </c>
      <c r="F1117" s="10" t="n">
        <f aca="false">WEEKNUM(A1117,2) - WEEKNUM(DATE(YEAR(A1117),MONTH(A1117),1),2) + 1</f>
        <v>1</v>
      </c>
      <c r="G1117" s="10"/>
      <c r="H1117" s="11" t="n">
        <v>11760</v>
      </c>
      <c r="I1117" s="12" t="s">
        <v>15</v>
      </c>
      <c r="J1117" s="12" t="s">
        <v>60</v>
      </c>
      <c r="K1117" s="12"/>
      <c r="L1117" s="9" t="n">
        <f aca="false">L1116+H1117</f>
        <v>29747.98</v>
      </c>
      <c r="M1117" s="10" t="str">
        <f aca="false">VLOOKUP(J1117,RECATALOGANDO!A:C,2,0)</f>
        <v>SERVICIO DE HOSPITALIZACION</v>
      </c>
      <c r="N1117" s="12" t="str">
        <f aca="false">VLOOKUP(M1117,RECATALOGANDO!B:C,2,0)</f>
        <v>VENTA DE SERVICIO</v>
      </c>
      <c r="O1117" s="2" t="s">
        <v>78</v>
      </c>
    </row>
    <row r="1118" customFormat="false" ht="13.8" hidden="false" customHeight="false" outlineLevel="0" collapsed="false">
      <c r="A1118" s="8" t="n">
        <v>45571</v>
      </c>
      <c r="B1118" s="9" t="n">
        <f aca="false">DAY(A1118)</f>
        <v>6</v>
      </c>
      <c r="C1118" s="9" t="n">
        <f aca="false">MONTH(A1118)</f>
        <v>10</v>
      </c>
      <c r="D1118" s="9" t="n">
        <f aca="false">YEAR(A1118)</f>
        <v>2024</v>
      </c>
      <c r="E1118" s="9" t="n">
        <f aca="false">WEEKDAY(A1118,2)</f>
        <v>7</v>
      </c>
      <c r="F1118" s="10" t="n">
        <f aca="false">WEEKNUM(A1118,2) - WEEKNUM(DATE(YEAR(A1118),MONTH(A1118),1),2) + 1</f>
        <v>1</v>
      </c>
      <c r="G1118" s="10"/>
      <c r="H1118" s="11" t="n">
        <v>2978.21</v>
      </c>
      <c r="I1118" s="12" t="s">
        <v>15</v>
      </c>
      <c r="J1118" s="12" t="s">
        <v>45</v>
      </c>
      <c r="K1118" s="12"/>
      <c r="L1118" s="9" t="n">
        <f aca="false">L1117+H1118</f>
        <v>32726.19</v>
      </c>
      <c r="M1118" s="10" t="str">
        <f aca="false">VLOOKUP(J1118,RECATALOGANDO!A:C,2,0)</f>
        <v>VENTA DE MEDICAMENTO</v>
      </c>
      <c r="N1118" s="12" t="str">
        <f aca="false">VLOOKUP(M1118,RECATALOGANDO!B:C,2,0)</f>
        <v>VENTA DE PRODUCTO</v>
      </c>
      <c r="O1118" s="2" t="s">
        <v>78</v>
      </c>
    </row>
    <row r="1119" customFormat="false" ht="13.8" hidden="false" customHeight="false" outlineLevel="0" collapsed="false">
      <c r="A1119" s="8" t="n">
        <v>45572</v>
      </c>
      <c r="B1119" s="9" t="n">
        <f aca="false">DAY(A1119)</f>
        <v>7</v>
      </c>
      <c r="C1119" s="9" t="n">
        <f aca="false">MONTH(A1119)</f>
        <v>10</v>
      </c>
      <c r="D1119" s="9" t="n">
        <f aca="false">YEAR(A1119)</f>
        <v>2024</v>
      </c>
      <c r="E1119" s="9" t="n">
        <f aca="false">WEEKDAY(A1119,2)</f>
        <v>1</v>
      </c>
      <c r="F1119" s="10" t="n">
        <f aca="false">WEEKNUM(A1119,2) - WEEKNUM(DATE(YEAR(A1119),MONTH(A1119),1),2) + 1</f>
        <v>2</v>
      </c>
      <c r="G1119" s="10"/>
      <c r="H1119" s="11" t="n">
        <v>307</v>
      </c>
      <c r="I1119" s="12" t="s">
        <v>20</v>
      </c>
      <c r="J1119" s="12" t="s">
        <v>64</v>
      </c>
      <c r="K1119" s="12"/>
      <c r="L1119" s="9" t="n">
        <f aca="false">L1118+H1119</f>
        <v>33033.19</v>
      </c>
      <c r="M1119" s="10" t="str">
        <f aca="false">VLOOKUP(J1119,RECATALOGANDO!A:C,2,0)</f>
        <v>HONORARIOS QUIRURGICOS</v>
      </c>
      <c r="N1119" s="12" t="str">
        <f aca="false">VLOOKUP(M1119,RECATALOGANDO!B:C,2,0)</f>
        <v>VENTA DE SERVICIO</v>
      </c>
      <c r="O1119" s="2" t="s">
        <v>78</v>
      </c>
    </row>
    <row r="1120" customFormat="false" ht="13.8" hidden="false" customHeight="false" outlineLevel="0" collapsed="false">
      <c r="A1120" s="8" t="n">
        <v>45572</v>
      </c>
      <c r="B1120" s="9" t="n">
        <f aca="false">DAY(A1120)</f>
        <v>7</v>
      </c>
      <c r="C1120" s="9" t="n">
        <f aca="false">MONTH(A1120)</f>
        <v>10</v>
      </c>
      <c r="D1120" s="9" t="n">
        <f aca="false">YEAR(A1120)</f>
        <v>2024</v>
      </c>
      <c r="E1120" s="9" t="n">
        <f aca="false">WEEKDAY(A1120,2)</f>
        <v>1</v>
      </c>
      <c r="F1120" s="10" t="n">
        <f aca="false">WEEKNUM(A1120,2) - WEEKNUM(DATE(YEAR(A1120),MONTH(A1120),1),2) + 1</f>
        <v>2</v>
      </c>
      <c r="G1120" s="10"/>
      <c r="H1120" s="11" t="n">
        <v>1091.44</v>
      </c>
      <c r="I1120" s="12" t="s">
        <v>15</v>
      </c>
      <c r="J1120" s="12" t="s">
        <v>59</v>
      </c>
      <c r="K1120" s="12"/>
      <c r="L1120" s="9" t="n">
        <f aca="false">L1119+H1120</f>
        <v>34124.63</v>
      </c>
      <c r="M1120" s="10" t="str">
        <f aca="false">VLOOKUP(J1120,RECATALOGANDO!A:C,2,0)</f>
        <v>SERVICIO DE PENSION</v>
      </c>
      <c r="N1120" s="12" t="str">
        <f aca="false">VLOOKUP(M1120,RECATALOGANDO!B:C,2,0)</f>
        <v>VENTA DE SERVICIO</v>
      </c>
      <c r="O1120" s="2" t="s">
        <v>78</v>
      </c>
    </row>
    <row r="1121" customFormat="false" ht="13.8" hidden="false" customHeight="false" outlineLevel="0" collapsed="false">
      <c r="A1121" s="8" t="n">
        <v>45575</v>
      </c>
      <c r="B1121" s="9" t="n">
        <f aca="false">DAY(A1121)</f>
        <v>10</v>
      </c>
      <c r="C1121" s="9" t="n">
        <f aca="false">MONTH(A1121)</f>
        <v>10</v>
      </c>
      <c r="D1121" s="9" t="n">
        <f aca="false">YEAR(A1121)</f>
        <v>2024</v>
      </c>
      <c r="E1121" s="9" t="n">
        <f aca="false">WEEKDAY(A1121,2)</f>
        <v>4</v>
      </c>
      <c r="F1121" s="10" t="n">
        <f aca="false">WEEKNUM(A1121,2) - WEEKNUM(DATE(YEAR(A1121),MONTH(A1121),1),2) + 1</f>
        <v>2</v>
      </c>
      <c r="G1121" s="10"/>
      <c r="H1121" s="11" t="n">
        <v>2110</v>
      </c>
      <c r="I1121" s="12" t="s">
        <v>20</v>
      </c>
      <c r="J1121" s="12" t="s">
        <v>51</v>
      </c>
      <c r="K1121" s="12"/>
      <c r="L1121" s="9" t="n">
        <f aca="false">L1120+H1121</f>
        <v>36234.63</v>
      </c>
      <c r="M1121" s="10" t="str">
        <f aca="false">VLOOKUP(J1121,RECATALOGANDO!A:C,2,0)</f>
        <v>VENTA DE ALIMENTO</v>
      </c>
      <c r="N1121" s="12" t="str">
        <f aca="false">VLOOKUP(M1121,RECATALOGANDO!B:C,2,0)</f>
        <v>VENTA DE PRODUCTO</v>
      </c>
      <c r="O1121" s="2" t="s">
        <v>78</v>
      </c>
    </row>
    <row r="1122" customFormat="false" ht="13.8" hidden="false" customHeight="false" outlineLevel="0" collapsed="false">
      <c r="A1122" s="8" t="n">
        <v>45575</v>
      </c>
      <c r="B1122" s="9" t="n">
        <f aca="false">DAY(A1122)</f>
        <v>10</v>
      </c>
      <c r="C1122" s="9" t="n">
        <f aca="false">MONTH(A1122)</f>
        <v>10</v>
      </c>
      <c r="D1122" s="9" t="n">
        <f aca="false">YEAR(A1122)</f>
        <v>2024</v>
      </c>
      <c r="E1122" s="9" t="n">
        <f aca="false">WEEKDAY(A1122,2)</f>
        <v>4</v>
      </c>
      <c r="F1122" s="10" t="n">
        <f aca="false">WEEKNUM(A1122,2) - WEEKNUM(DATE(YEAR(A1122),MONTH(A1122),1),2) + 1</f>
        <v>2</v>
      </c>
      <c r="G1122" s="10"/>
      <c r="H1122" s="11" t="n">
        <v>2205</v>
      </c>
      <c r="I1122" s="12" t="s">
        <v>20</v>
      </c>
      <c r="J1122" s="12" t="s">
        <v>54</v>
      </c>
      <c r="K1122" s="12"/>
      <c r="L1122" s="9" t="n">
        <f aca="false">L1121+H1122</f>
        <v>38439.63</v>
      </c>
      <c r="M1122" s="10" t="str">
        <f aca="false">VLOOKUP(J1122,RECATALOGANDO!A:C,2,0)</f>
        <v>SERVICIO DE LABORATORIO</v>
      </c>
      <c r="N1122" s="12" t="str">
        <f aca="false">VLOOKUP(M1122,RECATALOGANDO!B:C,2,0)</f>
        <v>VENTA DE SERVICIO</v>
      </c>
      <c r="O1122" s="2" t="s">
        <v>78</v>
      </c>
    </row>
    <row r="1123" customFormat="false" ht="13.8" hidden="false" customHeight="false" outlineLevel="0" collapsed="false">
      <c r="A1123" s="8" t="n">
        <v>45576</v>
      </c>
      <c r="B1123" s="9" t="n">
        <f aca="false">DAY(A1123)</f>
        <v>11</v>
      </c>
      <c r="C1123" s="9" t="n">
        <f aca="false">MONTH(A1123)</f>
        <v>10</v>
      </c>
      <c r="D1123" s="9" t="n">
        <f aca="false">YEAR(A1123)</f>
        <v>2024</v>
      </c>
      <c r="E1123" s="9" t="n">
        <f aca="false">WEEKDAY(A1123,2)</f>
        <v>5</v>
      </c>
      <c r="F1123" s="10" t="n">
        <f aca="false">WEEKNUM(A1123,2) - WEEKNUM(DATE(YEAR(A1123),MONTH(A1123),1),2) + 1</f>
        <v>2</v>
      </c>
      <c r="G1123" s="10"/>
      <c r="H1123" s="11" t="n">
        <v>290</v>
      </c>
      <c r="I1123" s="12" t="s">
        <v>15</v>
      </c>
      <c r="J1123" s="12" t="s">
        <v>49</v>
      </c>
      <c r="K1123" s="12"/>
      <c r="L1123" s="9" t="n">
        <f aca="false">L1122+H1123</f>
        <v>38729.63</v>
      </c>
      <c r="M1123" s="10" t="str">
        <f aca="false">VLOOKUP(J1123,RECATALOGANDO!A:C,2,0)</f>
        <v>SERVICIO DE GROOMING</v>
      </c>
      <c r="N1123" s="12" t="str">
        <f aca="false">VLOOKUP(M1123,RECATALOGANDO!B:C,2,0)</f>
        <v>VENTA DE SERVICIO</v>
      </c>
      <c r="O1123" s="2" t="s">
        <v>78</v>
      </c>
    </row>
    <row r="1124" customFormat="false" ht="13.8" hidden="false" customHeight="false" outlineLevel="0" collapsed="false">
      <c r="A1124" s="8" t="n">
        <v>45577</v>
      </c>
      <c r="B1124" s="9" t="n">
        <f aca="false">DAY(A1124)</f>
        <v>12</v>
      </c>
      <c r="C1124" s="9" t="n">
        <f aca="false">MONTH(A1124)</f>
        <v>10</v>
      </c>
      <c r="D1124" s="9" t="n">
        <f aca="false">YEAR(A1124)</f>
        <v>2024</v>
      </c>
      <c r="E1124" s="9" t="n">
        <f aca="false">WEEKDAY(A1124,2)</f>
        <v>6</v>
      </c>
      <c r="F1124" s="10" t="n">
        <f aca="false">WEEKNUM(A1124,2) - WEEKNUM(DATE(YEAR(A1124),MONTH(A1124),1),2) + 1</f>
        <v>2</v>
      </c>
      <c r="G1124" s="10"/>
      <c r="H1124" s="11" t="n">
        <v>99</v>
      </c>
      <c r="I1124" s="12" t="s">
        <v>15</v>
      </c>
      <c r="J1124" s="12" t="s">
        <v>45</v>
      </c>
      <c r="K1124" s="12"/>
      <c r="L1124" s="9" t="n">
        <f aca="false">L1123+H1124</f>
        <v>38828.63</v>
      </c>
      <c r="M1124" s="10" t="str">
        <f aca="false">VLOOKUP(J1124,RECATALOGANDO!A:C,2,0)</f>
        <v>VENTA DE MEDICAMENTO</v>
      </c>
      <c r="N1124" s="12" t="str">
        <f aca="false">VLOOKUP(M1124,RECATALOGANDO!B:C,2,0)</f>
        <v>VENTA DE PRODUCTO</v>
      </c>
      <c r="O1124" s="2" t="s">
        <v>78</v>
      </c>
    </row>
    <row r="1125" customFormat="false" ht="13.8" hidden="false" customHeight="false" outlineLevel="0" collapsed="false">
      <c r="A1125" s="8" t="n">
        <v>45577</v>
      </c>
      <c r="B1125" s="9" t="n">
        <f aca="false">DAY(A1125)</f>
        <v>12</v>
      </c>
      <c r="C1125" s="9" t="n">
        <f aca="false">MONTH(A1125)</f>
        <v>10</v>
      </c>
      <c r="D1125" s="9" t="n">
        <f aca="false">YEAR(A1125)</f>
        <v>2024</v>
      </c>
      <c r="E1125" s="9" t="n">
        <f aca="false">WEEKDAY(A1125,2)</f>
        <v>6</v>
      </c>
      <c r="F1125" s="10" t="n">
        <f aca="false">WEEKNUM(A1125,2) - WEEKNUM(DATE(YEAR(A1125),MONTH(A1125),1),2) + 1</f>
        <v>2</v>
      </c>
      <c r="G1125" s="10"/>
      <c r="H1125" s="11" t="n">
        <v>2493</v>
      </c>
      <c r="I1125" s="12" t="s">
        <v>15</v>
      </c>
      <c r="J1125" s="12" t="s">
        <v>45</v>
      </c>
      <c r="K1125" s="12"/>
      <c r="L1125" s="9" t="n">
        <f aca="false">L1124+H1125</f>
        <v>41321.63</v>
      </c>
      <c r="M1125" s="10" t="str">
        <f aca="false">VLOOKUP(J1125,RECATALOGANDO!A:C,2,0)</f>
        <v>VENTA DE MEDICAMENTO</v>
      </c>
      <c r="N1125" s="12" t="str">
        <f aca="false">VLOOKUP(M1125,RECATALOGANDO!B:C,2,0)</f>
        <v>VENTA DE PRODUCTO</v>
      </c>
      <c r="O1125" s="2" t="s">
        <v>78</v>
      </c>
    </row>
    <row r="1126" customFormat="false" ht="13.8" hidden="false" customHeight="false" outlineLevel="0" collapsed="false">
      <c r="A1126" s="8" t="n">
        <v>45579</v>
      </c>
      <c r="B1126" s="9" t="n">
        <f aca="false">DAY(A1126)</f>
        <v>14</v>
      </c>
      <c r="C1126" s="9" t="n">
        <f aca="false">MONTH(A1126)</f>
        <v>10</v>
      </c>
      <c r="D1126" s="9" t="n">
        <f aca="false">YEAR(A1126)</f>
        <v>2024</v>
      </c>
      <c r="E1126" s="9" t="n">
        <f aca="false">WEEKDAY(A1126,2)</f>
        <v>1</v>
      </c>
      <c r="F1126" s="10" t="n">
        <f aca="false">WEEKNUM(A1126,2) - WEEKNUM(DATE(YEAR(A1126),MONTH(A1126),1),2) + 1</f>
        <v>3</v>
      </c>
      <c r="G1126" s="10"/>
      <c r="H1126" s="11" t="n">
        <v>200</v>
      </c>
      <c r="I1126" s="12" t="s">
        <v>20</v>
      </c>
      <c r="J1126" s="12" t="s">
        <v>49</v>
      </c>
      <c r="K1126" s="12"/>
      <c r="L1126" s="9" t="n">
        <f aca="false">L1125+H1126</f>
        <v>41521.63</v>
      </c>
      <c r="M1126" s="10" t="str">
        <f aca="false">VLOOKUP(J1126,RECATALOGANDO!A:C,2,0)</f>
        <v>SERVICIO DE GROOMING</v>
      </c>
      <c r="N1126" s="12" t="str">
        <f aca="false">VLOOKUP(M1126,RECATALOGANDO!B:C,2,0)</f>
        <v>VENTA DE SERVICIO</v>
      </c>
      <c r="O1126" s="2" t="s">
        <v>78</v>
      </c>
    </row>
    <row r="1127" customFormat="false" ht="13.8" hidden="false" customHeight="false" outlineLevel="0" collapsed="false">
      <c r="A1127" s="8" t="n">
        <v>45579</v>
      </c>
      <c r="B1127" s="9" t="n">
        <f aca="false">DAY(A1127)</f>
        <v>14</v>
      </c>
      <c r="C1127" s="9" t="n">
        <f aca="false">MONTH(A1127)</f>
        <v>10</v>
      </c>
      <c r="D1127" s="9" t="n">
        <f aca="false">YEAR(A1127)</f>
        <v>2024</v>
      </c>
      <c r="E1127" s="9" t="n">
        <f aca="false">WEEKDAY(A1127,2)</f>
        <v>1</v>
      </c>
      <c r="F1127" s="10" t="n">
        <f aca="false">WEEKNUM(A1127,2) - WEEKNUM(DATE(YEAR(A1127),MONTH(A1127),1),2) + 1</f>
        <v>3</v>
      </c>
      <c r="G1127" s="10"/>
      <c r="H1127" s="11" t="n">
        <v>200</v>
      </c>
      <c r="I1127" s="12" t="s">
        <v>20</v>
      </c>
      <c r="J1127" s="12" t="s">
        <v>49</v>
      </c>
      <c r="K1127" s="12"/>
      <c r="L1127" s="9" t="n">
        <f aca="false">L1126+H1127</f>
        <v>41721.63</v>
      </c>
      <c r="M1127" s="10" t="str">
        <f aca="false">VLOOKUP(J1127,RECATALOGANDO!A:C,2,0)</f>
        <v>SERVICIO DE GROOMING</v>
      </c>
      <c r="N1127" s="12" t="str">
        <f aca="false">VLOOKUP(M1127,RECATALOGANDO!B:C,2,0)</f>
        <v>VENTA DE SERVICIO</v>
      </c>
      <c r="O1127" s="2" t="s">
        <v>78</v>
      </c>
    </row>
    <row r="1128" customFormat="false" ht="13.8" hidden="false" customHeight="false" outlineLevel="0" collapsed="false">
      <c r="A1128" s="8" t="n">
        <v>45579</v>
      </c>
      <c r="B1128" s="9" t="n">
        <f aca="false">DAY(A1128)</f>
        <v>14</v>
      </c>
      <c r="C1128" s="9" t="n">
        <f aca="false">MONTH(A1128)</f>
        <v>10</v>
      </c>
      <c r="D1128" s="9" t="n">
        <f aca="false">YEAR(A1128)</f>
        <v>2024</v>
      </c>
      <c r="E1128" s="9" t="n">
        <f aca="false">WEEKDAY(A1128,2)</f>
        <v>1</v>
      </c>
      <c r="F1128" s="10" t="n">
        <f aca="false">WEEKNUM(A1128,2) - WEEKNUM(DATE(YEAR(A1128),MONTH(A1128),1),2) + 1</f>
        <v>3</v>
      </c>
      <c r="G1128" s="10"/>
      <c r="H1128" s="11" t="n">
        <v>2000</v>
      </c>
      <c r="I1128" s="12" t="s">
        <v>20</v>
      </c>
      <c r="J1128" s="12" t="s">
        <v>44</v>
      </c>
      <c r="K1128" s="12"/>
      <c r="L1128" s="9" t="n">
        <f aca="false">L1127+H1128</f>
        <v>43721.63</v>
      </c>
      <c r="M1128" s="10" t="str">
        <f aca="false">VLOOKUP(J1128,RECATALOGANDO!A:C,2,0)</f>
        <v>HONORARIOS MEDICOS</v>
      </c>
      <c r="N1128" s="12" t="str">
        <f aca="false">VLOOKUP(M1128,RECATALOGANDO!B:C,2,0)</f>
        <v>VENTA DE SERVICIO</v>
      </c>
      <c r="O1128" s="2" t="s">
        <v>78</v>
      </c>
    </row>
    <row r="1129" customFormat="false" ht="13.8" hidden="false" customHeight="false" outlineLevel="0" collapsed="false">
      <c r="A1129" s="8" t="n">
        <v>45580</v>
      </c>
      <c r="B1129" s="9" t="n">
        <f aca="false">DAY(A1129)</f>
        <v>15</v>
      </c>
      <c r="C1129" s="9" t="n">
        <f aca="false">MONTH(A1129)</f>
        <v>10</v>
      </c>
      <c r="D1129" s="9" t="n">
        <f aca="false">YEAR(A1129)</f>
        <v>2024</v>
      </c>
      <c r="E1129" s="9" t="n">
        <f aca="false">WEEKDAY(A1129,2)</f>
        <v>2</v>
      </c>
      <c r="F1129" s="10" t="n">
        <f aca="false">WEEKNUM(A1129,2) - WEEKNUM(DATE(YEAR(A1129),MONTH(A1129),1),2) + 1</f>
        <v>3</v>
      </c>
      <c r="G1129" s="10" t="n">
        <v>1</v>
      </c>
      <c r="H1129" s="11" t="n">
        <v>670</v>
      </c>
      <c r="I1129" s="12" t="s">
        <v>20</v>
      </c>
      <c r="J1129" s="12" t="s">
        <v>44</v>
      </c>
      <c r="K1129" s="12"/>
      <c r="L1129" s="9" t="n">
        <f aca="false">L1128+H1129</f>
        <v>44391.63</v>
      </c>
      <c r="M1129" s="10" t="str">
        <f aca="false">VLOOKUP(J1129,RECATALOGANDO!A:C,2,0)</f>
        <v>HONORARIOS MEDICOS</v>
      </c>
      <c r="N1129" s="12" t="str">
        <f aca="false">VLOOKUP(M1129,RECATALOGANDO!B:C,2,0)</f>
        <v>VENTA DE SERVICIO</v>
      </c>
      <c r="O1129" s="2" t="s">
        <v>78</v>
      </c>
    </row>
    <row r="1130" customFormat="false" ht="13.8" hidden="false" customHeight="false" outlineLevel="0" collapsed="false">
      <c r="A1130" s="8" t="n">
        <v>45580</v>
      </c>
      <c r="B1130" s="9" t="n">
        <f aca="false">DAY(A1130)</f>
        <v>15</v>
      </c>
      <c r="C1130" s="9" t="n">
        <f aca="false">MONTH(A1130)</f>
        <v>10</v>
      </c>
      <c r="D1130" s="9" t="n">
        <f aca="false">YEAR(A1130)</f>
        <v>2024</v>
      </c>
      <c r="E1130" s="9" t="n">
        <f aca="false">WEEKDAY(A1130,2)</f>
        <v>2</v>
      </c>
      <c r="F1130" s="10" t="n">
        <f aca="false">WEEKNUM(A1130,2) - WEEKNUM(DATE(YEAR(A1130),MONTH(A1130),1),2) + 1</f>
        <v>3</v>
      </c>
      <c r="G1130" s="10" t="n">
        <v>1</v>
      </c>
      <c r="H1130" s="11" t="n">
        <v>830</v>
      </c>
      <c r="I1130" s="12" t="s">
        <v>20</v>
      </c>
      <c r="J1130" s="12" t="s">
        <v>49</v>
      </c>
      <c r="K1130" s="12"/>
      <c r="L1130" s="9" t="n">
        <f aca="false">L1129+H1130</f>
        <v>45221.63</v>
      </c>
      <c r="M1130" s="10" t="str">
        <f aca="false">VLOOKUP(J1130,RECATALOGANDO!A:C,2,0)</f>
        <v>SERVICIO DE GROOMING</v>
      </c>
      <c r="N1130" s="12" t="str">
        <f aca="false">VLOOKUP(M1130,RECATALOGANDO!B:C,2,0)</f>
        <v>VENTA DE SERVICIO</v>
      </c>
      <c r="O1130" s="2" t="s">
        <v>78</v>
      </c>
    </row>
    <row r="1131" customFormat="false" ht="13.8" hidden="false" customHeight="false" outlineLevel="0" collapsed="false">
      <c r="A1131" s="8" t="n">
        <v>45580</v>
      </c>
      <c r="B1131" s="9" t="n">
        <f aca="false">DAY(A1131)</f>
        <v>15</v>
      </c>
      <c r="C1131" s="9" t="n">
        <f aca="false">MONTH(A1131)</f>
        <v>10</v>
      </c>
      <c r="D1131" s="9" t="n">
        <f aca="false">YEAR(A1131)</f>
        <v>2024</v>
      </c>
      <c r="E1131" s="9" t="n">
        <f aca="false">WEEKDAY(A1131,2)</f>
        <v>2</v>
      </c>
      <c r="F1131" s="10" t="n">
        <f aca="false">WEEKNUM(A1131,2) - WEEKNUM(DATE(YEAR(A1131),MONTH(A1131),1),2) + 1</f>
        <v>3</v>
      </c>
      <c r="G1131" s="10" t="n">
        <v>1</v>
      </c>
      <c r="H1131" s="11" t="n">
        <v>3604.62</v>
      </c>
      <c r="I1131" s="12" t="s">
        <v>20</v>
      </c>
      <c r="J1131" s="12" t="s">
        <v>54</v>
      </c>
      <c r="K1131" s="12"/>
      <c r="L1131" s="9" t="n">
        <f aca="false">L1130+H1131</f>
        <v>48826.25</v>
      </c>
      <c r="M1131" s="10" t="str">
        <f aca="false">VLOOKUP(J1131,RECATALOGANDO!A:C,2,0)</f>
        <v>SERVICIO DE LABORATORIO</v>
      </c>
      <c r="N1131" s="12" t="str">
        <f aca="false">VLOOKUP(M1131,RECATALOGANDO!B:C,2,0)</f>
        <v>VENTA DE SERVICIO</v>
      </c>
      <c r="O1131" s="2" t="s">
        <v>78</v>
      </c>
    </row>
    <row r="1132" customFormat="false" ht="13.8" hidden="false" customHeight="false" outlineLevel="0" collapsed="false">
      <c r="A1132" s="8" t="n">
        <v>45581</v>
      </c>
      <c r="B1132" s="9" t="n">
        <f aca="false">DAY(A1132)</f>
        <v>16</v>
      </c>
      <c r="C1132" s="9" t="n">
        <f aca="false">MONTH(A1132)</f>
        <v>10</v>
      </c>
      <c r="D1132" s="9" t="n">
        <f aca="false">YEAR(A1132)</f>
        <v>2024</v>
      </c>
      <c r="E1132" s="9" t="n">
        <f aca="false">WEEKDAY(A1132,2)</f>
        <v>3</v>
      </c>
      <c r="F1132" s="10" t="n">
        <f aca="false">WEEKNUM(A1132,2) - WEEKNUM(DATE(YEAR(A1132),MONTH(A1132),1),2) + 1</f>
        <v>3</v>
      </c>
      <c r="G1132" s="10"/>
      <c r="H1132" s="11" t="n">
        <v>2355</v>
      </c>
      <c r="I1132" s="12" t="s">
        <v>20</v>
      </c>
      <c r="J1132" s="12" t="s">
        <v>51</v>
      </c>
      <c r="K1132" s="12"/>
      <c r="L1132" s="9" t="n">
        <f aca="false">L1131+H1132</f>
        <v>51181.25</v>
      </c>
      <c r="M1132" s="10" t="str">
        <f aca="false">VLOOKUP(J1132,RECATALOGANDO!A:C,2,0)</f>
        <v>VENTA DE ALIMENTO</v>
      </c>
      <c r="N1132" s="12" t="str">
        <f aca="false">VLOOKUP(M1132,RECATALOGANDO!B:C,2,0)</f>
        <v>VENTA DE PRODUCTO</v>
      </c>
      <c r="O1132" s="2" t="s">
        <v>78</v>
      </c>
    </row>
    <row r="1133" customFormat="false" ht="13.8" hidden="false" customHeight="false" outlineLevel="0" collapsed="false">
      <c r="A1133" s="8" t="n">
        <v>45581</v>
      </c>
      <c r="B1133" s="9" t="n">
        <f aca="false">DAY(A1133)</f>
        <v>16</v>
      </c>
      <c r="C1133" s="9" t="n">
        <f aca="false">MONTH(A1133)</f>
        <v>10</v>
      </c>
      <c r="D1133" s="9" t="n">
        <f aca="false">YEAR(A1133)</f>
        <v>2024</v>
      </c>
      <c r="E1133" s="9" t="n">
        <f aca="false">WEEKDAY(A1133,2)</f>
        <v>3</v>
      </c>
      <c r="F1133" s="10" t="n">
        <f aca="false">WEEKNUM(A1133,2) - WEEKNUM(DATE(YEAR(A1133),MONTH(A1133),1),2) + 1</f>
        <v>3</v>
      </c>
      <c r="G1133" s="10"/>
      <c r="H1133" s="11" t="n">
        <v>140</v>
      </c>
      <c r="I1133" s="12" t="s">
        <v>15</v>
      </c>
      <c r="J1133" s="12" t="s">
        <v>49</v>
      </c>
      <c r="K1133" s="12"/>
      <c r="L1133" s="9" t="n">
        <f aca="false">L1132+H1133</f>
        <v>51321.25</v>
      </c>
      <c r="M1133" s="10" t="str">
        <f aca="false">VLOOKUP(J1133,RECATALOGANDO!A:C,2,0)</f>
        <v>SERVICIO DE GROOMING</v>
      </c>
      <c r="N1133" s="12" t="str">
        <f aca="false">VLOOKUP(M1133,RECATALOGANDO!B:C,2,0)</f>
        <v>VENTA DE SERVICIO</v>
      </c>
      <c r="O1133" s="2" t="s">
        <v>78</v>
      </c>
    </row>
    <row r="1134" customFormat="false" ht="13.8" hidden="false" customHeight="false" outlineLevel="0" collapsed="false">
      <c r="A1134" s="8" t="n">
        <v>45581</v>
      </c>
      <c r="B1134" s="9" t="n">
        <f aca="false">DAY(A1134)</f>
        <v>16</v>
      </c>
      <c r="C1134" s="9" t="n">
        <f aca="false">MONTH(A1134)</f>
        <v>10</v>
      </c>
      <c r="D1134" s="9" t="n">
        <f aca="false">YEAR(A1134)</f>
        <v>2024</v>
      </c>
      <c r="E1134" s="9" t="n">
        <f aca="false">WEEKDAY(A1134,2)</f>
        <v>3</v>
      </c>
      <c r="F1134" s="10" t="n">
        <f aca="false">WEEKNUM(A1134,2) - WEEKNUM(DATE(YEAR(A1134),MONTH(A1134),1),2) + 1</f>
        <v>3</v>
      </c>
      <c r="G1134" s="10"/>
      <c r="H1134" s="11" t="n">
        <v>201</v>
      </c>
      <c r="I1134" s="12" t="s">
        <v>15</v>
      </c>
      <c r="J1134" s="12" t="s">
        <v>49</v>
      </c>
      <c r="K1134" s="12"/>
      <c r="L1134" s="9" t="n">
        <f aca="false">L1133+H1134</f>
        <v>51522.25</v>
      </c>
      <c r="M1134" s="10" t="str">
        <f aca="false">VLOOKUP(J1134,RECATALOGANDO!A:C,2,0)</f>
        <v>SERVICIO DE GROOMING</v>
      </c>
      <c r="N1134" s="12" t="str">
        <f aca="false">VLOOKUP(M1134,RECATALOGANDO!B:C,2,0)</f>
        <v>VENTA DE SERVICIO</v>
      </c>
      <c r="O1134" s="2" t="s">
        <v>78</v>
      </c>
    </row>
    <row r="1135" customFormat="false" ht="13.8" hidden="false" customHeight="false" outlineLevel="0" collapsed="false">
      <c r="A1135" s="8" t="n">
        <v>45582</v>
      </c>
      <c r="B1135" s="9" t="n">
        <f aca="false">DAY(A1135)</f>
        <v>17</v>
      </c>
      <c r="C1135" s="9" t="n">
        <f aca="false">MONTH(A1135)</f>
        <v>10</v>
      </c>
      <c r="D1135" s="9" t="n">
        <f aca="false">YEAR(A1135)</f>
        <v>2024</v>
      </c>
      <c r="E1135" s="9" t="n">
        <f aca="false">WEEKDAY(A1135,2)</f>
        <v>4</v>
      </c>
      <c r="F1135" s="10" t="n">
        <f aca="false">WEEKNUM(A1135,2) - WEEKNUM(DATE(YEAR(A1135),MONTH(A1135),1),2) + 1</f>
        <v>3</v>
      </c>
      <c r="G1135" s="10"/>
      <c r="H1135" s="11" t="n">
        <v>679</v>
      </c>
      <c r="I1135" s="12" t="s">
        <v>15</v>
      </c>
      <c r="J1135" s="12" t="s">
        <v>44</v>
      </c>
      <c r="K1135" s="12"/>
      <c r="L1135" s="9" t="n">
        <f aca="false">L1134+H1135</f>
        <v>52201.25</v>
      </c>
      <c r="M1135" s="10" t="str">
        <f aca="false">VLOOKUP(J1135,RECATALOGANDO!A:C,2,0)</f>
        <v>HONORARIOS MEDICOS</v>
      </c>
      <c r="N1135" s="12" t="str">
        <f aca="false">VLOOKUP(M1135,RECATALOGANDO!B:C,2,0)</f>
        <v>VENTA DE SERVICIO</v>
      </c>
      <c r="O1135" s="2" t="s">
        <v>78</v>
      </c>
    </row>
    <row r="1136" customFormat="false" ht="13.8" hidden="false" customHeight="false" outlineLevel="0" collapsed="false">
      <c r="A1136" s="8" t="n">
        <v>45584</v>
      </c>
      <c r="B1136" s="9" t="n">
        <f aca="false">DAY(A1136)</f>
        <v>19</v>
      </c>
      <c r="C1136" s="9" t="n">
        <f aca="false">MONTH(A1136)</f>
        <v>10</v>
      </c>
      <c r="D1136" s="9" t="n">
        <f aca="false">YEAR(A1136)</f>
        <v>2024</v>
      </c>
      <c r="E1136" s="9" t="n">
        <f aca="false">WEEKDAY(A1136,2)</f>
        <v>6</v>
      </c>
      <c r="F1136" s="10" t="n">
        <f aca="false">WEEKNUM(A1136,2) - WEEKNUM(DATE(YEAR(A1136),MONTH(A1136),1),2) + 1</f>
        <v>3</v>
      </c>
      <c r="G1136" s="10"/>
      <c r="H1136" s="11" t="n">
        <v>470</v>
      </c>
      <c r="I1136" s="12" t="s">
        <v>15</v>
      </c>
      <c r="J1136" s="12" t="s">
        <v>45</v>
      </c>
      <c r="K1136" s="12"/>
      <c r="L1136" s="9" t="n">
        <f aca="false">L1135+H1136</f>
        <v>52671.25</v>
      </c>
      <c r="M1136" s="10" t="str">
        <f aca="false">VLOOKUP(J1136,RECATALOGANDO!A:C,2,0)</f>
        <v>VENTA DE MEDICAMENTO</v>
      </c>
      <c r="N1136" s="12" t="str">
        <f aca="false">VLOOKUP(M1136,RECATALOGANDO!B:C,2,0)</f>
        <v>VENTA DE PRODUCTO</v>
      </c>
      <c r="O1136" s="2" t="s">
        <v>78</v>
      </c>
    </row>
    <row r="1137" customFormat="false" ht="13.8" hidden="false" customHeight="false" outlineLevel="0" collapsed="false">
      <c r="A1137" s="8" t="n">
        <v>45585</v>
      </c>
      <c r="B1137" s="9" t="n">
        <f aca="false">DAY(A1137)</f>
        <v>20</v>
      </c>
      <c r="C1137" s="9" t="n">
        <f aca="false">MONTH(A1137)</f>
        <v>10</v>
      </c>
      <c r="D1137" s="9" t="n">
        <f aca="false">YEAR(A1137)</f>
        <v>2024</v>
      </c>
      <c r="E1137" s="9" t="n">
        <f aca="false">WEEKDAY(A1137,2)</f>
        <v>7</v>
      </c>
      <c r="F1137" s="10" t="n">
        <f aca="false">WEEKNUM(A1137,2) - WEEKNUM(DATE(YEAR(A1137),MONTH(A1137),1),2) + 1</f>
        <v>3</v>
      </c>
      <c r="G1137" s="10"/>
      <c r="H1137" s="11" t="n">
        <v>1280.22</v>
      </c>
      <c r="I1137" s="12" t="s">
        <v>15</v>
      </c>
      <c r="J1137" s="12" t="s">
        <v>45</v>
      </c>
      <c r="K1137" s="12"/>
      <c r="L1137" s="9" t="n">
        <f aca="false">L1136+H1137</f>
        <v>53951.47</v>
      </c>
      <c r="M1137" s="10" t="str">
        <f aca="false">VLOOKUP(J1137,RECATALOGANDO!A:C,2,0)</f>
        <v>VENTA DE MEDICAMENTO</v>
      </c>
      <c r="N1137" s="12" t="str">
        <f aca="false">VLOOKUP(M1137,RECATALOGANDO!B:C,2,0)</f>
        <v>VENTA DE PRODUCTO</v>
      </c>
      <c r="O1137" s="2" t="s">
        <v>78</v>
      </c>
    </row>
    <row r="1138" customFormat="false" ht="13.8" hidden="false" customHeight="false" outlineLevel="0" collapsed="false">
      <c r="A1138" s="8" t="n">
        <v>45586</v>
      </c>
      <c r="B1138" s="9" t="n">
        <f aca="false">DAY(A1138)</f>
        <v>21</v>
      </c>
      <c r="C1138" s="9" t="n">
        <f aca="false">MONTH(A1138)</f>
        <v>10</v>
      </c>
      <c r="D1138" s="9" t="n">
        <f aca="false">YEAR(A1138)</f>
        <v>2024</v>
      </c>
      <c r="E1138" s="9" t="n">
        <f aca="false">WEEKDAY(A1138,2)</f>
        <v>1</v>
      </c>
      <c r="F1138" s="10" t="n">
        <f aca="false">WEEKNUM(A1138,2) - WEEKNUM(DATE(YEAR(A1138),MONTH(A1138),1),2) + 1</f>
        <v>4</v>
      </c>
      <c r="G1138" s="10"/>
      <c r="H1138" s="11" t="n">
        <v>250</v>
      </c>
      <c r="I1138" s="12" t="s">
        <v>20</v>
      </c>
      <c r="J1138" s="12" t="s">
        <v>49</v>
      </c>
      <c r="K1138" s="12"/>
      <c r="L1138" s="9" t="n">
        <f aca="false">L1137+H1138</f>
        <v>54201.47</v>
      </c>
      <c r="M1138" s="10" t="str">
        <f aca="false">VLOOKUP(J1138,RECATALOGANDO!A:C,2,0)</f>
        <v>SERVICIO DE GROOMING</v>
      </c>
      <c r="N1138" s="12" t="str">
        <f aca="false">VLOOKUP(M1138,RECATALOGANDO!B:C,2,0)</f>
        <v>VENTA DE SERVICIO</v>
      </c>
      <c r="O1138" s="2" t="s">
        <v>78</v>
      </c>
    </row>
    <row r="1139" customFormat="false" ht="13.8" hidden="false" customHeight="false" outlineLevel="0" collapsed="false">
      <c r="A1139" s="8" t="n">
        <v>45586</v>
      </c>
      <c r="B1139" s="9" t="n">
        <f aca="false">DAY(A1139)</f>
        <v>21</v>
      </c>
      <c r="C1139" s="9" t="n">
        <f aca="false">MONTH(A1139)</f>
        <v>10</v>
      </c>
      <c r="D1139" s="9" t="n">
        <f aca="false">YEAR(A1139)</f>
        <v>2024</v>
      </c>
      <c r="E1139" s="9" t="n">
        <f aca="false">WEEKDAY(A1139,2)</f>
        <v>1</v>
      </c>
      <c r="F1139" s="10" t="n">
        <f aca="false">WEEKNUM(A1139,2) - WEEKNUM(DATE(YEAR(A1139),MONTH(A1139),1),2) + 1</f>
        <v>4</v>
      </c>
      <c r="G1139" s="10"/>
      <c r="H1139" s="11" t="n">
        <v>280</v>
      </c>
      <c r="I1139" s="12" t="s">
        <v>20</v>
      </c>
      <c r="J1139" s="12" t="s">
        <v>49</v>
      </c>
      <c r="K1139" s="12"/>
      <c r="L1139" s="9" t="n">
        <f aca="false">L1138+H1139</f>
        <v>54481.47</v>
      </c>
      <c r="M1139" s="10" t="str">
        <f aca="false">VLOOKUP(J1139,RECATALOGANDO!A:C,2,0)</f>
        <v>SERVICIO DE GROOMING</v>
      </c>
      <c r="N1139" s="12" t="str">
        <f aca="false">VLOOKUP(M1139,RECATALOGANDO!B:C,2,0)</f>
        <v>VENTA DE SERVICIO</v>
      </c>
      <c r="O1139" s="2" t="s">
        <v>78</v>
      </c>
    </row>
    <row r="1140" customFormat="false" ht="13.8" hidden="false" customHeight="false" outlineLevel="0" collapsed="false">
      <c r="A1140" s="8" t="n">
        <v>45586</v>
      </c>
      <c r="B1140" s="9" t="n">
        <f aca="false">DAY(A1140)</f>
        <v>21</v>
      </c>
      <c r="C1140" s="9" t="n">
        <f aca="false">MONTH(A1140)</f>
        <v>10</v>
      </c>
      <c r="D1140" s="9" t="n">
        <f aca="false">YEAR(A1140)</f>
        <v>2024</v>
      </c>
      <c r="E1140" s="9" t="n">
        <f aca="false">WEEKDAY(A1140,2)</f>
        <v>1</v>
      </c>
      <c r="F1140" s="10" t="n">
        <f aca="false">WEEKNUM(A1140,2) - WEEKNUM(DATE(YEAR(A1140),MONTH(A1140),1),2) + 1</f>
        <v>4</v>
      </c>
      <c r="G1140" s="10"/>
      <c r="H1140" s="11" t="n">
        <v>322</v>
      </c>
      <c r="I1140" s="12" t="s">
        <v>15</v>
      </c>
      <c r="J1140" s="12" t="s">
        <v>44</v>
      </c>
      <c r="K1140" s="12"/>
      <c r="L1140" s="9" t="n">
        <f aca="false">L1139+H1140</f>
        <v>54803.47</v>
      </c>
      <c r="M1140" s="10" t="str">
        <f aca="false">VLOOKUP(J1140,RECATALOGANDO!A:C,2,0)</f>
        <v>HONORARIOS MEDICOS</v>
      </c>
      <c r="N1140" s="12" t="str">
        <f aca="false">VLOOKUP(M1140,RECATALOGANDO!B:C,2,0)</f>
        <v>VENTA DE SERVICIO</v>
      </c>
      <c r="O1140" s="2" t="s">
        <v>78</v>
      </c>
    </row>
    <row r="1141" customFormat="false" ht="13.8" hidden="false" customHeight="false" outlineLevel="0" collapsed="false">
      <c r="A1141" s="8" t="n">
        <v>45586</v>
      </c>
      <c r="B1141" s="9" t="n">
        <f aca="false">DAY(A1141)</f>
        <v>21</v>
      </c>
      <c r="C1141" s="9" t="n">
        <f aca="false">MONTH(A1141)</f>
        <v>10</v>
      </c>
      <c r="D1141" s="9" t="n">
        <f aca="false">YEAR(A1141)</f>
        <v>2024</v>
      </c>
      <c r="E1141" s="9" t="n">
        <f aca="false">WEEKDAY(A1141,2)</f>
        <v>1</v>
      </c>
      <c r="F1141" s="10" t="n">
        <f aca="false">WEEKNUM(A1141,2) - WEEKNUM(DATE(YEAR(A1141),MONTH(A1141),1),2) + 1</f>
        <v>4</v>
      </c>
      <c r="G1141" s="10"/>
      <c r="H1141" s="11" t="n">
        <v>355</v>
      </c>
      <c r="I1141" s="12" t="s">
        <v>20</v>
      </c>
      <c r="J1141" s="12" t="s">
        <v>44</v>
      </c>
      <c r="K1141" s="12"/>
      <c r="L1141" s="9" t="n">
        <f aca="false">L1140+H1141</f>
        <v>55158.47</v>
      </c>
      <c r="M1141" s="10" t="str">
        <f aca="false">VLOOKUP(J1141,RECATALOGANDO!A:C,2,0)</f>
        <v>HONORARIOS MEDICOS</v>
      </c>
      <c r="N1141" s="12" t="str">
        <f aca="false">VLOOKUP(M1141,RECATALOGANDO!B:C,2,0)</f>
        <v>VENTA DE SERVICIO</v>
      </c>
      <c r="O1141" s="2" t="s">
        <v>78</v>
      </c>
    </row>
    <row r="1142" customFormat="false" ht="13.8" hidden="false" customHeight="false" outlineLevel="0" collapsed="false">
      <c r="A1142" s="8" t="n">
        <v>45586</v>
      </c>
      <c r="B1142" s="9" t="n">
        <f aca="false">DAY(A1142)</f>
        <v>21</v>
      </c>
      <c r="C1142" s="9" t="n">
        <f aca="false">MONTH(A1142)</f>
        <v>10</v>
      </c>
      <c r="D1142" s="9" t="n">
        <f aca="false">YEAR(A1142)</f>
        <v>2024</v>
      </c>
      <c r="E1142" s="9" t="n">
        <f aca="false">WEEKDAY(A1142,2)</f>
        <v>1</v>
      </c>
      <c r="F1142" s="10" t="n">
        <f aca="false">WEEKNUM(A1142,2) - WEEKNUM(DATE(YEAR(A1142),MONTH(A1142),1),2) + 1</f>
        <v>4</v>
      </c>
      <c r="G1142" s="10"/>
      <c r="H1142" s="11" t="n">
        <v>1800</v>
      </c>
      <c r="I1142" s="12" t="s">
        <v>20</v>
      </c>
      <c r="J1142" s="12" t="s">
        <v>54</v>
      </c>
      <c r="K1142" s="12"/>
      <c r="L1142" s="9" t="n">
        <f aca="false">L1141+H1142</f>
        <v>56958.47</v>
      </c>
      <c r="M1142" s="10" t="str">
        <f aca="false">VLOOKUP(J1142,RECATALOGANDO!A:C,2,0)</f>
        <v>SERVICIO DE LABORATORIO</v>
      </c>
      <c r="N1142" s="12" t="str">
        <f aca="false">VLOOKUP(M1142,RECATALOGANDO!B:C,2,0)</f>
        <v>VENTA DE SERVICIO</v>
      </c>
      <c r="O1142" s="2" t="s">
        <v>78</v>
      </c>
    </row>
    <row r="1143" customFormat="false" ht="13.8" hidden="false" customHeight="false" outlineLevel="0" collapsed="false">
      <c r="A1143" s="8" t="n">
        <v>45587</v>
      </c>
      <c r="B1143" s="9" t="n">
        <f aca="false">DAY(A1143)</f>
        <v>22</v>
      </c>
      <c r="C1143" s="9" t="n">
        <f aca="false">MONTH(A1143)</f>
        <v>10</v>
      </c>
      <c r="D1143" s="9" t="n">
        <f aca="false">YEAR(A1143)</f>
        <v>2024</v>
      </c>
      <c r="E1143" s="9" t="n">
        <f aca="false">WEEKDAY(A1143,2)</f>
        <v>2</v>
      </c>
      <c r="F1143" s="10" t="n">
        <f aca="false">WEEKNUM(A1143,2) - WEEKNUM(DATE(YEAR(A1143),MONTH(A1143),1),2) + 1</f>
        <v>4</v>
      </c>
      <c r="G1143" s="10"/>
      <c r="H1143" s="11" t="n">
        <v>150</v>
      </c>
      <c r="I1143" s="12" t="s">
        <v>15</v>
      </c>
      <c r="J1143" s="12" t="s">
        <v>49</v>
      </c>
      <c r="K1143" s="12"/>
      <c r="L1143" s="9" t="n">
        <f aca="false">L1142+H1143</f>
        <v>57108.47</v>
      </c>
      <c r="M1143" s="10" t="str">
        <f aca="false">VLOOKUP(J1143,RECATALOGANDO!A:C,2,0)</f>
        <v>SERVICIO DE GROOMING</v>
      </c>
      <c r="N1143" s="12" t="str">
        <f aca="false">VLOOKUP(M1143,RECATALOGANDO!B:C,2,0)</f>
        <v>VENTA DE SERVICIO</v>
      </c>
      <c r="O1143" s="2" t="s">
        <v>78</v>
      </c>
    </row>
    <row r="1144" customFormat="false" ht="13.8" hidden="false" customHeight="false" outlineLevel="0" collapsed="false">
      <c r="A1144" s="8" t="n">
        <v>45588</v>
      </c>
      <c r="B1144" s="9" t="n">
        <f aca="false">DAY(A1144)</f>
        <v>23</v>
      </c>
      <c r="C1144" s="9" t="n">
        <f aca="false">MONTH(A1144)</f>
        <v>10</v>
      </c>
      <c r="D1144" s="9" t="n">
        <f aca="false">YEAR(A1144)</f>
        <v>2024</v>
      </c>
      <c r="E1144" s="9" t="n">
        <f aca="false">WEEKDAY(A1144,2)</f>
        <v>3</v>
      </c>
      <c r="F1144" s="10" t="n">
        <f aca="false">WEEKNUM(A1144,2) - WEEKNUM(DATE(YEAR(A1144),MONTH(A1144),1),2) + 1</f>
        <v>4</v>
      </c>
      <c r="G1144" s="10"/>
      <c r="H1144" s="11" t="n">
        <v>3420</v>
      </c>
      <c r="I1144" s="12" t="s">
        <v>15</v>
      </c>
      <c r="J1144" s="12" t="s">
        <v>54</v>
      </c>
      <c r="K1144" s="12"/>
      <c r="L1144" s="9" t="n">
        <f aca="false">L1143+H1144</f>
        <v>60528.47</v>
      </c>
      <c r="M1144" s="10" t="str">
        <f aca="false">VLOOKUP(J1144,RECATALOGANDO!A:C,2,0)</f>
        <v>SERVICIO DE LABORATORIO</v>
      </c>
      <c r="N1144" s="12" t="str">
        <f aca="false">VLOOKUP(M1144,RECATALOGANDO!B:C,2,0)</f>
        <v>VENTA DE SERVICIO</v>
      </c>
      <c r="O1144" s="2" t="s">
        <v>78</v>
      </c>
    </row>
    <row r="1145" customFormat="false" ht="13.8" hidden="false" customHeight="false" outlineLevel="0" collapsed="false">
      <c r="A1145" s="8" t="n">
        <v>45590</v>
      </c>
      <c r="B1145" s="9" t="n">
        <f aca="false">DAY(A1145)</f>
        <v>25</v>
      </c>
      <c r="C1145" s="9" t="n">
        <f aca="false">MONTH(A1145)</f>
        <v>10</v>
      </c>
      <c r="D1145" s="9" t="n">
        <f aca="false">YEAR(A1145)</f>
        <v>2024</v>
      </c>
      <c r="E1145" s="9" t="n">
        <f aca="false">WEEKDAY(A1145,2)</f>
        <v>5</v>
      </c>
      <c r="F1145" s="10" t="n">
        <f aca="false">WEEKNUM(A1145,2) - WEEKNUM(DATE(YEAR(A1145),MONTH(A1145),1),2) + 1</f>
        <v>4</v>
      </c>
      <c r="G1145" s="10"/>
      <c r="H1145" s="11" t="n">
        <v>2487.59</v>
      </c>
      <c r="I1145" s="12" t="s">
        <v>15</v>
      </c>
      <c r="J1145" s="12" t="s">
        <v>51</v>
      </c>
      <c r="K1145" s="12"/>
      <c r="L1145" s="9" t="n">
        <f aca="false">L1144+H1145</f>
        <v>63016.06</v>
      </c>
      <c r="M1145" s="10" t="str">
        <f aca="false">VLOOKUP(J1145,RECATALOGANDO!A:C,2,0)</f>
        <v>VENTA DE ALIMENTO</v>
      </c>
      <c r="N1145" s="12" t="str">
        <f aca="false">VLOOKUP(M1145,RECATALOGANDO!B:C,2,0)</f>
        <v>VENTA DE PRODUCTO</v>
      </c>
      <c r="O1145" s="2" t="s">
        <v>78</v>
      </c>
    </row>
    <row r="1146" customFormat="false" ht="13.8" hidden="false" customHeight="false" outlineLevel="0" collapsed="false">
      <c r="A1146" s="8" t="n">
        <v>45590</v>
      </c>
      <c r="B1146" s="9" t="n">
        <f aca="false">DAY(A1146)</f>
        <v>25</v>
      </c>
      <c r="C1146" s="9" t="n">
        <f aca="false">MONTH(A1146)</f>
        <v>10</v>
      </c>
      <c r="D1146" s="9" t="n">
        <f aca="false">YEAR(A1146)</f>
        <v>2024</v>
      </c>
      <c r="E1146" s="9" t="n">
        <f aca="false">WEEKDAY(A1146,2)</f>
        <v>5</v>
      </c>
      <c r="F1146" s="10" t="n">
        <f aca="false">WEEKNUM(A1146,2) - WEEKNUM(DATE(YEAR(A1146),MONTH(A1146),1),2) + 1</f>
        <v>4</v>
      </c>
      <c r="G1146" s="10"/>
      <c r="H1146" s="11" t="n">
        <v>500</v>
      </c>
      <c r="I1146" s="12" t="s">
        <v>20</v>
      </c>
      <c r="J1146" s="12" t="s">
        <v>44</v>
      </c>
      <c r="K1146" s="12"/>
      <c r="L1146" s="9" t="n">
        <f aca="false">L1145+H1146</f>
        <v>63516.06</v>
      </c>
      <c r="M1146" s="10" t="str">
        <f aca="false">VLOOKUP(J1146,RECATALOGANDO!A:C,2,0)</f>
        <v>HONORARIOS MEDICOS</v>
      </c>
      <c r="N1146" s="12" t="str">
        <f aca="false">VLOOKUP(M1146,RECATALOGANDO!B:C,2,0)</f>
        <v>VENTA DE SERVICIO</v>
      </c>
      <c r="O1146" s="2" t="s">
        <v>78</v>
      </c>
    </row>
    <row r="1147" customFormat="false" ht="13.8" hidden="false" customHeight="false" outlineLevel="0" collapsed="false">
      <c r="A1147" s="8" t="n">
        <v>45593</v>
      </c>
      <c r="B1147" s="9" t="n">
        <f aca="false">DAY(A1147)</f>
        <v>28</v>
      </c>
      <c r="C1147" s="9" t="n">
        <f aca="false">MONTH(A1147)</f>
        <v>10</v>
      </c>
      <c r="D1147" s="9" t="n">
        <f aca="false">YEAR(A1147)</f>
        <v>2024</v>
      </c>
      <c r="E1147" s="9" t="n">
        <f aca="false">WEEKDAY(A1147,2)</f>
        <v>1</v>
      </c>
      <c r="F1147" s="10" t="n">
        <f aca="false">WEEKNUM(A1147,2) - WEEKNUM(DATE(YEAR(A1147),MONTH(A1147),1),2) + 1</f>
        <v>5</v>
      </c>
      <c r="G1147" s="10"/>
      <c r="H1147" s="11" t="n">
        <v>1480</v>
      </c>
      <c r="I1147" s="12" t="s">
        <v>15</v>
      </c>
      <c r="J1147" s="12" t="s">
        <v>51</v>
      </c>
      <c r="K1147" s="12"/>
      <c r="L1147" s="9" t="n">
        <f aca="false">L1146+H1147</f>
        <v>64996.06</v>
      </c>
      <c r="M1147" s="10" t="str">
        <f aca="false">VLOOKUP(J1147,RECATALOGANDO!A:C,2,0)</f>
        <v>VENTA DE ALIMENTO</v>
      </c>
      <c r="N1147" s="12" t="str">
        <f aca="false">VLOOKUP(M1147,RECATALOGANDO!B:C,2,0)</f>
        <v>VENTA DE PRODUCTO</v>
      </c>
      <c r="O1147" s="2" t="s">
        <v>78</v>
      </c>
    </row>
    <row r="1148" customFormat="false" ht="13.8" hidden="false" customHeight="false" outlineLevel="0" collapsed="false">
      <c r="A1148" s="8" t="n">
        <v>45594</v>
      </c>
      <c r="B1148" s="9" t="n">
        <f aca="false">DAY(A1148)</f>
        <v>29</v>
      </c>
      <c r="C1148" s="9" t="n">
        <f aca="false">MONTH(A1148)</f>
        <v>10</v>
      </c>
      <c r="D1148" s="9" t="n">
        <f aca="false">YEAR(A1148)</f>
        <v>2024</v>
      </c>
      <c r="E1148" s="9" t="n">
        <f aca="false">WEEKDAY(A1148,2)</f>
        <v>2</v>
      </c>
      <c r="F1148" s="10" t="n">
        <f aca="false">WEEKNUM(A1148,2) - WEEKNUM(DATE(YEAR(A1148),MONTH(A1148),1),2) + 1</f>
        <v>5</v>
      </c>
      <c r="G1148" s="10"/>
      <c r="H1148" s="11" t="n">
        <v>356</v>
      </c>
      <c r="I1148" s="12" t="s">
        <v>15</v>
      </c>
      <c r="J1148" s="12" t="s">
        <v>51</v>
      </c>
      <c r="K1148" s="12"/>
      <c r="L1148" s="9" t="n">
        <f aca="false">L1147+H1148</f>
        <v>65352.06</v>
      </c>
      <c r="M1148" s="10" t="str">
        <f aca="false">VLOOKUP(J1148,RECATALOGANDO!A:C,2,0)</f>
        <v>VENTA DE ALIMENTO</v>
      </c>
      <c r="N1148" s="12" t="str">
        <f aca="false">VLOOKUP(M1148,RECATALOGANDO!B:C,2,0)</f>
        <v>VENTA DE PRODUCTO</v>
      </c>
      <c r="O1148" s="2" t="s">
        <v>78</v>
      </c>
    </row>
    <row r="1149" customFormat="false" ht="13.8" hidden="false" customHeight="false" outlineLevel="0" collapsed="false">
      <c r="A1149" s="8" t="n">
        <v>45595</v>
      </c>
      <c r="B1149" s="9" t="n">
        <f aca="false">DAY(A1149)</f>
        <v>30</v>
      </c>
      <c r="C1149" s="9" t="n">
        <f aca="false">MONTH(A1149)</f>
        <v>10</v>
      </c>
      <c r="D1149" s="9" t="n">
        <f aca="false">YEAR(A1149)</f>
        <v>2024</v>
      </c>
      <c r="E1149" s="9" t="n">
        <f aca="false">WEEKDAY(A1149,2)</f>
        <v>3</v>
      </c>
      <c r="F1149" s="10" t="n">
        <f aca="false">WEEKNUM(A1149,2) - WEEKNUM(DATE(YEAR(A1149),MONTH(A1149),1),2) + 1</f>
        <v>5</v>
      </c>
      <c r="G1149" s="10" t="n">
        <v>2</v>
      </c>
      <c r="H1149" s="11" t="n">
        <v>70</v>
      </c>
      <c r="I1149" s="12" t="s">
        <v>15</v>
      </c>
      <c r="J1149" s="12" t="s">
        <v>45</v>
      </c>
      <c r="K1149" s="12"/>
      <c r="L1149" s="9" t="n">
        <f aca="false">L1148+H1149</f>
        <v>65422.06</v>
      </c>
      <c r="M1149" s="10" t="str">
        <f aca="false">VLOOKUP(J1149,RECATALOGANDO!A:C,2,0)</f>
        <v>VENTA DE MEDICAMENTO</v>
      </c>
      <c r="N1149" s="12" t="str">
        <f aca="false">VLOOKUP(M1149,RECATALOGANDO!B:C,2,0)</f>
        <v>VENTA DE PRODUCTO</v>
      </c>
      <c r="O1149" s="2" t="s">
        <v>78</v>
      </c>
    </row>
    <row r="1150" customFormat="false" ht="13.8" hidden="false" customHeight="false" outlineLevel="0" collapsed="false">
      <c r="A1150" s="8" t="n">
        <v>45597</v>
      </c>
      <c r="B1150" s="9" t="n">
        <f aca="false">DAY(A1150)</f>
        <v>1</v>
      </c>
      <c r="C1150" s="9" t="n">
        <f aca="false">MONTH(A1150)</f>
        <v>11</v>
      </c>
      <c r="D1150" s="9" t="n">
        <f aca="false">YEAR(A1150)</f>
        <v>2024</v>
      </c>
      <c r="E1150" s="9" t="n">
        <f aca="false">WEEKDAY(A1150,2)</f>
        <v>5</v>
      </c>
      <c r="F1150" s="10" t="n">
        <f aca="false">WEEKNUM(A1150,2) - WEEKNUM(DATE(YEAR(A1150),MONTH(A1150),1),2) + 1</f>
        <v>1</v>
      </c>
      <c r="G1150" s="10"/>
      <c r="H1150" s="11" t="n">
        <v>2000</v>
      </c>
      <c r="I1150" s="12" t="s">
        <v>20</v>
      </c>
      <c r="J1150" s="12" t="s">
        <v>49</v>
      </c>
      <c r="K1150" s="12"/>
      <c r="L1150" s="9" t="n">
        <f aca="false">H1150</f>
        <v>2000</v>
      </c>
      <c r="M1150" s="10" t="str">
        <f aca="false">VLOOKUP(J1150,RECATALOGANDO!A:C,2,0)</f>
        <v>SERVICIO DE GROOMING</v>
      </c>
      <c r="N1150" s="12" t="str">
        <f aca="false">VLOOKUP(M1150,RECATALOGANDO!B:C,2,0)</f>
        <v>VENTA DE SERVICIO</v>
      </c>
      <c r="O1150" s="2" t="s">
        <v>78</v>
      </c>
    </row>
    <row r="1151" customFormat="false" ht="13.8" hidden="false" customHeight="false" outlineLevel="0" collapsed="false">
      <c r="A1151" s="8" t="n">
        <v>45597</v>
      </c>
      <c r="B1151" s="9" t="n">
        <f aca="false">DAY(A1151)</f>
        <v>1</v>
      </c>
      <c r="C1151" s="9" t="n">
        <f aca="false">MONTH(A1151)</f>
        <v>11</v>
      </c>
      <c r="D1151" s="9" t="n">
        <f aca="false">YEAR(A1151)</f>
        <v>2024</v>
      </c>
      <c r="E1151" s="9" t="n">
        <f aca="false">WEEKDAY(A1151,2)</f>
        <v>5</v>
      </c>
      <c r="F1151" s="10" t="n">
        <f aca="false">WEEKNUM(A1151,2) - WEEKNUM(DATE(YEAR(A1151),MONTH(A1151),1),2) + 1</f>
        <v>1</v>
      </c>
      <c r="G1151" s="10"/>
      <c r="H1151" s="11" t="n">
        <v>3000</v>
      </c>
      <c r="I1151" s="12" t="s">
        <v>20</v>
      </c>
      <c r="J1151" s="12" t="s">
        <v>54</v>
      </c>
      <c r="K1151" s="12"/>
      <c r="L1151" s="9" t="n">
        <f aca="false">L1150+H1151</f>
        <v>5000</v>
      </c>
      <c r="M1151" s="10" t="str">
        <f aca="false">VLOOKUP(J1151,RECATALOGANDO!A:C,2,0)</f>
        <v>SERVICIO DE LABORATORIO</v>
      </c>
      <c r="N1151" s="12" t="str">
        <f aca="false">VLOOKUP(M1151,RECATALOGANDO!B:C,2,0)</f>
        <v>VENTA DE SERVICIO</v>
      </c>
      <c r="O1151" s="2" t="s">
        <v>78</v>
      </c>
    </row>
    <row r="1152" customFormat="false" ht="13.8" hidden="false" customHeight="false" outlineLevel="0" collapsed="false">
      <c r="A1152" s="8" t="n">
        <v>45598</v>
      </c>
      <c r="B1152" s="9" t="n">
        <f aca="false">DAY(A1152)</f>
        <v>2</v>
      </c>
      <c r="C1152" s="9" t="n">
        <f aca="false">MONTH(A1152)</f>
        <v>11</v>
      </c>
      <c r="D1152" s="9" t="n">
        <f aca="false">YEAR(A1152)</f>
        <v>2024</v>
      </c>
      <c r="E1152" s="9" t="n">
        <f aca="false">WEEKDAY(A1152,2)</f>
        <v>6</v>
      </c>
      <c r="F1152" s="10" t="n">
        <f aca="false">WEEKNUM(A1152,2) - WEEKNUM(DATE(YEAR(A1152),MONTH(A1152),1),2) + 1</f>
        <v>1</v>
      </c>
      <c r="G1152" s="10"/>
      <c r="H1152" s="11" t="n">
        <v>148.53</v>
      </c>
      <c r="I1152" s="12" t="s">
        <v>15</v>
      </c>
      <c r="J1152" s="12" t="s">
        <v>49</v>
      </c>
      <c r="K1152" s="12"/>
      <c r="L1152" s="9" t="n">
        <f aca="false">L1151+H1152</f>
        <v>5148.53</v>
      </c>
      <c r="M1152" s="10" t="str">
        <f aca="false">VLOOKUP(J1152,RECATALOGANDO!A:C,2,0)</f>
        <v>SERVICIO DE GROOMING</v>
      </c>
      <c r="N1152" s="12" t="str">
        <f aca="false">VLOOKUP(M1152,RECATALOGANDO!B:C,2,0)</f>
        <v>VENTA DE SERVICIO</v>
      </c>
      <c r="O1152" s="2" t="s">
        <v>78</v>
      </c>
    </row>
    <row r="1153" customFormat="false" ht="13.8" hidden="false" customHeight="false" outlineLevel="0" collapsed="false">
      <c r="A1153" s="8" t="n">
        <v>45600</v>
      </c>
      <c r="B1153" s="9" t="n">
        <f aca="false">DAY(A1153)</f>
        <v>4</v>
      </c>
      <c r="C1153" s="9" t="n">
        <f aca="false">MONTH(A1153)</f>
        <v>11</v>
      </c>
      <c r="D1153" s="9" t="n">
        <f aca="false">YEAR(A1153)</f>
        <v>2024</v>
      </c>
      <c r="E1153" s="9" t="n">
        <f aca="false">WEEKDAY(A1153,2)</f>
        <v>1</v>
      </c>
      <c r="F1153" s="10" t="n">
        <f aca="false">WEEKNUM(A1153,2) - WEEKNUM(DATE(YEAR(A1153),MONTH(A1153),1),2) + 1</f>
        <v>2</v>
      </c>
      <c r="G1153" s="10"/>
      <c r="H1153" s="11" t="n">
        <v>690</v>
      </c>
      <c r="I1153" s="12" t="s">
        <v>20</v>
      </c>
      <c r="J1153" s="12" t="s">
        <v>45</v>
      </c>
      <c r="K1153" s="12"/>
      <c r="L1153" s="9" t="n">
        <f aca="false">L1152+H1153</f>
        <v>5838.53</v>
      </c>
      <c r="M1153" s="10" t="str">
        <f aca="false">VLOOKUP(J1153,RECATALOGANDO!A:C,2,0)</f>
        <v>VENTA DE MEDICAMENTO</v>
      </c>
      <c r="N1153" s="12" t="str">
        <f aca="false">VLOOKUP(M1153,RECATALOGANDO!B:C,2,0)</f>
        <v>VENTA DE PRODUCTO</v>
      </c>
      <c r="O1153" s="2" t="s">
        <v>78</v>
      </c>
    </row>
    <row r="1154" customFormat="false" ht="13.8" hidden="false" customHeight="false" outlineLevel="0" collapsed="false">
      <c r="A1154" s="8" t="n">
        <v>45600</v>
      </c>
      <c r="B1154" s="9" t="n">
        <f aca="false">DAY(A1154)</f>
        <v>4</v>
      </c>
      <c r="C1154" s="9" t="n">
        <f aca="false">MONTH(A1154)</f>
        <v>11</v>
      </c>
      <c r="D1154" s="9" t="n">
        <f aca="false">YEAR(A1154)</f>
        <v>2024</v>
      </c>
      <c r="E1154" s="9" t="n">
        <f aca="false">WEEKDAY(A1154,2)</f>
        <v>1</v>
      </c>
      <c r="F1154" s="10" t="n">
        <f aca="false">WEEKNUM(A1154,2) - WEEKNUM(DATE(YEAR(A1154),MONTH(A1154),1),2) + 1</f>
        <v>2</v>
      </c>
      <c r="G1154" s="10"/>
      <c r="H1154" s="11" t="n">
        <v>2180</v>
      </c>
      <c r="I1154" s="12" t="s">
        <v>20</v>
      </c>
      <c r="J1154" s="12" t="s">
        <v>51</v>
      </c>
      <c r="K1154" s="12"/>
      <c r="L1154" s="9" t="n">
        <f aca="false">L1153+H1154</f>
        <v>8018.53</v>
      </c>
      <c r="M1154" s="10" t="str">
        <f aca="false">VLOOKUP(J1154,RECATALOGANDO!A:C,2,0)</f>
        <v>VENTA DE ALIMENTO</v>
      </c>
      <c r="N1154" s="12" t="str">
        <f aca="false">VLOOKUP(M1154,RECATALOGANDO!B:C,2,0)</f>
        <v>VENTA DE PRODUCTO</v>
      </c>
      <c r="O1154" s="2" t="s">
        <v>78</v>
      </c>
    </row>
    <row r="1155" customFormat="false" ht="13.8" hidden="false" customHeight="false" outlineLevel="0" collapsed="false">
      <c r="A1155" s="8" t="n">
        <v>45600</v>
      </c>
      <c r="B1155" s="9" t="n">
        <f aca="false">DAY(A1155)</f>
        <v>4</v>
      </c>
      <c r="C1155" s="9" t="n">
        <f aca="false">MONTH(A1155)</f>
        <v>11</v>
      </c>
      <c r="D1155" s="9" t="n">
        <f aca="false">YEAR(A1155)</f>
        <v>2024</v>
      </c>
      <c r="E1155" s="9" t="n">
        <f aca="false">WEEKDAY(A1155,2)</f>
        <v>1</v>
      </c>
      <c r="F1155" s="10" t="n">
        <f aca="false">WEEKNUM(A1155,2) - WEEKNUM(DATE(YEAR(A1155),MONTH(A1155),1),2) + 1</f>
        <v>2</v>
      </c>
      <c r="G1155" s="10"/>
      <c r="H1155" s="11" t="n">
        <v>5675</v>
      </c>
      <c r="I1155" s="12" t="s">
        <v>20</v>
      </c>
      <c r="J1155" s="12" t="s">
        <v>45</v>
      </c>
      <c r="K1155" s="12"/>
      <c r="L1155" s="9" t="n">
        <f aca="false">L1154+H1155</f>
        <v>13693.53</v>
      </c>
      <c r="M1155" s="10" t="str">
        <f aca="false">VLOOKUP(J1155,RECATALOGANDO!A:C,2,0)</f>
        <v>VENTA DE MEDICAMENTO</v>
      </c>
      <c r="N1155" s="12" t="str">
        <f aca="false">VLOOKUP(M1155,RECATALOGANDO!B:C,2,0)</f>
        <v>VENTA DE PRODUCTO</v>
      </c>
      <c r="O1155" s="2" t="s">
        <v>78</v>
      </c>
    </row>
    <row r="1156" customFormat="false" ht="13.8" hidden="false" customHeight="false" outlineLevel="0" collapsed="false">
      <c r="A1156" s="8" t="n">
        <v>45600</v>
      </c>
      <c r="B1156" s="9" t="n">
        <f aca="false">DAY(A1156)</f>
        <v>4</v>
      </c>
      <c r="C1156" s="9" t="n">
        <f aca="false">MONTH(A1156)</f>
        <v>11</v>
      </c>
      <c r="D1156" s="9" t="n">
        <f aca="false">YEAR(A1156)</f>
        <v>2024</v>
      </c>
      <c r="E1156" s="9" t="n">
        <f aca="false">WEEKDAY(A1156,2)</f>
        <v>1</v>
      </c>
      <c r="F1156" s="10" t="n">
        <f aca="false">WEEKNUM(A1156,2) - WEEKNUM(DATE(YEAR(A1156),MONTH(A1156),1),2) + 1</f>
        <v>2</v>
      </c>
      <c r="G1156" s="10"/>
      <c r="H1156" s="11" t="n">
        <v>2990</v>
      </c>
      <c r="I1156" s="12" t="s">
        <v>20</v>
      </c>
      <c r="J1156" s="12" t="s">
        <v>54</v>
      </c>
      <c r="K1156" s="12"/>
      <c r="L1156" s="9" t="n">
        <f aca="false">L1155+H1156</f>
        <v>16683.53</v>
      </c>
      <c r="M1156" s="10" t="str">
        <f aca="false">VLOOKUP(J1156,RECATALOGANDO!A:C,2,0)</f>
        <v>SERVICIO DE LABORATORIO</v>
      </c>
      <c r="N1156" s="12" t="str">
        <f aca="false">VLOOKUP(M1156,RECATALOGANDO!B:C,2,0)</f>
        <v>VENTA DE SERVICIO</v>
      </c>
      <c r="O1156" s="2" t="s">
        <v>78</v>
      </c>
    </row>
    <row r="1157" customFormat="false" ht="13.8" hidden="false" customHeight="false" outlineLevel="0" collapsed="false">
      <c r="A1157" s="8" t="n">
        <v>45600</v>
      </c>
      <c r="B1157" s="9" t="n">
        <f aca="false">DAY(A1157)</f>
        <v>4</v>
      </c>
      <c r="C1157" s="9" t="n">
        <f aca="false">MONTH(A1157)</f>
        <v>11</v>
      </c>
      <c r="D1157" s="9" t="n">
        <f aca="false">YEAR(A1157)</f>
        <v>2024</v>
      </c>
      <c r="E1157" s="9" t="n">
        <f aca="false">WEEKDAY(A1157,2)</f>
        <v>1</v>
      </c>
      <c r="F1157" s="10" t="n">
        <f aca="false">WEEKNUM(A1157,2) - WEEKNUM(DATE(YEAR(A1157),MONTH(A1157),1),2) + 1</f>
        <v>2</v>
      </c>
      <c r="G1157" s="10"/>
      <c r="H1157" s="11" t="n">
        <v>4318.79</v>
      </c>
      <c r="I1157" s="12" t="s">
        <v>15</v>
      </c>
      <c r="J1157" s="12" t="s">
        <v>64</v>
      </c>
      <c r="K1157" s="12"/>
      <c r="L1157" s="9" t="n">
        <f aca="false">L1156+H1157</f>
        <v>21002.32</v>
      </c>
      <c r="M1157" s="10" t="str">
        <f aca="false">VLOOKUP(J1157,RECATALOGANDO!A:C,2,0)</f>
        <v>HONORARIOS QUIRURGICOS</v>
      </c>
      <c r="N1157" s="12" t="str">
        <f aca="false">VLOOKUP(M1157,RECATALOGANDO!B:C,2,0)</f>
        <v>VENTA DE SERVICIO</v>
      </c>
      <c r="O1157" s="2" t="s">
        <v>78</v>
      </c>
    </row>
    <row r="1158" customFormat="false" ht="13.8" hidden="false" customHeight="false" outlineLevel="0" collapsed="false">
      <c r="A1158" s="8" t="n">
        <v>45601</v>
      </c>
      <c r="B1158" s="9" t="n">
        <f aca="false">DAY(A1158)</f>
        <v>5</v>
      </c>
      <c r="C1158" s="9" t="n">
        <f aca="false">MONTH(A1158)</f>
        <v>11</v>
      </c>
      <c r="D1158" s="9" t="n">
        <f aca="false">YEAR(A1158)</f>
        <v>2024</v>
      </c>
      <c r="E1158" s="9" t="n">
        <f aca="false">WEEKDAY(A1158,2)</f>
        <v>2</v>
      </c>
      <c r="F1158" s="10" t="n">
        <f aca="false">WEEKNUM(A1158,2) - WEEKNUM(DATE(YEAR(A1158),MONTH(A1158),1),2) + 1</f>
        <v>2</v>
      </c>
      <c r="G1158" s="10"/>
      <c r="H1158" s="11" t="n">
        <v>2699</v>
      </c>
      <c r="I1158" s="12" t="s">
        <v>15</v>
      </c>
      <c r="J1158" s="12" t="s">
        <v>45</v>
      </c>
      <c r="K1158" s="12"/>
      <c r="L1158" s="9" t="n">
        <f aca="false">L1157+H1158</f>
        <v>23701.32</v>
      </c>
      <c r="M1158" s="10" t="str">
        <f aca="false">VLOOKUP(J1158,RECATALOGANDO!A:C,2,0)</f>
        <v>VENTA DE MEDICAMENTO</v>
      </c>
      <c r="N1158" s="12" t="str">
        <f aca="false">VLOOKUP(M1158,RECATALOGANDO!B:C,2,0)</f>
        <v>VENTA DE PRODUCTO</v>
      </c>
      <c r="O1158" s="2" t="s">
        <v>78</v>
      </c>
    </row>
    <row r="1159" customFormat="false" ht="13.8" hidden="false" customHeight="false" outlineLevel="0" collapsed="false">
      <c r="A1159" s="8" t="n">
        <v>45601</v>
      </c>
      <c r="B1159" s="9" t="n">
        <f aca="false">DAY(A1159)</f>
        <v>5</v>
      </c>
      <c r="C1159" s="9" t="n">
        <f aca="false">MONTH(A1159)</f>
        <v>11</v>
      </c>
      <c r="D1159" s="9" t="n">
        <f aca="false">YEAR(A1159)</f>
        <v>2024</v>
      </c>
      <c r="E1159" s="9" t="n">
        <f aca="false">WEEKDAY(A1159,2)</f>
        <v>2</v>
      </c>
      <c r="F1159" s="10" t="n">
        <f aca="false">WEEKNUM(A1159,2) - WEEKNUM(DATE(YEAR(A1159),MONTH(A1159),1),2) + 1</f>
        <v>2</v>
      </c>
      <c r="G1159" s="10"/>
      <c r="H1159" s="11" t="n">
        <v>570</v>
      </c>
      <c r="I1159" s="12" t="s">
        <v>15</v>
      </c>
      <c r="J1159" s="12" t="s">
        <v>44</v>
      </c>
      <c r="K1159" s="12"/>
      <c r="L1159" s="9" t="n">
        <f aca="false">L1158+H1159</f>
        <v>24271.32</v>
      </c>
      <c r="M1159" s="10" t="str">
        <f aca="false">VLOOKUP(J1159,RECATALOGANDO!A:C,2,0)</f>
        <v>HONORARIOS MEDICOS</v>
      </c>
      <c r="N1159" s="12" t="str">
        <f aca="false">VLOOKUP(M1159,RECATALOGANDO!B:C,2,0)</f>
        <v>VENTA DE SERVICIO</v>
      </c>
      <c r="O1159" s="2" t="s">
        <v>78</v>
      </c>
    </row>
    <row r="1160" customFormat="false" ht="13.8" hidden="false" customHeight="false" outlineLevel="0" collapsed="false">
      <c r="A1160" s="8" t="n">
        <v>45602</v>
      </c>
      <c r="B1160" s="9" t="n">
        <f aca="false">DAY(A1160)</f>
        <v>6</v>
      </c>
      <c r="C1160" s="9" t="n">
        <f aca="false">MONTH(A1160)</f>
        <v>11</v>
      </c>
      <c r="D1160" s="9" t="n">
        <f aca="false">YEAR(A1160)</f>
        <v>2024</v>
      </c>
      <c r="E1160" s="9" t="n">
        <f aca="false">WEEKDAY(A1160,2)</f>
        <v>3</v>
      </c>
      <c r="F1160" s="10" t="n">
        <f aca="false">WEEKNUM(A1160,2) - WEEKNUM(DATE(YEAR(A1160),MONTH(A1160),1),2) + 1</f>
        <v>2</v>
      </c>
      <c r="G1160" s="10"/>
      <c r="H1160" s="11" t="n">
        <v>2941.09</v>
      </c>
      <c r="I1160" s="12" t="s">
        <v>15</v>
      </c>
      <c r="J1160" s="12" t="s">
        <v>45</v>
      </c>
      <c r="K1160" s="12"/>
      <c r="L1160" s="9" t="n">
        <f aca="false">L1159+H1160</f>
        <v>27212.41</v>
      </c>
      <c r="M1160" s="10" t="str">
        <f aca="false">VLOOKUP(J1160,RECATALOGANDO!A:C,2,0)</f>
        <v>VENTA DE MEDICAMENTO</v>
      </c>
      <c r="N1160" s="12" t="str">
        <f aca="false">VLOOKUP(M1160,RECATALOGANDO!B:C,2,0)</f>
        <v>VENTA DE PRODUCTO</v>
      </c>
      <c r="O1160" s="2" t="s">
        <v>78</v>
      </c>
    </row>
    <row r="1161" customFormat="false" ht="13.8" hidden="false" customHeight="false" outlineLevel="0" collapsed="false">
      <c r="A1161" s="8" t="n">
        <v>45602</v>
      </c>
      <c r="B1161" s="9" t="n">
        <f aca="false">DAY(A1161)</f>
        <v>6</v>
      </c>
      <c r="C1161" s="9" t="n">
        <f aca="false">MONTH(A1161)</f>
        <v>11</v>
      </c>
      <c r="D1161" s="9" t="n">
        <f aca="false">YEAR(A1161)</f>
        <v>2024</v>
      </c>
      <c r="E1161" s="9" t="n">
        <f aca="false">WEEKDAY(A1161,2)</f>
        <v>3</v>
      </c>
      <c r="F1161" s="10" t="n">
        <f aca="false">WEEKNUM(A1161,2) - WEEKNUM(DATE(YEAR(A1161),MONTH(A1161),1),2) + 1</f>
        <v>2</v>
      </c>
      <c r="G1161" s="10"/>
      <c r="H1161" s="11" t="n">
        <v>2339</v>
      </c>
      <c r="I1161" s="12" t="s">
        <v>20</v>
      </c>
      <c r="J1161" s="12" t="s">
        <v>59</v>
      </c>
      <c r="K1161" s="12"/>
      <c r="L1161" s="9" t="n">
        <f aca="false">L1160+H1161</f>
        <v>29551.41</v>
      </c>
      <c r="M1161" s="10" t="str">
        <f aca="false">VLOOKUP(J1161,RECATALOGANDO!A:C,2,0)</f>
        <v>SERVICIO DE PENSION</v>
      </c>
      <c r="N1161" s="12" t="str">
        <f aca="false">VLOOKUP(M1161,RECATALOGANDO!B:C,2,0)</f>
        <v>VENTA DE SERVICIO</v>
      </c>
      <c r="O1161" s="2" t="s">
        <v>78</v>
      </c>
    </row>
    <row r="1162" customFormat="false" ht="13.8" hidden="false" customHeight="false" outlineLevel="0" collapsed="false">
      <c r="A1162" s="8" t="n">
        <v>45603</v>
      </c>
      <c r="B1162" s="9" t="n">
        <f aca="false">DAY(A1162)</f>
        <v>7</v>
      </c>
      <c r="C1162" s="9" t="n">
        <f aca="false">MONTH(A1162)</f>
        <v>11</v>
      </c>
      <c r="D1162" s="9" t="n">
        <f aca="false">YEAR(A1162)</f>
        <v>2024</v>
      </c>
      <c r="E1162" s="9" t="n">
        <f aca="false">WEEKDAY(A1162,2)</f>
        <v>4</v>
      </c>
      <c r="F1162" s="10" t="n">
        <f aca="false">WEEKNUM(A1162,2) - WEEKNUM(DATE(YEAR(A1162),MONTH(A1162),1),2) + 1</f>
        <v>2</v>
      </c>
      <c r="G1162" s="10"/>
      <c r="H1162" s="11" t="n">
        <v>1879</v>
      </c>
      <c r="I1162" s="12" t="s">
        <v>20</v>
      </c>
      <c r="J1162" s="12" t="s">
        <v>60</v>
      </c>
      <c r="K1162" s="12"/>
      <c r="L1162" s="9" t="n">
        <f aca="false">L1161+H1162</f>
        <v>31430.41</v>
      </c>
      <c r="M1162" s="10" t="str">
        <f aca="false">VLOOKUP(J1162,RECATALOGANDO!A:C,2,0)</f>
        <v>SERVICIO DE HOSPITALIZACION</v>
      </c>
      <c r="N1162" s="12" t="str">
        <f aca="false">VLOOKUP(M1162,RECATALOGANDO!B:C,2,0)</f>
        <v>VENTA DE SERVICIO</v>
      </c>
      <c r="O1162" s="2" t="s">
        <v>78</v>
      </c>
    </row>
    <row r="1163" customFormat="false" ht="13.8" hidden="false" customHeight="false" outlineLevel="0" collapsed="false">
      <c r="A1163" s="8" t="n">
        <v>45604</v>
      </c>
      <c r="B1163" s="9" t="n">
        <f aca="false">DAY(A1163)</f>
        <v>8</v>
      </c>
      <c r="C1163" s="9" t="n">
        <f aca="false">MONTH(A1163)</f>
        <v>11</v>
      </c>
      <c r="D1163" s="9" t="n">
        <f aca="false">YEAR(A1163)</f>
        <v>2024</v>
      </c>
      <c r="E1163" s="9" t="n">
        <f aca="false">WEEKDAY(A1163,2)</f>
        <v>5</v>
      </c>
      <c r="F1163" s="10" t="n">
        <f aca="false">WEEKNUM(A1163,2) - WEEKNUM(DATE(YEAR(A1163),MONTH(A1163),1),2) + 1</f>
        <v>2</v>
      </c>
      <c r="G1163" s="10"/>
      <c r="H1163" s="11" t="n">
        <v>1160</v>
      </c>
      <c r="I1163" s="12" t="s">
        <v>20</v>
      </c>
      <c r="J1163" s="12" t="s">
        <v>44</v>
      </c>
      <c r="K1163" s="12"/>
      <c r="L1163" s="9" t="n">
        <f aca="false">L1162+H1163</f>
        <v>32590.41</v>
      </c>
      <c r="M1163" s="10" t="str">
        <f aca="false">VLOOKUP(J1163,RECATALOGANDO!A:C,2,0)</f>
        <v>HONORARIOS MEDICOS</v>
      </c>
      <c r="N1163" s="12" t="str">
        <f aca="false">VLOOKUP(M1163,RECATALOGANDO!B:C,2,0)</f>
        <v>VENTA DE SERVICIO</v>
      </c>
      <c r="O1163" s="2" t="s">
        <v>78</v>
      </c>
    </row>
    <row r="1164" customFormat="false" ht="13.8" hidden="false" customHeight="false" outlineLevel="0" collapsed="false">
      <c r="A1164" s="8" t="n">
        <v>45605</v>
      </c>
      <c r="B1164" s="9" t="n">
        <f aca="false">DAY(A1164)</f>
        <v>9</v>
      </c>
      <c r="C1164" s="9" t="n">
        <f aca="false">MONTH(A1164)</f>
        <v>11</v>
      </c>
      <c r="D1164" s="9" t="n">
        <f aca="false">YEAR(A1164)</f>
        <v>2024</v>
      </c>
      <c r="E1164" s="9" t="n">
        <f aca="false">WEEKDAY(A1164,2)</f>
        <v>6</v>
      </c>
      <c r="F1164" s="10" t="n">
        <f aca="false">WEEKNUM(A1164,2) - WEEKNUM(DATE(YEAR(A1164),MONTH(A1164),1),2) + 1</f>
        <v>2</v>
      </c>
      <c r="G1164" s="10"/>
      <c r="H1164" s="11" t="n">
        <v>420</v>
      </c>
      <c r="I1164" s="12" t="s">
        <v>15</v>
      </c>
      <c r="J1164" s="12" t="s">
        <v>44</v>
      </c>
      <c r="K1164" s="12"/>
      <c r="L1164" s="9" t="n">
        <f aca="false">L1163+H1164</f>
        <v>33010.41</v>
      </c>
      <c r="M1164" s="10" t="str">
        <f aca="false">VLOOKUP(J1164,RECATALOGANDO!A:C,2,0)</f>
        <v>HONORARIOS MEDICOS</v>
      </c>
      <c r="N1164" s="12" t="str">
        <f aca="false">VLOOKUP(M1164,RECATALOGANDO!B:C,2,0)</f>
        <v>VENTA DE SERVICIO</v>
      </c>
      <c r="O1164" s="2" t="s">
        <v>78</v>
      </c>
    </row>
    <row r="1165" customFormat="false" ht="13.8" hidden="false" customHeight="false" outlineLevel="0" collapsed="false">
      <c r="A1165" s="8" t="n">
        <v>45607</v>
      </c>
      <c r="B1165" s="9" t="n">
        <f aca="false">DAY(A1165)</f>
        <v>11</v>
      </c>
      <c r="C1165" s="9" t="n">
        <f aca="false">MONTH(A1165)</f>
        <v>11</v>
      </c>
      <c r="D1165" s="9" t="n">
        <f aca="false">YEAR(A1165)</f>
        <v>2024</v>
      </c>
      <c r="E1165" s="9" t="n">
        <f aca="false">WEEKDAY(A1165,2)</f>
        <v>1</v>
      </c>
      <c r="F1165" s="10" t="n">
        <f aca="false">WEEKNUM(A1165,2) - WEEKNUM(DATE(YEAR(A1165),MONTH(A1165),1),2) + 1</f>
        <v>3</v>
      </c>
      <c r="G1165" s="10"/>
      <c r="H1165" s="11" t="n">
        <v>89</v>
      </c>
      <c r="I1165" s="12" t="s">
        <v>20</v>
      </c>
      <c r="J1165" s="12" t="s">
        <v>51</v>
      </c>
      <c r="K1165" s="12"/>
      <c r="L1165" s="9" t="n">
        <f aca="false">L1164+H1165</f>
        <v>33099.41</v>
      </c>
      <c r="M1165" s="10" t="str">
        <f aca="false">VLOOKUP(J1165,RECATALOGANDO!A:C,2,0)</f>
        <v>VENTA DE ALIMENTO</v>
      </c>
      <c r="N1165" s="12" t="str">
        <f aca="false">VLOOKUP(M1165,RECATALOGANDO!B:C,2,0)</f>
        <v>VENTA DE PRODUCTO</v>
      </c>
      <c r="O1165" s="2" t="s">
        <v>78</v>
      </c>
    </row>
    <row r="1166" customFormat="false" ht="13.8" hidden="false" customHeight="false" outlineLevel="0" collapsed="false">
      <c r="A1166" s="8" t="n">
        <v>45607</v>
      </c>
      <c r="B1166" s="9" t="n">
        <f aca="false">DAY(A1166)</f>
        <v>11</v>
      </c>
      <c r="C1166" s="9" t="n">
        <f aca="false">MONTH(A1166)</f>
        <v>11</v>
      </c>
      <c r="D1166" s="9" t="n">
        <f aca="false">YEAR(A1166)</f>
        <v>2024</v>
      </c>
      <c r="E1166" s="9" t="n">
        <f aca="false">WEEKDAY(A1166,2)</f>
        <v>1</v>
      </c>
      <c r="F1166" s="10" t="n">
        <f aca="false">WEEKNUM(A1166,2) - WEEKNUM(DATE(YEAR(A1166),MONTH(A1166),1),2) + 1</f>
        <v>3</v>
      </c>
      <c r="G1166" s="10"/>
      <c r="H1166" s="11" t="n">
        <v>2000</v>
      </c>
      <c r="I1166" s="12" t="s">
        <v>20</v>
      </c>
      <c r="J1166" s="12" t="s">
        <v>45</v>
      </c>
      <c r="K1166" s="12"/>
      <c r="L1166" s="9" t="n">
        <f aca="false">L1165+H1166</f>
        <v>35099.41</v>
      </c>
      <c r="M1166" s="10" t="str">
        <f aca="false">VLOOKUP(J1166,RECATALOGANDO!A:C,2,0)</f>
        <v>VENTA DE MEDICAMENTO</v>
      </c>
      <c r="N1166" s="12" t="str">
        <f aca="false">VLOOKUP(M1166,RECATALOGANDO!B:C,2,0)</f>
        <v>VENTA DE PRODUCTO</v>
      </c>
      <c r="O1166" s="2" t="s">
        <v>78</v>
      </c>
    </row>
    <row r="1167" customFormat="false" ht="13.8" hidden="false" customHeight="false" outlineLevel="0" collapsed="false">
      <c r="A1167" s="8" t="n">
        <v>45608</v>
      </c>
      <c r="B1167" s="9" t="n">
        <f aca="false">DAY(A1167)</f>
        <v>12</v>
      </c>
      <c r="C1167" s="9" t="n">
        <f aca="false">MONTH(A1167)</f>
        <v>11</v>
      </c>
      <c r="D1167" s="9" t="n">
        <f aca="false">YEAR(A1167)</f>
        <v>2024</v>
      </c>
      <c r="E1167" s="9" t="n">
        <f aca="false">WEEKDAY(A1167,2)</f>
        <v>2</v>
      </c>
      <c r="F1167" s="10" t="n">
        <f aca="false">WEEKNUM(A1167,2) - WEEKNUM(DATE(YEAR(A1167),MONTH(A1167),1),2) + 1</f>
        <v>3</v>
      </c>
      <c r="G1167" s="10"/>
      <c r="H1167" s="11" t="n">
        <v>300</v>
      </c>
      <c r="I1167" s="12" t="s">
        <v>15</v>
      </c>
      <c r="J1167" s="12" t="s">
        <v>49</v>
      </c>
      <c r="K1167" s="12"/>
      <c r="L1167" s="9" t="n">
        <f aca="false">L1166+H1167</f>
        <v>35399.41</v>
      </c>
      <c r="M1167" s="10" t="str">
        <f aca="false">VLOOKUP(J1167,RECATALOGANDO!A:C,2,0)</f>
        <v>SERVICIO DE GROOMING</v>
      </c>
      <c r="N1167" s="12" t="str">
        <f aca="false">VLOOKUP(M1167,RECATALOGANDO!B:C,2,0)</f>
        <v>VENTA DE SERVICIO</v>
      </c>
      <c r="O1167" s="2" t="s">
        <v>78</v>
      </c>
    </row>
    <row r="1168" customFormat="false" ht="13.8" hidden="false" customHeight="false" outlineLevel="0" collapsed="false">
      <c r="A1168" s="8" t="n">
        <v>45609</v>
      </c>
      <c r="B1168" s="9" t="n">
        <f aca="false">DAY(A1168)</f>
        <v>13</v>
      </c>
      <c r="C1168" s="9" t="n">
        <f aca="false">MONTH(A1168)</f>
        <v>11</v>
      </c>
      <c r="D1168" s="9" t="n">
        <f aca="false">YEAR(A1168)</f>
        <v>2024</v>
      </c>
      <c r="E1168" s="9" t="n">
        <f aca="false">WEEKDAY(A1168,2)</f>
        <v>3</v>
      </c>
      <c r="F1168" s="10" t="n">
        <f aca="false">WEEKNUM(A1168,2) - WEEKNUM(DATE(YEAR(A1168),MONTH(A1168),1),2) + 1</f>
        <v>3</v>
      </c>
      <c r="G1168" s="10"/>
      <c r="H1168" s="11" t="n">
        <v>1320</v>
      </c>
      <c r="I1168" s="12" t="s">
        <v>20</v>
      </c>
      <c r="J1168" s="12" t="s">
        <v>45</v>
      </c>
      <c r="K1168" s="12"/>
      <c r="L1168" s="9" t="n">
        <f aca="false">L1167+H1168</f>
        <v>36719.41</v>
      </c>
      <c r="M1168" s="10" t="str">
        <f aca="false">VLOOKUP(J1168,RECATALOGANDO!A:C,2,0)</f>
        <v>VENTA DE MEDICAMENTO</v>
      </c>
      <c r="N1168" s="12" t="str">
        <f aca="false">VLOOKUP(M1168,RECATALOGANDO!B:C,2,0)</f>
        <v>VENTA DE PRODUCTO</v>
      </c>
      <c r="O1168" s="2" t="s">
        <v>78</v>
      </c>
    </row>
    <row r="1169" customFormat="false" ht="13.8" hidden="false" customHeight="false" outlineLevel="0" collapsed="false">
      <c r="A1169" s="8" t="n">
        <v>45611</v>
      </c>
      <c r="B1169" s="9" t="n">
        <f aca="false">DAY(A1169)</f>
        <v>15</v>
      </c>
      <c r="C1169" s="9" t="n">
        <f aca="false">MONTH(A1169)</f>
        <v>11</v>
      </c>
      <c r="D1169" s="9" t="n">
        <f aca="false">YEAR(A1169)</f>
        <v>2024</v>
      </c>
      <c r="E1169" s="9" t="n">
        <f aca="false">WEEKDAY(A1169,2)</f>
        <v>5</v>
      </c>
      <c r="F1169" s="10" t="n">
        <f aca="false">WEEKNUM(A1169,2) - WEEKNUM(DATE(YEAR(A1169),MONTH(A1169),1),2) + 1</f>
        <v>3</v>
      </c>
      <c r="G1169" s="10" t="n">
        <v>1</v>
      </c>
      <c r="H1169" s="11" t="n">
        <v>287</v>
      </c>
      <c r="I1169" s="12" t="s">
        <v>20</v>
      </c>
      <c r="J1169" s="12" t="s">
        <v>45</v>
      </c>
      <c r="K1169" s="12"/>
      <c r="L1169" s="9" t="n">
        <f aca="false">L1168+H1169</f>
        <v>37006.41</v>
      </c>
      <c r="M1169" s="10" t="str">
        <f aca="false">VLOOKUP(J1169,RECATALOGANDO!A:C,2,0)</f>
        <v>VENTA DE MEDICAMENTO</v>
      </c>
      <c r="N1169" s="12" t="str">
        <f aca="false">VLOOKUP(M1169,RECATALOGANDO!B:C,2,0)</f>
        <v>VENTA DE PRODUCTO</v>
      </c>
      <c r="O1169" s="2" t="s">
        <v>78</v>
      </c>
    </row>
    <row r="1170" customFormat="false" ht="13.8" hidden="false" customHeight="false" outlineLevel="0" collapsed="false">
      <c r="A1170" s="8" t="n">
        <v>45612</v>
      </c>
      <c r="B1170" s="9" t="n">
        <f aca="false">DAY(A1170)</f>
        <v>16</v>
      </c>
      <c r="C1170" s="9" t="n">
        <f aca="false">MONTH(A1170)</f>
        <v>11</v>
      </c>
      <c r="D1170" s="9" t="n">
        <f aca="false">YEAR(A1170)</f>
        <v>2024</v>
      </c>
      <c r="E1170" s="9" t="n">
        <f aca="false">WEEKDAY(A1170,2)</f>
        <v>6</v>
      </c>
      <c r="F1170" s="10" t="n">
        <f aca="false">WEEKNUM(A1170,2) - WEEKNUM(DATE(YEAR(A1170),MONTH(A1170),1),2) + 1</f>
        <v>3</v>
      </c>
      <c r="G1170" s="10"/>
      <c r="H1170" s="11" t="n">
        <v>200</v>
      </c>
      <c r="I1170" s="12" t="s">
        <v>20</v>
      </c>
      <c r="J1170" s="12" t="s">
        <v>45</v>
      </c>
      <c r="K1170" s="12"/>
      <c r="L1170" s="9" t="n">
        <f aca="false">L1169+H1170</f>
        <v>37206.41</v>
      </c>
      <c r="M1170" s="10" t="str">
        <f aca="false">VLOOKUP(J1170,RECATALOGANDO!A:C,2,0)</f>
        <v>VENTA DE MEDICAMENTO</v>
      </c>
      <c r="N1170" s="12" t="str">
        <f aca="false">VLOOKUP(M1170,RECATALOGANDO!B:C,2,0)</f>
        <v>VENTA DE PRODUCTO</v>
      </c>
      <c r="O1170" s="2" t="s">
        <v>78</v>
      </c>
    </row>
    <row r="1171" customFormat="false" ht="13.8" hidden="false" customHeight="false" outlineLevel="0" collapsed="false">
      <c r="A1171" s="8" t="n">
        <v>45615</v>
      </c>
      <c r="B1171" s="9" t="n">
        <f aca="false">DAY(A1171)</f>
        <v>19</v>
      </c>
      <c r="C1171" s="9" t="n">
        <f aca="false">MONTH(A1171)</f>
        <v>11</v>
      </c>
      <c r="D1171" s="9" t="n">
        <f aca="false">YEAR(A1171)</f>
        <v>2024</v>
      </c>
      <c r="E1171" s="9" t="n">
        <f aca="false">WEEKDAY(A1171,2)</f>
        <v>2</v>
      </c>
      <c r="F1171" s="10" t="n">
        <f aca="false">WEEKNUM(A1171,2) - WEEKNUM(DATE(YEAR(A1171),MONTH(A1171),1),2) + 1</f>
        <v>4</v>
      </c>
      <c r="G1171" s="10"/>
      <c r="H1171" s="11" t="n">
        <v>414</v>
      </c>
      <c r="I1171" s="12" t="s">
        <v>20</v>
      </c>
      <c r="J1171" s="12" t="s">
        <v>45</v>
      </c>
      <c r="K1171" s="12"/>
      <c r="L1171" s="9" t="n">
        <f aca="false">L1170+H1171</f>
        <v>37620.41</v>
      </c>
      <c r="M1171" s="10" t="str">
        <f aca="false">VLOOKUP(J1171,RECATALOGANDO!A:C,2,0)</f>
        <v>VENTA DE MEDICAMENTO</v>
      </c>
      <c r="N1171" s="12" t="str">
        <f aca="false">VLOOKUP(M1171,RECATALOGANDO!B:C,2,0)</f>
        <v>VENTA DE PRODUCTO</v>
      </c>
      <c r="O1171" s="2" t="s">
        <v>78</v>
      </c>
    </row>
    <row r="1172" customFormat="false" ht="13.8" hidden="false" customHeight="false" outlineLevel="0" collapsed="false">
      <c r="A1172" s="8" t="n">
        <v>45615</v>
      </c>
      <c r="B1172" s="9" t="n">
        <f aca="false">DAY(A1172)</f>
        <v>19</v>
      </c>
      <c r="C1172" s="9" t="n">
        <f aca="false">MONTH(A1172)</f>
        <v>11</v>
      </c>
      <c r="D1172" s="9" t="n">
        <f aca="false">YEAR(A1172)</f>
        <v>2024</v>
      </c>
      <c r="E1172" s="9" t="n">
        <f aca="false">WEEKDAY(A1172,2)</f>
        <v>2</v>
      </c>
      <c r="F1172" s="10" t="n">
        <f aca="false">WEEKNUM(A1172,2) - WEEKNUM(DATE(YEAR(A1172),MONTH(A1172),1),2) + 1</f>
        <v>4</v>
      </c>
      <c r="G1172" s="10"/>
      <c r="H1172" s="11" t="n">
        <v>1110</v>
      </c>
      <c r="I1172" s="12" t="s">
        <v>20</v>
      </c>
      <c r="J1172" s="12" t="s">
        <v>45</v>
      </c>
      <c r="K1172" s="12"/>
      <c r="L1172" s="9" t="n">
        <f aca="false">L1171+H1172</f>
        <v>38730.41</v>
      </c>
      <c r="M1172" s="10" t="str">
        <f aca="false">VLOOKUP(J1172,RECATALOGANDO!A:C,2,0)</f>
        <v>VENTA DE MEDICAMENTO</v>
      </c>
      <c r="N1172" s="12" t="str">
        <f aca="false">VLOOKUP(M1172,RECATALOGANDO!B:C,2,0)</f>
        <v>VENTA DE PRODUCTO</v>
      </c>
      <c r="O1172" s="2" t="s">
        <v>78</v>
      </c>
    </row>
    <row r="1173" customFormat="false" ht="13.8" hidden="false" customHeight="false" outlineLevel="0" collapsed="false">
      <c r="A1173" s="8" t="n">
        <v>45615</v>
      </c>
      <c r="B1173" s="9" t="n">
        <f aca="false">DAY(A1173)</f>
        <v>19</v>
      </c>
      <c r="C1173" s="9" t="n">
        <f aca="false">MONTH(A1173)</f>
        <v>11</v>
      </c>
      <c r="D1173" s="9" t="n">
        <f aca="false">YEAR(A1173)</f>
        <v>2024</v>
      </c>
      <c r="E1173" s="9" t="n">
        <f aca="false">WEEKDAY(A1173,2)</f>
        <v>2</v>
      </c>
      <c r="F1173" s="10" t="n">
        <f aca="false">WEEKNUM(A1173,2) - WEEKNUM(DATE(YEAR(A1173),MONTH(A1173),1),2) + 1</f>
        <v>4</v>
      </c>
      <c r="G1173" s="10"/>
      <c r="H1173" s="11" t="n">
        <v>1505</v>
      </c>
      <c r="I1173" s="12" t="s">
        <v>20</v>
      </c>
      <c r="J1173" s="12" t="s">
        <v>45</v>
      </c>
      <c r="K1173" s="12"/>
      <c r="L1173" s="9" t="n">
        <f aca="false">L1172+H1173</f>
        <v>40235.41</v>
      </c>
      <c r="M1173" s="10" t="str">
        <f aca="false">VLOOKUP(J1173,RECATALOGANDO!A:C,2,0)</f>
        <v>VENTA DE MEDICAMENTO</v>
      </c>
      <c r="N1173" s="12" t="str">
        <f aca="false">VLOOKUP(M1173,RECATALOGANDO!B:C,2,0)</f>
        <v>VENTA DE PRODUCTO</v>
      </c>
      <c r="O1173" s="2" t="s">
        <v>78</v>
      </c>
    </row>
    <row r="1174" customFormat="false" ht="13.8" hidden="false" customHeight="false" outlineLevel="0" collapsed="false">
      <c r="A1174" s="8" t="n">
        <v>45615</v>
      </c>
      <c r="B1174" s="9" t="n">
        <f aca="false">DAY(A1174)</f>
        <v>19</v>
      </c>
      <c r="C1174" s="9" t="n">
        <f aca="false">MONTH(A1174)</f>
        <v>11</v>
      </c>
      <c r="D1174" s="9" t="n">
        <f aca="false">YEAR(A1174)</f>
        <v>2024</v>
      </c>
      <c r="E1174" s="9" t="n">
        <f aca="false">WEEKDAY(A1174,2)</f>
        <v>2</v>
      </c>
      <c r="F1174" s="10" t="n">
        <f aca="false">WEEKNUM(A1174,2) - WEEKNUM(DATE(YEAR(A1174),MONTH(A1174),1),2) + 1</f>
        <v>4</v>
      </c>
      <c r="G1174" s="10"/>
      <c r="H1174" s="11" t="n">
        <v>1650</v>
      </c>
      <c r="I1174" s="12" t="s">
        <v>20</v>
      </c>
      <c r="J1174" s="12" t="s">
        <v>45</v>
      </c>
      <c r="K1174" s="12"/>
      <c r="L1174" s="9" t="n">
        <f aca="false">L1173+H1174</f>
        <v>41885.41</v>
      </c>
      <c r="M1174" s="10" t="str">
        <f aca="false">VLOOKUP(J1174,RECATALOGANDO!A:C,2,0)</f>
        <v>VENTA DE MEDICAMENTO</v>
      </c>
      <c r="N1174" s="12" t="str">
        <f aca="false">VLOOKUP(M1174,RECATALOGANDO!B:C,2,0)</f>
        <v>VENTA DE PRODUCTO</v>
      </c>
      <c r="O1174" s="2" t="s">
        <v>78</v>
      </c>
    </row>
    <row r="1175" customFormat="false" ht="13.8" hidden="false" customHeight="false" outlineLevel="0" collapsed="false">
      <c r="A1175" s="8" t="n">
        <v>45615</v>
      </c>
      <c r="B1175" s="9" t="n">
        <f aca="false">DAY(A1175)</f>
        <v>19</v>
      </c>
      <c r="C1175" s="9" t="n">
        <f aca="false">MONTH(A1175)</f>
        <v>11</v>
      </c>
      <c r="D1175" s="9" t="n">
        <f aca="false">YEAR(A1175)</f>
        <v>2024</v>
      </c>
      <c r="E1175" s="9" t="n">
        <f aca="false">WEEKDAY(A1175,2)</f>
        <v>2</v>
      </c>
      <c r="F1175" s="10" t="n">
        <f aca="false">WEEKNUM(A1175,2) - WEEKNUM(DATE(YEAR(A1175),MONTH(A1175),1),2) + 1</f>
        <v>4</v>
      </c>
      <c r="G1175" s="10"/>
      <c r="H1175" s="11" t="n">
        <v>1369</v>
      </c>
      <c r="I1175" s="12" t="s">
        <v>20</v>
      </c>
      <c r="J1175" s="12" t="s">
        <v>44</v>
      </c>
      <c r="K1175" s="12"/>
      <c r="L1175" s="9" t="n">
        <f aca="false">L1174+H1175</f>
        <v>43254.41</v>
      </c>
      <c r="M1175" s="10" t="str">
        <f aca="false">VLOOKUP(J1175,RECATALOGANDO!A:C,2,0)</f>
        <v>HONORARIOS MEDICOS</v>
      </c>
      <c r="N1175" s="12" t="str">
        <f aca="false">VLOOKUP(M1175,RECATALOGANDO!B:C,2,0)</f>
        <v>VENTA DE SERVICIO</v>
      </c>
      <c r="O1175" s="2" t="s">
        <v>78</v>
      </c>
    </row>
    <row r="1176" customFormat="false" ht="13.8" hidden="false" customHeight="false" outlineLevel="0" collapsed="false">
      <c r="A1176" s="8" t="n">
        <v>45615</v>
      </c>
      <c r="B1176" s="9" t="n">
        <f aca="false">DAY(A1176)</f>
        <v>19</v>
      </c>
      <c r="C1176" s="9" t="n">
        <f aca="false">MONTH(A1176)</f>
        <v>11</v>
      </c>
      <c r="D1176" s="9" t="n">
        <f aca="false">YEAR(A1176)</f>
        <v>2024</v>
      </c>
      <c r="E1176" s="9" t="n">
        <f aca="false">WEEKDAY(A1176,2)</f>
        <v>2</v>
      </c>
      <c r="F1176" s="10" t="n">
        <f aca="false">WEEKNUM(A1176,2) - WEEKNUM(DATE(YEAR(A1176),MONTH(A1176),1),2) + 1</f>
        <v>4</v>
      </c>
      <c r="G1176" s="10"/>
      <c r="H1176" s="11" t="n">
        <v>1680</v>
      </c>
      <c r="I1176" s="12" t="s">
        <v>20</v>
      </c>
      <c r="J1176" s="12" t="s">
        <v>44</v>
      </c>
      <c r="K1176" s="12"/>
      <c r="L1176" s="9" t="n">
        <f aca="false">L1175+H1176</f>
        <v>44934.41</v>
      </c>
      <c r="M1176" s="10" t="str">
        <f aca="false">VLOOKUP(J1176,RECATALOGANDO!A:C,2,0)</f>
        <v>HONORARIOS MEDICOS</v>
      </c>
      <c r="N1176" s="12" t="str">
        <f aca="false">VLOOKUP(M1176,RECATALOGANDO!B:C,2,0)</f>
        <v>VENTA DE SERVICIO</v>
      </c>
      <c r="O1176" s="2" t="s">
        <v>78</v>
      </c>
    </row>
    <row r="1177" customFormat="false" ht="13.8" hidden="false" customHeight="false" outlineLevel="0" collapsed="false">
      <c r="A1177" s="8" t="n">
        <v>45616</v>
      </c>
      <c r="B1177" s="9" t="n">
        <f aca="false">DAY(A1177)</f>
        <v>20</v>
      </c>
      <c r="C1177" s="9" t="n">
        <f aca="false">MONTH(A1177)</f>
        <v>11</v>
      </c>
      <c r="D1177" s="9" t="n">
        <f aca="false">YEAR(A1177)</f>
        <v>2024</v>
      </c>
      <c r="E1177" s="9" t="n">
        <f aca="false">WEEKDAY(A1177,2)</f>
        <v>3</v>
      </c>
      <c r="F1177" s="10" t="n">
        <f aca="false">WEEKNUM(A1177,2) - WEEKNUM(DATE(YEAR(A1177),MONTH(A1177),1),2) + 1</f>
        <v>4</v>
      </c>
      <c r="G1177" s="10"/>
      <c r="H1177" s="11" t="n">
        <v>1485.27</v>
      </c>
      <c r="I1177" s="12" t="s">
        <v>15</v>
      </c>
      <c r="J1177" s="12" t="s">
        <v>64</v>
      </c>
      <c r="K1177" s="12"/>
      <c r="L1177" s="9" t="n">
        <f aca="false">L1176+H1177</f>
        <v>46419.68</v>
      </c>
      <c r="M1177" s="10" t="str">
        <f aca="false">VLOOKUP(J1177,RECATALOGANDO!A:C,2,0)</f>
        <v>HONORARIOS QUIRURGICOS</v>
      </c>
      <c r="N1177" s="12" t="str">
        <f aca="false">VLOOKUP(M1177,RECATALOGANDO!B:C,2,0)</f>
        <v>VENTA DE SERVICIO</v>
      </c>
      <c r="O1177" s="2" t="s">
        <v>78</v>
      </c>
    </row>
    <row r="1178" customFormat="false" ht="13.8" hidden="false" customHeight="false" outlineLevel="0" collapsed="false">
      <c r="A1178" s="8" t="n">
        <v>45617</v>
      </c>
      <c r="B1178" s="9" t="n">
        <f aca="false">DAY(A1178)</f>
        <v>21</v>
      </c>
      <c r="C1178" s="9" t="n">
        <f aca="false">MONTH(A1178)</f>
        <v>11</v>
      </c>
      <c r="D1178" s="9" t="n">
        <f aca="false">YEAR(A1178)</f>
        <v>2024</v>
      </c>
      <c r="E1178" s="9" t="n">
        <f aca="false">WEEKDAY(A1178,2)</f>
        <v>4</v>
      </c>
      <c r="F1178" s="10" t="n">
        <f aca="false">WEEKNUM(A1178,2) - WEEKNUM(DATE(YEAR(A1178),MONTH(A1178),1),2) + 1</f>
        <v>4</v>
      </c>
      <c r="G1178" s="10"/>
      <c r="H1178" s="11" t="n">
        <v>2351</v>
      </c>
      <c r="I1178" s="12" t="s">
        <v>20</v>
      </c>
      <c r="J1178" s="12" t="s">
        <v>45</v>
      </c>
      <c r="K1178" s="12"/>
      <c r="L1178" s="9" t="n">
        <f aca="false">L1177+H1178</f>
        <v>48770.68</v>
      </c>
      <c r="M1178" s="10" t="str">
        <f aca="false">VLOOKUP(J1178,RECATALOGANDO!A:C,2,0)</f>
        <v>VENTA DE MEDICAMENTO</v>
      </c>
      <c r="N1178" s="12" t="str">
        <f aca="false">VLOOKUP(M1178,RECATALOGANDO!B:C,2,0)</f>
        <v>VENTA DE PRODUCTO</v>
      </c>
      <c r="O1178" s="2" t="s">
        <v>78</v>
      </c>
    </row>
    <row r="1179" customFormat="false" ht="13.8" hidden="false" customHeight="false" outlineLevel="0" collapsed="false">
      <c r="A1179" s="8" t="n">
        <v>45618</v>
      </c>
      <c r="B1179" s="9" t="n">
        <f aca="false">DAY(A1179)</f>
        <v>22</v>
      </c>
      <c r="C1179" s="9" t="n">
        <f aca="false">MONTH(A1179)</f>
        <v>11</v>
      </c>
      <c r="D1179" s="9" t="n">
        <f aca="false">YEAR(A1179)</f>
        <v>2024</v>
      </c>
      <c r="E1179" s="9" t="n">
        <f aca="false">WEEKDAY(A1179,2)</f>
        <v>5</v>
      </c>
      <c r="F1179" s="10" t="n">
        <f aca="false">WEEKNUM(A1179,2) - WEEKNUM(DATE(YEAR(A1179),MONTH(A1179),1),2) + 1</f>
        <v>4</v>
      </c>
      <c r="G1179" s="10"/>
      <c r="H1179" s="11" t="n">
        <v>308</v>
      </c>
      <c r="I1179" s="12" t="s">
        <v>20</v>
      </c>
      <c r="J1179" s="12" t="s">
        <v>45</v>
      </c>
      <c r="K1179" s="12"/>
      <c r="L1179" s="9" t="n">
        <f aca="false">L1178+H1179</f>
        <v>49078.68</v>
      </c>
      <c r="M1179" s="10" t="str">
        <f aca="false">VLOOKUP(J1179,RECATALOGANDO!A:C,2,0)</f>
        <v>VENTA DE MEDICAMENTO</v>
      </c>
      <c r="N1179" s="12" t="str">
        <f aca="false">VLOOKUP(M1179,RECATALOGANDO!B:C,2,0)</f>
        <v>VENTA DE PRODUCTO</v>
      </c>
      <c r="O1179" s="2" t="s">
        <v>78</v>
      </c>
    </row>
    <row r="1180" customFormat="false" ht="13.8" hidden="false" customHeight="false" outlineLevel="0" collapsed="false">
      <c r="A1180" s="8" t="n">
        <v>45618</v>
      </c>
      <c r="B1180" s="9" t="n">
        <f aca="false">DAY(A1180)</f>
        <v>22</v>
      </c>
      <c r="C1180" s="9" t="n">
        <f aca="false">MONTH(A1180)</f>
        <v>11</v>
      </c>
      <c r="D1180" s="9" t="n">
        <f aca="false">YEAR(A1180)</f>
        <v>2024</v>
      </c>
      <c r="E1180" s="9" t="n">
        <f aca="false">WEEKDAY(A1180,2)</f>
        <v>5</v>
      </c>
      <c r="F1180" s="10" t="n">
        <f aca="false">WEEKNUM(A1180,2) - WEEKNUM(DATE(YEAR(A1180),MONTH(A1180),1),2) + 1</f>
        <v>4</v>
      </c>
      <c r="G1180" s="10"/>
      <c r="H1180" s="11" t="n">
        <v>940</v>
      </c>
      <c r="I1180" s="12"/>
      <c r="J1180" s="12" t="s">
        <v>44</v>
      </c>
      <c r="K1180" s="12"/>
      <c r="L1180" s="9" t="n">
        <f aca="false">L1179+H1180</f>
        <v>50018.68</v>
      </c>
      <c r="M1180" s="10" t="str">
        <f aca="false">VLOOKUP(J1180,RECATALOGANDO!A:C,2,0)</f>
        <v>HONORARIOS MEDICOS</v>
      </c>
      <c r="N1180" s="12" t="str">
        <f aca="false">VLOOKUP(M1180,RECATALOGANDO!B:C,2,0)</f>
        <v>VENTA DE SERVICIO</v>
      </c>
      <c r="O1180" s="2" t="s">
        <v>78</v>
      </c>
    </row>
    <row r="1181" customFormat="false" ht="13.8" hidden="false" customHeight="false" outlineLevel="0" collapsed="false">
      <c r="A1181" s="8" t="n">
        <v>45621</v>
      </c>
      <c r="B1181" s="9" t="n">
        <f aca="false">DAY(A1181)</f>
        <v>25</v>
      </c>
      <c r="C1181" s="9" t="n">
        <f aca="false">MONTH(A1181)</f>
        <v>11</v>
      </c>
      <c r="D1181" s="9" t="n">
        <f aca="false">YEAR(A1181)</f>
        <v>2024</v>
      </c>
      <c r="E1181" s="9" t="n">
        <f aca="false">WEEKDAY(A1181,2)</f>
        <v>1</v>
      </c>
      <c r="F1181" s="10" t="n">
        <f aca="false">WEEKNUM(A1181,2) - WEEKNUM(DATE(YEAR(A1181),MONTH(A1181),1),2) + 1</f>
        <v>5</v>
      </c>
      <c r="G1181" s="10"/>
      <c r="H1181" s="11" t="n">
        <v>390</v>
      </c>
      <c r="I1181" s="12" t="s">
        <v>20</v>
      </c>
      <c r="J1181" s="12" t="s">
        <v>45</v>
      </c>
      <c r="K1181" s="12"/>
      <c r="L1181" s="9" t="n">
        <f aca="false">L1180+H1181</f>
        <v>50408.68</v>
      </c>
      <c r="M1181" s="10" t="str">
        <f aca="false">VLOOKUP(J1181,RECATALOGANDO!A:C,2,0)</f>
        <v>VENTA DE MEDICAMENTO</v>
      </c>
      <c r="N1181" s="12" t="str">
        <f aca="false">VLOOKUP(M1181,RECATALOGANDO!B:C,2,0)</f>
        <v>VENTA DE PRODUCTO</v>
      </c>
      <c r="O1181" s="2" t="s">
        <v>78</v>
      </c>
    </row>
    <row r="1182" customFormat="false" ht="13.8" hidden="false" customHeight="false" outlineLevel="0" collapsed="false">
      <c r="A1182" s="8" t="n">
        <v>45621</v>
      </c>
      <c r="B1182" s="9" t="n">
        <f aca="false">DAY(A1182)</f>
        <v>25</v>
      </c>
      <c r="C1182" s="9" t="n">
        <f aca="false">MONTH(A1182)</f>
        <v>11</v>
      </c>
      <c r="D1182" s="9" t="n">
        <f aca="false">YEAR(A1182)</f>
        <v>2024</v>
      </c>
      <c r="E1182" s="9" t="n">
        <f aca="false">WEEKDAY(A1182,2)</f>
        <v>1</v>
      </c>
      <c r="F1182" s="10" t="n">
        <f aca="false">WEEKNUM(A1182,2) - WEEKNUM(DATE(YEAR(A1182),MONTH(A1182),1),2) + 1</f>
        <v>5</v>
      </c>
      <c r="G1182" s="10"/>
      <c r="H1182" s="11" t="n">
        <v>6000</v>
      </c>
      <c r="I1182" s="12" t="s">
        <v>20</v>
      </c>
      <c r="J1182" s="12" t="s">
        <v>45</v>
      </c>
      <c r="K1182" s="12"/>
      <c r="L1182" s="9" t="n">
        <f aca="false">L1181+H1182</f>
        <v>56408.68</v>
      </c>
      <c r="M1182" s="10" t="str">
        <f aca="false">VLOOKUP(J1182,RECATALOGANDO!A:C,2,0)</f>
        <v>VENTA DE MEDICAMENTO</v>
      </c>
      <c r="N1182" s="12" t="str">
        <f aca="false">VLOOKUP(M1182,RECATALOGANDO!B:C,2,0)</f>
        <v>VENTA DE PRODUCTO</v>
      </c>
      <c r="O1182" s="2" t="s">
        <v>78</v>
      </c>
    </row>
    <row r="1183" customFormat="false" ht="13.8" hidden="false" customHeight="false" outlineLevel="0" collapsed="false">
      <c r="A1183" s="8" t="n">
        <v>45621</v>
      </c>
      <c r="B1183" s="9" t="n">
        <f aca="false">DAY(A1183)</f>
        <v>25</v>
      </c>
      <c r="C1183" s="9" t="n">
        <f aca="false">MONTH(A1183)</f>
        <v>11</v>
      </c>
      <c r="D1183" s="9" t="n">
        <f aca="false">YEAR(A1183)</f>
        <v>2024</v>
      </c>
      <c r="E1183" s="9" t="n">
        <f aca="false">WEEKDAY(A1183,2)</f>
        <v>1</v>
      </c>
      <c r="F1183" s="10" t="n">
        <f aca="false">WEEKNUM(A1183,2) - WEEKNUM(DATE(YEAR(A1183),MONTH(A1183),1),2) + 1</f>
        <v>5</v>
      </c>
      <c r="G1183" s="10"/>
      <c r="H1183" s="11" t="n">
        <v>330</v>
      </c>
      <c r="I1183" s="12" t="s">
        <v>20</v>
      </c>
      <c r="J1183" s="12" t="s">
        <v>44</v>
      </c>
      <c r="K1183" s="12"/>
      <c r="L1183" s="9" t="n">
        <f aca="false">L1182+H1183</f>
        <v>56738.68</v>
      </c>
      <c r="M1183" s="10" t="str">
        <f aca="false">VLOOKUP(J1183,RECATALOGANDO!A:C,2,0)</f>
        <v>HONORARIOS MEDICOS</v>
      </c>
      <c r="N1183" s="12" t="str">
        <f aca="false">VLOOKUP(M1183,RECATALOGANDO!B:C,2,0)</f>
        <v>VENTA DE SERVICIO</v>
      </c>
      <c r="O1183" s="2" t="s">
        <v>78</v>
      </c>
    </row>
    <row r="1184" customFormat="false" ht="13.8" hidden="false" customHeight="false" outlineLevel="0" collapsed="false">
      <c r="A1184" s="8" t="n">
        <v>45621</v>
      </c>
      <c r="B1184" s="9" t="n">
        <f aca="false">DAY(A1184)</f>
        <v>25</v>
      </c>
      <c r="C1184" s="9" t="n">
        <f aca="false">MONTH(A1184)</f>
        <v>11</v>
      </c>
      <c r="D1184" s="9" t="n">
        <f aca="false">YEAR(A1184)</f>
        <v>2024</v>
      </c>
      <c r="E1184" s="9" t="n">
        <f aca="false">WEEKDAY(A1184,2)</f>
        <v>1</v>
      </c>
      <c r="F1184" s="10" t="n">
        <f aca="false">WEEKNUM(A1184,2) - WEEKNUM(DATE(YEAR(A1184),MONTH(A1184),1),2) + 1</f>
        <v>5</v>
      </c>
      <c r="G1184" s="10"/>
      <c r="H1184" s="11" t="n">
        <v>370</v>
      </c>
      <c r="I1184" s="12" t="s">
        <v>20</v>
      </c>
      <c r="J1184" s="12" t="s">
        <v>49</v>
      </c>
      <c r="K1184" s="12"/>
      <c r="L1184" s="9" t="n">
        <f aca="false">L1183+H1184</f>
        <v>57108.68</v>
      </c>
      <c r="M1184" s="10" t="str">
        <f aca="false">VLOOKUP(J1184,RECATALOGANDO!A:C,2,0)</f>
        <v>SERVICIO DE GROOMING</v>
      </c>
      <c r="N1184" s="12" t="str">
        <f aca="false">VLOOKUP(M1184,RECATALOGANDO!B:C,2,0)</f>
        <v>VENTA DE SERVICIO</v>
      </c>
      <c r="O1184" s="2" t="s">
        <v>78</v>
      </c>
    </row>
    <row r="1185" customFormat="false" ht="13.8" hidden="false" customHeight="false" outlineLevel="0" collapsed="false">
      <c r="A1185" s="8" t="n">
        <v>45623</v>
      </c>
      <c r="B1185" s="9" t="n">
        <f aca="false">DAY(A1185)</f>
        <v>27</v>
      </c>
      <c r="C1185" s="9" t="n">
        <f aca="false">MONTH(A1185)</f>
        <v>11</v>
      </c>
      <c r="D1185" s="9" t="n">
        <f aca="false">YEAR(A1185)</f>
        <v>2024</v>
      </c>
      <c r="E1185" s="9" t="n">
        <f aca="false">WEEKDAY(A1185,2)</f>
        <v>3</v>
      </c>
      <c r="F1185" s="10" t="n">
        <f aca="false">WEEKNUM(A1185,2) - WEEKNUM(DATE(YEAR(A1185),MONTH(A1185),1),2) + 1</f>
        <v>5</v>
      </c>
      <c r="G1185" s="10"/>
      <c r="H1185" s="11" t="n">
        <v>140</v>
      </c>
      <c r="I1185" s="12" t="s">
        <v>20</v>
      </c>
      <c r="J1185" s="12" t="s">
        <v>49</v>
      </c>
      <c r="K1185" s="12"/>
      <c r="L1185" s="9" t="n">
        <f aca="false">L1184+H1185</f>
        <v>57248.68</v>
      </c>
      <c r="M1185" s="10" t="str">
        <f aca="false">VLOOKUP(J1185,RECATALOGANDO!A:C,2,0)</f>
        <v>SERVICIO DE GROOMING</v>
      </c>
      <c r="N1185" s="12" t="str">
        <f aca="false">VLOOKUP(M1185,RECATALOGANDO!B:C,2,0)</f>
        <v>VENTA DE SERVICIO</v>
      </c>
      <c r="O1185" s="2" t="s">
        <v>78</v>
      </c>
    </row>
    <row r="1186" customFormat="false" ht="13.8" hidden="false" customHeight="false" outlineLevel="0" collapsed="false">
      <c r="A1186" s="8" t="n">
        <v>45623</v>
      </c>
      <c r="B1186" s="9" t="n">
        <f aca="false">DAY(A1186)</f>
        <v>27</v>
      </c>
      <c r="C1186" s="9" t="n">
        <f aca="false">MONTH(A1186)</f>
        <v>11</v>
      </c>
      <c r="D1186" s="9" t="n">
        <f aca="false">YEAR(A1186)</f>
        <v>2024</v>
      </c>
      <c r="E1186" s="9" t="n">
        <f aca="false">WEEKDAY(A1186,2)</f>
        <v>3</v>
      </c>
      <c r="F1186" s="10" t="n">
        <f aca="false">WEEKNUM(A1186,2) - WEEKNUM(DATE(YEAR(A1186),MONTH(A1186),1),2) + 1</f>
        <v>5</v>
      </c>
      <c r="G1186" s="10"/>
      <c r="H1186" s="11" t="n">
        <v>2250</v>
      </c>
      <c r="I1186" s="12" t="s">
        <v>20</v>
      </c>
      <c r="J1186" s="12" t="s">
        <v>54</v>
      </c>
      <c r="K1186" s="12"/>
      <c r="L1186" s="9" t="n">
        <f aca="false">L1185+H1186</f>
        <v>59498.68</v>
      </c>
      <c r="M1186" s="10" t="str">
        <f aca="false">VLOOKUP(J1186,RECATALOGANDO!A:C,2,0)</f>
        <v>SERVICIO DE LABORATORIO</v>
      </c>
      <c r="N1186" s="12" t="str">
        <f aca="false">VLOOKUP(M1186,RECATALOGANDO!B:C,2,0)</f>
        <v>VENTA DE SERVICIO</v>
      </c>
      <c r="O1186" s="2" t="s">
        <v>78</v>
      </c>
    </row>
    <row r="1187" customFormat="false" ht="13.8" hidden="false" customHeight="false" outlineLevel="0" collapsed="false">
      <c r="A1187" s="8" t="n">
        <v>45624</v>
      </c>
      <c r="B1187" s="9" t="n">
        <f aca="false">DAY(A1187)</f>
        <v>28</v>
      </c>
      <c r="C1187" s="9" t="n">
        <f aca="false">MONTH(A1187)</f>
        <v>11</v>
      </c>
      <c r="D1187" s="9" t="n">
        <f aca="false">YEAR(A1187)</f>
        <v>2024</v>
      </c>
      <c r="E1187" s="9" t="n">
        <f aca="false">WEEKDAY(A1187,2)</f>
        <v>4</v>
      </c>
      <c r="F1187" s="10" t="n">
        <f aca="false">WEEKNUM(A1187,2) - WEEKNUM(DATE(YEAR(A1187),MONTH(A1187),1),2) + 1</f>
        <v>5</v>
      </c>
      <c r="G1187" s="10"/>
      <c r="H1187" s="11" t="n">
        <v>1055</v>
      </c>
      <c r="I1187" s="12" t="s">
        <v>20</v>
      </c>
      <c r="J1187" s="12" t="s">
        <v>64</v>
      </c>
      <c r="K1187" s="12"/>
      <c r="L1187" s="9" t="n">
        <f aca="false">L1186+H1187</f>
        <v>60553.68</v>
      </c>
      <c r="M1187" s="10" t="str">
        <f aca="false">VLOOKUP(J1187,RECATALOGANDO!A:C,2,0)</f>
        <v>HONORARIOS QUIRURGICOS</v>
      </c>
      <c r="N1187" s="12" t="str">
        <f aca="false">VLOOKUP(M1187,RECATALOGANDO!B:C,2,0)</f>
        <v>VENTA DE SERVICIO</v>
      </c>
      <c r="O1187" s="2" t="s">
        <v>78</v>
      </c>
    </row>
    <row r="1188" customFormat="false" ht="13.8" hidden="false" customHeight="false" outlineLevel="0" collapsed="false">
      <c r="A1188" s="8" t="n">
        <v>45624</v>
      </c>
      <c r="B1188" s="9" t="n">
        <f aca="false">DAY(A1188)</f>
        <v>28</v>
      </c>
      <c r="C1188" s="9" t="n">
        <f aca="false">MONTH(A1188)</f>
        <v>11</v>
      </c>
      <c r="D1188" s="9" t="n">
        <f aca="false">YEAR(A1188)</f>
        <v>2024</v>
      </c>
      <c r="E1188" s="9" t="n">
        <f aca="false">WEEKDAY(A1188,2)</f>
        <v>4</v>
      </c>
      <c r="F1188" s="10" t="n">
        <f aca="false">WEEKNUM(A1188,2) - WEEKNUM(DATE(YEAR(A1188),MONTH(A1188),1),2) + 1</f>
        <v>5</v>
      </c>
      <c r="G1188" s="10"/>
      <c r="H1188" s="11" t="n">
        <v>1060</v>
      </c>
      <c r="I1188" s="12" t="s">
        <v>20</v>
      </c>
      <c r="J1188" s="12" t="s">
        <v>44</v>
      </c>
      <c r="K1188" s="12"/>
      <c r="L1188" s="9" t="n">
        <f aca="false">L1187+H1188</f>
        <v>61613.68</v>
      </c>
      <c r="M1188" s="10" t="str">
        <f aca="false">VLOOKUP(J1188,RECATALOGANDO!A:C,2,0)</f>
        <v>HONORARIOS MEDICOS</v>
      </c>
      <c r="N1188" s="12" t="str">
        <f aca="false">VLOOKUP(M1188,RECATALOGANDO!B:C,2,0)</f>
        <v>VENTA DE SERVICIO</v>
      </c>
      <c r="O1188" s="2" t="s">
        <v>78</v>
      </c>
    </row>
    <row r="1189" customFormat="false" ht="13.8" hidden="false" customHeight="false" outlineLevel="0" collapsed="false">
      <c r="A1189" s="8" t="n">
        <v>45628</v>
      </c>
      <c r="B1189" s="9" t="n">
        <f aca="false">DAY(A1189)</f>
        <v>2</v>
      </c>
      <c r="C1189" s="9" t="n">
        <f aca="false">MONTH(A1189)</f>
        <v>12</v>
      </c>
      <c r="D1189" s="9" t="n">
        <f aca="false">YEAR(A1189)</f>
        <v>2024</v>
      </c>
      <c r="E1189" s="9" t="n">
        <f aca="false">WEEKDAY(A1189,2)</f>
        <v>1</v>
      </c>
      <c r="F1189" s="10" t="n">
        <f aca="false">WEEKNUM(A1189,2) - WEEKNUM(DATE(YEAR(A1189),MONTH(A1189),1),2) + 1</f>
        <v>2</v>
      </c>
      <c r="G1189" s="10"/>
      <c r="H1189" s="11" t="n">
        <v>240</v>
      </c>
      <c r="I1189" s="12" t="s">
        <v>20</v>
      </c>
      <c r="J1189" s="12" t="s">
        <v>45</v>
      </c>
      <c r="K1189" s="12"/>
      <c r="L1189" s="9" t="n">
        <f aca="false">H1189</f>
        <v>240</v>
      </c>
      <c r="M1189" s="10" t="str">
        <f aca="false">VLOOKUP(J1189,RECATALOGANDO!A:C,2,0)</f>
        <v>VENTA DE MEDICAMENTO</v>
      </c>
      <c r="N1189" s="12" t="str">
        <f aca="false">VLOOKUP(M1189,RECATALOGANDO!B:C,2,0)</f>
        <v>VENTA DE PRODUCTO</v>
      </c>
      <c r="O1189" s="2" t="s">
        <v>78</v>
      </c>
    </row>
    <row r="1190" customFormat="false" ht="13.8" hidden="false" customHeight="false" outlineLevel="0" collapsed="false">
      <c r="A1190" s="8" t="n">
        <v>45628</v>
      </c>
      <c r="B1190" s="9" t="n">
        <f aca="false">DAY(A1190)</f>
        <v>2</v>
      </c>
      <c r="C1190" s="9" t="n">
        <f aca="false">MONTH(A1190)</f>
        <v>12</v>
      </c>
      <c r="D1190" s="9" t="n">
        <f aca="false">YEAR(A1190)</f>
        <v>2024</v>
      </c>
      <c r="E1190" s="9" t="n">
        <f aca="false">WEEKDAY(A1190,2)</f>
        <v>1</v>
      </c>
      <c r="F1190" s="10" t="n">
        <f aca="false">WEEKNUM(A1190,2) - WEEKNUM(DATE(YEAR(A1190),MONTH(A1190),1),2) + 1</f>
        <v>2</v>
      </c>
      <c r="G1190" s="10"/>
      <c r="H1190" s="11" t="n">
        <v>899</v>
      </c>
      <c r="I1190" s="12" t="s">
        <v>20</v>
      </c>
      <c r="J1190" s="12" t="s">
        <v>51</v>
      </c>
      <c r="K1190" s="12"/>
      <c r="L1190" s="9" t="n">
        <f aca="false">L1189+H1190</f>
        <v>1139</v>
      </c>
      <c r="M1190" s="10" t="str">
        <f aca="false">VLOOKUP(J1190,RECATALOGANDO!A:C,2,0)</f>
        <v>VENTA DE ALIMENTO</v>
      </c>
      <c r="N1190" s="12" t="str">
        <f aca="false">VLOOKUP(M1190,RECATALOGANDO!B:C,2,0)</f>
        <v>VENTA DE PRODUCTO</v>
      </c>
      <c r="O1190" s="2" t="s">
        <v>78</v>
      </c>
    </row>
    <row r="1191" customFormat="false" ht="13.8" hidden="false" customHeight="false" outlineLevel="0" collapsed="false">
      <c r="A1191" s="8" t="n">
        <v>45631</v>
      </c>
      <c r="B1191" s="9" t="n">
        <f aca="false">DAY(A1191)</f>
        <v>5</v>
      </c>
      <c r="C1191" s="9" t="n">
        <f aca="false">MONTH(A1191)</f>
        <v>12</v>
      </c>
      <c r="D1191" s="9" t="n">
        <f aca="false">YEAR(A1191)</f>
        <v>2024</v>
      </c>
      <c r="E1191" s="9" t="n">
        <f aca="false">WEEKDAY(A1191,2)</f>
        <v>4</v>
      </c>
      <c r="F1191" s="10" t="n">
        <f aca="false">WEEKNUM(A1191,2) - WEEKNUM(DATE(YEAR(A1191),MONTH(A1191),1),2) + 1</f>
        <v>2</v>
      </c>
      <c r="G1191" s="10"/>
      <c r="H1191" s="11" t="n">
        <v>70</v>
      </c>
      <c r="I1191" s="12" t="s">
        <v>20</v>
      </c>
      <c r="J1191" s="12" t="s">
        <v>45</v>
      </c>
      <c r="K1191" s="12"/>
      <c r="L1191" s="9" t="n">
        <f aca="false">L1190+H1191</f>
        <v>1209</v>
      </c>
      <c r="M1191" s="10" t="str">
        <f aca="false">VLOOKUP(J1191,RECATALOGANDO!A:C,2,0)</f>
        <v>VENTA DE MEDICAMENTO</v>
      </c>
      <c r="N1191" s="12" t="str">
        <f aca="false">VLOOKUP(M1191,RECATALOGANDO!B:C,2,0)</f>
        <v>VENTA DE PRODUCTO</v>
      </c>
      <c r="O1191" s="2" t="s">
        <v>78</v>
      </c>
    </row>
    <row r="1192" customFormat="false" ht="13.8" hidden="false" customHeight="false" outlineLevel="0" collapsed="false">
      <c r="A1192" s="8" t="n">
        <v>45632</v>
      </c>
      <c r="B1192" s="9" t="n">
        <f aca="false">DAY(A1192)</f>
        <v>6</v>
      </c>
      <c r="C1192" s="9" t="n">
        <f aca="false">MONTH(A1192)</f>
        <v>12</v>
      </c>
      <c r="D1192" s="9" t="n">
        <f aca="false">YEAR(A1192)</f>
        <v>2024</v>
      </c>
      <c r="E1192" s="9" t="n">
        <f aca="false">WEEKDAY(A1192,2)</f>
        <v>5</v>
      </c>
      <c r="F1192" s="10" t="n">
        <f aca="false">WEEKNUM(A1192,2) - WEEKNUM(DATE(YEAR(A1192),MONTH(A1192),1),2) + 1</f>
        <v>2</v>
      </c>
      <c r="G1192" s="10"/>
      <c r="H1192" s="11" t="n">
        <v>5310</v>
      </c>
      <c r="I1192" s="12" t="s">
        <v>20</v>
      </c>
      <c r="J1192" s="12" t="s">
        <v>45</v>
      </c>
      <c r="K1192" s="12"/>
      <c r="L1192" s="9" t="n">
        <f aca="false">L1191+H1192</f>
        <v>6519</v>
      </c>
      <c r="M1192" s="10" t="str">
        <f aca="false">VLOOKUP(J1192,RECATALOGANDO!A:C,2,0)</f>
        <v>VENTA DE MEDICAMENTO</v>
      </c>
      <c r="N1192" s="12" t="str">
        <f aca="false">VLOOKUP(M1192,RECATALOGANDO!B:C,2,0)</f>
        <v>VENTA DE PRODUCTO</v>
      </c>
      <c r="O1192" s="2" t="s">
        <v>78</v>
      </c>
    </row>
    <row r="1193" customFormat="false" ht="13.8" hidden="false" customHeight="false" outlineLevel="0" collapsed="false">
      <c r="A1193" s="8" t="n">
        <v>45632</v>
      </c>
      <c r="B1193" s="9" t="n">
        <f aca="false">DAY(A1193)</f>
        <v>6</v>
      </c>
      <c r="C1193" s="9" t="n">
        <f aca="false">MONTH(A1193)</f>
        <v>12</v>
      </c>
      <c r="D1193" s="9" t="n">
        <f aca="false">YEAR(A1193)</f>
        <v>2024</v>
      </c>
      <c r="E1193" s="9" t="n">
        <f aca="false">WEEKDAY(A1193,2)</f>
        <v>5</v>
      </c>
      <c r="F1193" s="10" t="n">
        <f aca="false">WEEKNUM(A1193,2) - WEEKNUM(DATE(YEAR(A1193),MONTH(A1193),1),2) + 1</f>
        <v>2</v>
      </c>
      <c r="G1193" s="10"/>
      <c r="H1193" s="11" t="n">
        <v>1988</v>
      </c>
      <c r="I1193" s="12" t="s">
        <v>20</v>
      </c>
      <c r="J1193" s="12" t="s">
        <v>59</v>
      </c>
      <c r="K1193" s="12"/>
      <c r="L1193" s="9" t="n">
        <f aca="false">L1192+H1193</f>
        <v>8507</v>
      </c>
      <c r="M1193" s="10" t="str">
        <f aca="false">VLOOKUP(J1193,RECATALOGANDO!A:C,2,0)</f>
        <v>SERVICIO DE PENSION</v>
      </c>
      <c r="N1193" s="12" t="str">
        <f aca="false">VLOOKUP(M1193,RECATALOGANDO!B:C,2,0)</f>
        <v>VENTA DE SERVICIO</v>
      </c>
      <c r="O1193" s="2" t="s">
        <v>78</v>
      </c>
    </row>
    <row r="1194" customFormat="false" ht="13.8" hidden="false" customHeight="false" outlineLevel="0" collapsed="false">
      <c r="A1194" s="8" t="n">
        <v>45632</v>
      </c>
      <c r="B1194" s="9" t="n">
        <f aca="false">DAY(A1194)</f>
        <v>6</v>
      </c>
      <c r="C1194" s="9" t="n">
        <f aca="false">MONTH(A1194)</f>
        <v>12</v>
      </c>
      <c r="D1194" s="9" t="n">
        <f aca="false">YEAR(A1194)</f>
        <v>2024</v>
      </c>
      <c r="E1194" s="9" t="n">
        <f aca="false">WEEKDAY(A1194,2)</f>
        <v>5</v>
      </c>
      <c r="F1194" s="10" t="n">
        <f aca="false">WEEKNUM(A1194,2) - WEEKNUM(DATE(YEAR(A1194),MONTH(A1194),1),2) + 1</f>
        <v>2</v>
      </c>
      <c r="G1194" s="10"/>
      <c r="H1194" s="11" t="n">
        <v>2650</v>
      </c>
      <c r="I1194" s="12" t="s">
        <v>20</v>
      </c>
      <c r="J1194" s="12" t="s">
        <v>44</v>
      </c>
      <c r="K1194" s="12"/>
      <c r="L1194" s="9" t="n">
        <f aca="false">L1193+H1194</f>
        <v>11157</v>
      </c>
      <c r="M1194" s="10" t="str">
        <f aca="false">VLOOKUP(J1194,RECATALOGANDO!A:C,2,0)</f>
        <v>HONORARIOS MEDICOS</v>
      </c>
      <c r="N1194" s="12" t="str">
        <f aca="false">VLOOKUP(M1194,RECATALOGANDO!B:C,2,0)</f>
        <v>VENTA DE SERVICIO</v>
      </c>
      <c r="O1194" s="2" t="s">
        <v>78</v>
      </c>
    </row>
    <row r="1195" customFormat="false" ht="13.8" hidden="false" customHeight="false" outlineLevel="0" collapsed="false">
      <c r="A1195" s="8" t="n">
        <v>45635</v>
      </c>
      <c r="B1195" s="9" t="n">
        <f aca="false">DAY(A1195)</f>
        <v>9</v>
      </c>
      <c r="C1195" s="9" t="n">
        <f aca="false">MONTH(A1195)</f>
        <v>12</v>
      </c>
      <c r="D1195" s="9" t="n">
        <f aca="false">YEAR(A1195)</f>
        <v>2024</v>
      </c>
      <c r="E1195" s="9" t="n">
        <f aca="false">WEEKDAY(A1195,2)</f>
        <v>1</v>
      </c>
      <c r="F1195" s="10" t="n">
        <f aca="false">WEEKNUM(A1195,2) - WEEKNUM(DATE(YEAR(A1195),MONTH(A1195),1),2) + 1</f>
        <v>3</v>
      </c>
      <c r="G1195" s="10"/>
      <c r="H1195" s="11" t="n">
        <v>650</v>
      </c>
      <c r="I1195" s="12" t="s">
        <v>20</v>
      </c>
      <c r="J1195" s="12" t="s">
        <v>45</v>
      </c>
      <c r="K1195" s="12"/>
      <c r="L1195" s="9" t="n">
        <f aca="false">L1194+H1195</f>
        <v>11807</v>
      </c>
      <c r="M1195" s="10" t="str">
        <f aca="false">VLOOKUP(J1195,RECATALOGANDO!A:C,2,0)</f>
        <v>VENTA DE MEDICAMENTO</v>
      </c>
      <c r="N1195" s="12" t="str">
        <f aca="false">VLOOKUP(M1195,RECATALOGANDO!B:C,2,0)</f>
        <v>VENTA DE PRODUCTO</v>
      </c>
      <c r="O1195" s="2" t="s">
        <v>78</v>
      </c>
    </row>
    <row r="1196" customFormat="false" ht="13.8" hidden="false" customHeight="false" outlineLevel="0" collapsed="false">
      <c r="A1196" s="8" t="n">
        <v>45635</v>
      </c>
      <c r="B1196" s="9" t="n">
        <f aca="false">DAY(A1196)</f>
        <v>9</v>
      </c>
      <c r="C1196" s="9" t="n">
        <f aca="false">MONTH(A1196)</f>
        <v>12</v>
      </c>
      <c r="D1196" s="9" t="n">
        <f aca="false">YEAR(A1196)</f>
        <v>2024</v>
      </c>
      <c r="E1196" s="9" t="n">
        <f aca="false">WEEKDAY(A1196,2)</f>
        <v>1</v>
      </c>
      <c r="F1196" s="10" t="n">
        <f aca="false">WEEKNUM(A1196,2) - WEEKNUM(DATE(YEAR(A1196),MONTH(A1196),1),2) + 1</f>
        <v>3</v>
      </c>
      <c r="G1196" s="10"/>
      <c r="H1196" s="11" t="n">
        <v>1100</v>
      </c>
      <c r="I1196" s="12" t="s">
        <v>20</v>
      </c>
      <c r="J1196" s="12" t="s">
        <v>44</v>
      </c>
      <c r="K1196" s="12"/>
      <c r="L1196" s="9" t="n">
        <f aca="false">L1195+H1196</f>
        <v>12907</v>
      </c>
      <c r="M1196" s="10" t="str">
        <f aca="false">VLOOKUP(J1196,RECATALOGANDO!A:C,2,0)</f>
        <v>HONORARIOS MEDICOS</v>
      </c>
      <c r="N1196" s="12" t="str">
        <f aca="false">VLOOKUP(M1196,RECATALOGANDO!B:C,2,0)</f>
        <v>VENTA DE SERVICIO</v>
      </c>
      <c r="O1196" s="2" t="s">
        <v>78</v>
      </c>
    </row>
    <row r="1197" customFormat="false" ht="13.8" hidden="false" customHeight="false" outlineLevel="0" collapsed="false">
      <c r="A1197" s="8" t="n">
        <v>45637</v>
      </c>
      <c r="B1197" s="9" t="n">
        <f aca="false">DAY(A1197)</f>
        <v>11</v>
      </c>
      <c r="C1197" s="9" t="n">
        <f aca="false">MONTH(A1197)</f>
        <v>12</v>
      </c>
      <c r="D1197" s="9" t="n">
        <f aca="false">YEAR(A1197)</f>
        <v>2024</v>
      </c>
      <c r="E1197" s="9" t="n">
        <f aca="false">WEEKDAY(A1197,2)</f>
        <v>3</v>
      </c>
      <c r="F1197" s="10" t="n">
        <f aca="false">WEEKNUM(A1197,2) - WEEKNUM(DATE(YEAR(A1197),MONTH(A1197),1),2) + 1</f>
        <v>3</v>
      </c>
      <c r="G1197" s="10"/>
      <c r="H1197" s="11" t="n">
        <v>1300</v>
      </c>
      <c r="I1197" s="12" t="s">
        <v>20</v>
      </c>
      <c r="J1197" s="12" t="s">
        <v>51</v>
      </c>
      <c r="K1197" s="12"/>
      <c r="L1197" s="9" t="n">
        <f aca="false">L1196+H1197</f>
        <v>14207</v>
      </c>
      <c r="M1197" s="10" t="str">
        <f aca="false">VLOOKUP(J1197,RECATALOGANDO!A:C,2,0)</f>
        <v>VENTA DE ALIMENTO</v>
      </c>
      <c r="N1197" s="12" t="str">
        <f aca="false">VLOOKUP(M1197,RECATALOGANDO!B:C,2,0)</f>
        <v>VENTA DE PRODUCTO</v>
      </c>
      <c r="O1197" s="2" t="s">
        <v>78</v>
      </c>
    </row>
    <row r="1198" customFormat="false" ht="13.8" hidden="false" customHeight="false" outlineLevel="0" collapsed="false">
      <c r="A1198" s="8" t="n">
        <v>45639</v>
      </c>
      <c r="B1198" s="9" t="n">
        <f aca="false">DAY(A1198)</f>
        <v>13</v>
      </c>
      <c r="C1198" s="9" t="n">
        <f aca="false">MONTH(A1198)</f>
        <v>12</v>
      </c>
      <c r="D1198" s="9" t="n">
        <f aca="false">YEAR(A1198)</f>
        <v>2024</v>
      </c>
      <c r="E1198" s="9" t="n">
        <f aca="false">WEEKDAY(A1198,2)</f>
        <v>5</v>
      </c>
      <c r="F1198" s="10" t="n">
        <f aca="false">WEEKNUM(A1198,2) - WEEKNUM(DATE(YEAR(A1198),MONTH(A1198),1),2) + 1</f>
        <v>3</v>
      </c>
      <c r="G1198" s="10" t="n">
        <v>1</v>
      </c>
      <c r="H1198" s="11" t="n">
        <v>150</v>
      </c>
      <c r="I1198" s="12" t="s">
        <v>20</v>
      </c>
      <c r="J1198" s="12" t="s">
        <v>45</v>
      </c>
      <c r="K1198" s="12"/>
      <c r="L1198" s="9" t="n">
        <f aca="false">L1197+H1198</f>
        <v>14357</v>
      </c>
      <c r="M1198" s="10" t="str">
        <f aca="false">VLOOKUP(J1198,RECATALOGANDO!A:C,2,0)</f>
        <v>VENTA DE MEDICAMENTO</v>
      </c>
      <c r="N1198" s="12" t="str">
        <f aca="false">VLOOKUP(M1198,RECATALOGANDO!B:C,2,0)</f>
        <v>VENTA DE PRODUCTO</v>
      </c>
      <c r="O1198" s="2" t="s">
        <v>78</v>
      </c>
    </row>
    <row r="1199" customFormat="false" ht="13.8" hidden="false" customHeight="false" outlineLevel="0" collapsed="false">
      <c r="A1199" s="8" t="n">
        <v>45646</v>
      </c>
      <c r="B1199" s="9" t="n">
        <f aca="false">DAY(A1199)</f>
        <v>20</v>
      </c>
      <c r="C1199" s="9" t="n">
        <f aca="false">MONTH(A1199)</f>
        <v>12</v>
      </c>
      <c r="D1199" s="9" t="n">
        <f aca="false">YEAR(A1199)</f>
        <v>2024</v>
      </c>
      <c r="E1199" s="9" t="n">
        <f aca="false">WEEKDAY(A1199,2)</f>
        <v>5</v>
      </c>
      <c r="F1199" s="10" t="n">
        <f aca="false">WEEKNUM(A1199,2) - WEEKNUM(DATE(YEAR(A1199),MONTH(A1199),1),2) + 1</f>
        <v>4</v>
      </c>
      <c r="G1199" s="10"/>
      <c r="H1199" s="11" t="n">
        <v>1790</v>
      </c>
      <c r="I1199" s="12" t="s">
        <v>20</v>
      </c>
      <c r="J1199" s="12" t="s">
        <v>64</v>
      </c>
      <c r="K1199" s="12"/>
      <c r="L1199" s="9" t="n">
        <f aca="false">L1198+H1199</f>
        <v>16147</v>
      </c>
      <c r="M1199" s="10" t="str">
        <f aca="false">VLOOKUP(J1199,RECATALOGANDO!A:C,2,0)</f>
        <v>HONORARIOS QUIRURGICOS</v>
      </c>
      <c r="N1199" s="12" t="str">
        <f aca="false">VLOOKUP(M1199,RECATALOGANDO!B:C,2,0)</f>
        <v>VENTA DE SERVICIO</v>
      </c>
      <c r="O1199" s="2" t="s">
        <v>78</v>
      </c>
    </row>
    <row r="1200" customFormat="false" ht="13.8" hidden="false" customHeight="false" outlineLevel="0" collapsed="false">
      <c r="A1200" s="8" t="n">
        <v>45649</v>
      </c>
      <c r="B1200" s="9" t="n">
        <f aca="false">DAY(A1200)</f>
        <v>23</v>
      </c>
      <c r="C1200" s="9" t="n">
        <f aca="false">MONTH(A1200)</f>
        <v>12</v>
      </c>
      <c r="D1200" s="9" t="n">
        <f aca="false">YEAR(A1200)</f>
        <v>2024</v>
      </c>
      <c r="E1200" s="9" t="n">
        <f aca="false">WEEKDAY(A1200,2)</f>
        <v>1</v>
      </c>
      <c r="F1200" s="10" t="n">
        <f aca="false">WEEKNUM(A1200,2) - WEEKNUM(DATE(YEAR(A1200),MONTH(A1200),1),2) + 1</f>
        <v>5</v>
      </c>
      <c r="G1200" s="10"/>
      <c r="H1200" s="11" t="n">
        <v>70</v>
      </c>
      <c r="I1200" s="12" t="s">
        <v>20</v>
      </c>
      <c r="J1200" s="12" t="s">
        <v>45</v>
      </c>
      <c r="K1200" s="12"/>
      <c r="L1200" s="9" t="n">
        <f aca="false">L1199+H1200</f>
        <v>16217</v>
      </c>
      <c r="M1200" s="10" t="str">
        <f aca="false">VLOOKUP(J1200,RECATALOGANDO!A:C,2,0)</f>
        <v>VENTA DE MEDICAMENTO</v>
      </c>
      <c r="N1200" s="12" t="str">
        <f aca="false">VLOOKUP(M1200,RECATALOGANDO!B:C,2,0)</f>
        <v>VENTA DE PRODUCTO</v>
      </c>
      <c r="O1200" s="2" t="s">
        <v>78</v>
      </c>
    </row>
    <row r="1201" customFormat="false" ht="13.8" hidden="false" customHeight="false" outlineLevel="0" collapsed="false">
      <c r="A1201" s="8" t="n">
        <v>45649</v>
      </c>
      <c r="B1201" s="9" t="n">
        <f aca="false">DAY(A1201)</f>
        <v>23</v>
      </c>
      <c r="C1201" s="9" t="n">
        <f aca="false">MONTH(A1201)</f>
        <v>12</v>
      </c>
      <c r="D1201" s="9" t="n">
        <f aca="false">YEAR(A1201)</f>
        <v>2024</v>
      </c>
      <c r="E1201" s="9" t="n">
        <f aca="false">WEEKDAY(A1201,2)</f>
        <v>1</v>
      </c>
      <c r="F1201" s="10" t="n">
        <f aca="false">WEEKNUM(A1201,2) - WEEKNUM(DATE(YEAR(A1201),MONTH(A1201),1),2) + 1</f>
        <v>5</v>
      </c>
      <c r="G1201" s="10"/>
      <c r="H1201" s="11" t="n">
        <v>300</v>
      </c>
      <c r="I1201" s="12" t="s">
        <v>20</v>
      </c>
      <c r="J1201" s="12" t="s">
        <v>45</v>
      </c>
      <c r="K1201" s="12"/>
      <c r="L1201" s="9" t="n">
        <f aca="false">L1200+H1201</f>
        <v>16517</v>
      </c>
      <c r="M1201" s="10" t="str">
        <f aca="false">VLOOKUP(J1201,RECATALOGANDO!A:C,2,0)</f>
        <v>VENTA DE MEDICAMENTO</v>
      </c>
      <c r="N1201" s="12" t="str">
        <f aca="false">VLOOKUP(M1201,RECATALOGANDO!B:C,2,0)</f>
        <v>VENTA DE PRODUCTO</v>
      </c>
      <c r="O1201" s="2" t="s">
        <v>78</v>
      </c>
    </row>
    <row r="1202" customFormat="false" ht="13.8" hidden="false" customHeight="false" outlineLevel="0" collapsed="false">
      <c r="A1202" s="8" t="n">
        <v>45649</v>
      </c>
      <c r="B1202" s="9" t="n">
        <f aca="false">DAY(A1202)</f>
        <v>23</v>
      </c>
      <c r="C1202" s="9" t="n">
        <f aca="false">MONTH(A1202)</f>
        <v>12</v>
      </c>
      <c r="D1202" s="9" t="n">
        <f aca="false">YEAR(A1202)</f>
        <v>2024</v>
      </c>
      <c r="E1202" s="9" t="n">
        <f aca="false">WEEKDAY(A1202,2)</f>
        <v>1</v>
      </c>
      <c r="F1202" s="10" t="n">
        <f aca="false">WEEKNUM(A1202,2) - WEEKNUM(DATE(YEAR(A1202),MONTH(A1202),1),2) + 1</f>
        <v>5</v>
      </c>
      <c r="G1202" s="10"/>
      <c r="H1202" s="11" t="n">
        <v>900</v>
      </c>
      <c r="I1202" s="12" t="s">
        <v>20</v>
      </c>
      <c r="J1202" s="12" t="s">
        <v>45</v>
      </c>
      <c r="K1202" s="12"/>
      <c r="L1202" s="9" t="n">
        <f aca="false">L1201+H1202</f>
        <v>17417</v>
      </c>
      <c r="M1202" s="10" t="str">
        <f aca="false">VLOOKUP(J1202,RECATALOGANDO!A:C,2,0)</f>
        <v>VENTA DE MEDICAMENTO</v>
      </c>
      <c r="N1202" s="12" t="str">
        <f aca="false">VLOOKUP(M1202,RECATALOGANDO!B:C,2,0)</f>
        <v>VENTA DE PRODUCTO</v>
      </c>
      <c r="O1202" s="2" t="s">
        <v>78</v>
      </c>
    </row>
    <row r="1203" customFormat="false" ht="13.8" hidden="false" customHeight="false" outlineLevel="0" collapsed="false">
      <c r="A1203" s="8" t="n">
        <v>45649</v>
      </c>
      <c r="B1203" s="9" t="n">
        <f aca="false">DAY(A1203)</f>
        <v>23</v>
      </c>
      <c r="C1203" s="9" t="n">
        <f aca="false">MONTH(A1203)</f>
        <v>12</v>
      </c>
      <c r="D1203" s="9" t="n">
        <f aca="false">YEAR(A1203)</f>
        <v>2024</v>
      </c>
      <c r="E1203" s="9" t="n">
        <f aca="false">WEEKDAY(A1203,2)</f>
        <v>1</v>
      </c>
      <c r="F1203" s="10" t="n">
        <f aca="false">WEEKNUM(A1203,2) - WEEKNUM(DATE(YEAR(A1203),MONTH(A1203),1),2) + 1</f>
        <v>5</v>
      </c>
      <c r="G1203" s="10"/>
      <c r="H1203" s="11" t="n">
        <v>2000</v>
      </c>
      <c r="I1203" s="12" t="s">
        <v>20</v>
      </c>
      <c r="J1203" s="12" t="s">
        <v>45</v>
      </c>
      <c r="K1203" s="12"/>
      <c r="L1203" s="9" t="n">
        <f aca="false">L1202+H1203</f>
        <v>19417</v>
      </c>
      <c r="M1203" s="10" t="str">
        <f aca="false">VLOOKUP(J1203,RECATALOGANDO!A:C,2,0)</f>
        <v>VENTA DE MEDICAMENTO</v>
      </c>
      <c r="N1203" s="12" t="str">
        <f aca="false">VLOOKUP(M1203,RECATALOGANDO!B:C,2,0)</f>
        <v>VENTA DE PRODUCTO</v>
      </c>
      <c r="O1203" s="2" t="s">
        <v>78</v>
      </c>
    </row>
    <row r="1204" customFormat="false" ht="13.8" hidden="false" customHeight="false" outlineLevel="0" collapsed="false">
      <c r="A1204" s="8" t="n">
        <v>45649</v>
      </c>
      <c r="B1204" s="9" t="n">
        <f aca="false">DAY(A1204)</f>
        <v>23</v>
      </c>
      <c r="C1204" s="9" t="n">
        <f aca="false">MONTH(A1204)</f>
        <v>12</v>
      </c>
      <c r="D1204" s="9" t="n">
        <f aca="false">YEAR(A1204)</f>
        <v>2024</v>
      </c>
      <c r="E1204" s="9" t="n">
        <f aca="false">WEEKDAY(A1204,2)</f>
        <v>1</v>
      </c>
      <c r="F1204" s="10" t="n">
        <f aca="false">WEEKNUM(A1204,2) - WEEKNUM(DATE(YEAR(A1204),MONTH(A1204),1),2) + 1</f>
        <v>5</v>
      </c>
      <c r="G1204" s="10"/>
      <c r="H1204" s="11" t="n">
        <v>200</v>
      </c>
      <c r="I1204" s="12" t="s">
        <v>20</v>
      </c>
      <c r="J1204" s="12" t="s">
        <v>44</v>
      </c>
      <c r="K1204" s="12"/>
      <c r="L1204" s="9" t="n">
        <f aca="false">L1203+H1204</f>
        <v>19617</v>
      </c>
      <c r="M1204" s="10" t="str">
        <f aca="false">VLOOKUP(J1204,RECATALOGANDO!A:C,2,0)</f>
        <v>HONORARIOS MEDICOS</v>
      </c>
      <c r="N1204" s="12" t="str">
        <f aca="false">VLOOKUP(M1204,RECATALOGANDO!B:C,2,0)</f>
        <v>VENTA DE SERVICIO</v>
      </c>
      <c r="O1204" s="2" t="s">
        <v>78</v>
      </c>
    </row>
    <row r="1205" customFormat="false" ht="13.8" hidden="false" customHeight="false" outlineLevel="0" collapsed="false">
      <c r="A1205" s="8" t="n">
        <v>45649</v>
      </c>
      <c r="B1205" s="9" t="n">
        <f aca="false">DAY(A1205)</f>
        <v>23</v>
      </c>
      <c r="C1205" s="9" t="n">
        <f aca="false">MONTH(A1205)</f>
        <v>12</v>
      </c>
      <c r="D1205" s="9" t="n">
        <f aca="false">YEAR(A1205)</f>
        <v>2024</v>
      </c>
      <c r="E1205" s="9" t="n">
        <f aca="false">WEEKDAY(A1205,2)</f>
        <v>1</v>
      </c>
      <c r="F1205" s="10" t="n">
        <f aca="false">WEEKNUM(A1205,2) - WEEKNUM(DATE(YEAR(A1205),MONTH(A1205),1),2) + 1</f>
        <v>5</v>
      </c>
      <c r="G1205" s="10"/>
      <c r="H1205" s="11" t="n">
        <v>530</v>
      </c>
      <c r="I1205" s="12" t="s">
        <v>20</v>
      </c>
      <c r="J1205" s="12" t="s">
        <v>44</v>
      </c>
      <c r="K1205" s="12"/>
      <c r="L1205" s="9" t="n">
        <f aca="false">L1204+H1205</f>
        <v>20147</v>
      </c>
      <c r="M1205" s="10" t="str">
        <f aca="false">VLOOKUP(J1205,RECATALOGANDO!A:C,2,0)</f>
        <v>HONORARIOS MEDICOS</v>
      </c>
      <c r="N1205" s="12" t="str">
        <f aca="false">VLOOKUP(M1205,RECATALOGANDO!B:C,2,0)</f>
        <v>VENTA DE SERVICIO</v>
      </c>
      <c r="O1205" s="2" t="s">
        <v>78</v>
      </c>
    </row>
    <row r="1206" customFormat="false" ht="13.8" hidden="false" customHeight="false" outlineLevel="0" collapsed="false">
      <c r="A1206" s="8" t="n">
        <v>45649</v>
      </c>
      <c r="B1206" s="9" t="n">
        <f aca="false">DAY(A1206)</f>
        <v>23</v>
      </c>
      <c r="C1206" s="9" t="n">
        <f aca="false">MONTH(A1206)</f>
        <v>12</v>
      </c>
      <c r="D1206" s="9" t="n">
        <f aca="false">YEAR(A1206)</f>
        <v>2024</v>
      </c>
      <c r="E1206" s="9" t="n">
        <f aca="false">WEEKDAY(A1206,2)</f>
        <v>1</v>
      </c>
      <c r="F1206" s="10" t="n">
        <f aca="false">WEEKNUM(A1206,2) - WEEKNUM(DATE(YEAR(A1206),MONTH(A1206),1),2) + 1</f>
        <v>5</v>
      </c>
      <c r="G1206" s="10"/>
      <c r="H1206" s="11" t="n">
        <v>1200</v>
      </c>
      <c r="I1206" s="12" t="s">
        <v>20</v>
      </c>
      <c r="J1206" s="12" t="s">
        <v>49</v>
      </c>
      <c r="K1206" s="12"/>
      <c r="L1206" s="9" t="n">
        <f aca="false">L1205+H1206</f>
        <v>21347</v>
      </c>
      <c r="M1206" s="10" t="str">
        <f aca="false">VLOOKUP(J1206,RECATALOGANDO!A:C,2,0)</f>
        <v>SERVICIO DE GROOMING</v>
      </c>
      <c r="N1206" s="12" t="str">
        <f aca="false">VLOOKUP(M1206,RECATALOGANDO!B:C,2,0)</f>
        <v>VENTA DE SERVICIO</v>
      </c>
      <c r="O1206" s="2" t="s">
        <v>78</v>
      </c>
    </row>
    <row r="1207" customFormat="false" ht="13.8" hidden="false" customHeight="false" outlineLevel="0" collapsed="false">
      <c r="A1207" s="8" t="n">
        <v>45650</v>
      </c>
      <c r="B1207" s="9" t="n">
        <f aca="false">DAY(A1207)</f>
        <v>24</v>
      </c>
      <c r="C1207" s="9" t="n">
        <f aca="false">MONTH(A1207)</f>
        <v>12</v>
      </c>
      <c r="D1207" s="9" t="n">
        <f aca="false">YEAR(A1207)</f>
        <v>2024</v>
      </c>
      <c r="E1207" s="9" t="n">
        <f aca="false">WEEKDAY(A1207,2)</f>
        <v>2</v>
      </c>
      <c r="F1207" s="10" t="n">
        <f aca="false">WEEKNUM(A1207,2) - WEEKNUM(DATE(YEAR(A1207),MONTH(A1207),1),2) + 1</f>
        <v>5</v>
      </c>
      <c r="G1207" s="10"/>
      <c r="H1207" s="11" t="n">
        <v>390</v>
      </c>
      <c r="I1207" s="12" t="s">
        <v>20</v>
      </c>
      <c r="J1207" s="12" t="s">
        <v>54</v>
      </c>
      <c r="K1207" s="12"/>
      <c r="L1207" s="9" t="n">
        <f aca="false">L1206+H1207</f>
        <v>21737</v>
      </c>
      <c r="M1207" s="10" t="str">
        <f aca="false">VLOOKUP(J1207,RECATALOGANDO!A:C,2,0)</f>
        <v>SERVICIO DE LABORATORIO</v>
      </c>
      <c r="N1207" s="12" t="str">
        <f aca="false">VLOOKUP(M1207,RECATALOGANDO!B:C,2,0)</f>
        <v>VENTA DE SERVICIO</v>
      </c>
      <c r="O1207" s="2" t="s">
        <v>78</v>
      </c>
    </row>
    <row r="1208" customFormat="false" ht="13.8" hidden="false" customHeight="false" outlineLevel="0" collapsed="false">
      <c r="A1208" s="8" t="n">
        <v>45659</v>
      </c>
      <c r="B1208" s="9" t="n">
        <f aca="false">DAY(A1208)</f>
        <v>2</v>
      </c>
      <c r="C1208" s="9" t="n">
        <f aca="false">MONTH(A1208)</f>
        <v>1</v>
      </c>
      <c r="D1208" s="9" t="n">
        <f aca="false">YEAR(A1208)</f>
        <v>2025</v>
      </c>
      <c r="E1208" s="9" t="n">
        <f aca="false">WEEKDAY(A1208,2)</f>
        <v>4</v>
      </c>
      <c r="F1208" s="10" t="n">
        <f aca="false">WEEKNUM(A1208,2) - WEEKNUM(DATE(YEAR(A1208),MONTH(A1208),1),2) + 1</f>
        <v>1</v>
      </c>
      <c r="G1208" s="10"/>
      <c r="H1208" s="11" t="n">
        <v>1100</v>
      </c>
      <c r="I1208" s="12" t="s">
        <v>20</v>
      </c>
      <c r="J1208" s="12" t="s">
        <v>45</v>
      </c>
      <c r="K1208" s="12"/>
      <c r="L1208" s="9" t="n">
        <f aca="false">H1208</f>
        <v>1100</v>
      </c>
      <c r="M1208" s="10" t="str">
        <f aca="false">VLOOKUP(J1208,RECATALOGANDO!A:C,2,0)</f>
        <v>VENTA DE MEDICAMENTO</v>
      </c>
      <c r="N1208" s="12" t="str">
        <f aca="false">VLOOKUP(M1208,RECATALOGANDO!B:C,2,0)</f>
        <v>VENTA DE PRODUCTO</v>
      </c>
      <c r="O1208" s="2" t="s">
        <v>78</v>
      </c>
    </row>
    <row r="1209" customFormat="false" ht="13.8" hidden="false" customHeight="false" outlineLevel="0" collapsed="false">
      <c r="A1209" s="8" t="n">
        <v>45659</v>
      </c>
      <c r="B1209" s="9" t="n">
        <f aca="false">DAY(A1209)</f>
        <v>2</v>
      </c>
      <c r="C1209" s="9" t="n">
        <f aca="false">MONTH(A1209)</f>
        <v>1</v>
      </c>
      <c r="D1209" s="9" t="n">
        <f aca="false">YEAR(A1209)</f>
        <v>2025</v>
      </c>
      <c r="E1209" s="9" t="n">
        <f aca="false">WEEKDAY(A1209,2)</f>
        <v>4</v>
      </c>
      <c r="F1209" s="10" t="n">
        <f aca="false">WEEKNUM(A1209,2) - WEEKNUM(DATE(YEAR(A1209),MONTH(A1209),1),2) + 1</f>
        <v>1</v>
      </c>
      <c r="G1209" s="10"/>
      <c r="H1209" s="11" t="n">
        <v>330</v>
      </c>
      <c r="I1209" s="12" t="s">
        <v>20</v>
      </c>
      <c r="J1209" s="12" t="s">
        <v>44</v>
      </c>
      <c r="K1209" s="12"/>
      <c r="L1209" s="9" t="n">
        <f aca="false">L1208+H1209</f>
        <v>1430</v>
      </c>
      <c r="M1209" s="10" t="str">
        <f aca="false">VLOOKUP(J1209,RECATALOGANDO!A:C,2,0)</f>
        <v>HONORARIOS MEDICOS</v>
      </c>
      <c r="N1209" s="12" t="str">
        <f aca="false">VLOOKUP(M1209,RECATALOGANDO!B:C,2,0)</f>
        <v>VENTA DE SERVICIO</v>
      </c>
      <c r="O1209" s="2" t="s">
        <v>78</v>
      </c>
    </row>
    <row r="1210" customFormat="false" ht="13.8" hidden="false" customHeight="false" outlineLevel="0" collapsed="false">
      <c r="A1210" s="8" t="n">
        <v>45659</v>
      </c>
      <c r="B1210" s="9" t="n">
        <f aca="false">DAY(A1210)</f>
        <v>2</v>
      </c>
      <c r="C1210" s="9" t="n">
        <f aca="false">MONTH(A1210)</f>
        <v>1</v>
      </c>
      <c r="D1210" s="9" t="n">
        <f aca="false">YEAR(A1210)</f>
        <v>2025</v>
      </c>
      <c r="E1210" s="9" t="n">
        <f aca="false">WEEKDAY(A1210,2)</f>
        <v>4</v>
      </c>
      <c r="F1210" s="10" t="n">
        <f aca="false">WEEKNUM(A1210,2) - WEEKNUM(DATE(YEAR(A1210),MONTH(A1210),1),2) + 1</f>
        <v>1</v>
      </c>
      <c r="G1210" s="10"/>
      <c r="H1210" s="11" t="n">
        <v>600</v>
      </c>
      <c r="I1210" s="12" t="s">
        <v>20</v>
      </c>
      <c r="J1210" s="12" t="s">
        <v>56</v>
      </c>
      <c r="K1210" s="12"/>
      <c r="L1210" s="9" t="n">
        <f aca="false">L1209+H1210</f>
        <v>2030</v>
      </c>
      <c r="M1210" s="10" t="str">
        <f aca="false">VLOOKUP(J1210,RECATALOGANDO!A:C,2,0)</f>
        <v>SERVICIO DE IMAGEN</v>
      </c>
      <c r="N1210" s="12" t="str">
        <f aca="false">VLOOKUP(M1210,RECATALOGANDO!B:C,2,0)</f>
        <v>VENTA DE SERVICIO</v>
      </c>
      <c r="O1210" s="2" t="s">
        <v>78</v>
      </c>
    </row>
    <row r="1211" customFormat="false" ht="13.8" hidden="false" customHeight="false" outlineLevel="0" collapsed="false">
      <c r="A1211" s="8" t="n">
        <v>45660</v>
      </c>
      <c r="B1211" s="9" t="n">
        <f aca="false">DAY(A1211)</f>
        <v>3</v>
      </c>
      <c r="C1211" s="9" t="n">
        <f aca="false">MONTH(A1211)</f>
        <v>1</v>
      </c>
      <c r="D1211" s="9" t="n">
        <f aca="false">YEAR(A1211)</f>
        <v>2025</v>
      </c>
      <c r="E1211" s="9" t="n">
        <f aca="false">WEEKDAY(A1211,2)</f>
        <v>5</v>
      </c>
      <c r="F1211" s="10" t="n">
        <f aca="false">WEEKNUM(A1211,2) - WEEKNUM(DATE(YEAR(A1211),MONTH(A1211),1),2) + 1</f>
        <v>1</v>
      </c>
      <c r="G1211" s="10"/>
      <c r="H1211" s="11" t="n">
        <v>1680</v>
      </c>
      <c r="I1211" s="12" t="s">
        <v>20</v>
      </c>
      <c r="J1211" s="12" t="s">
        <v>49</v>
      </c>
      <c r="K1211" s="12"/>
      <c r="L1211" s="9" t="n">
        <f aca="false">L1210+H1211</f>
        <v>3710</v>
      </c>
      <c r="M1211" s="10" t="str">
        <f aca="false">VLOOKUP(J1211,RECATALOGANDO!A:C,2,0)</f>
        <v>SERVICIO DE GROOMING</v>
      </c>
      <c r="N1211" s="12" t="str">
        <f aca="false">VLOOKUP(M1211,RECATALOGANDO!B:C,2,0)</f>
        <v>VENTA DE SERVICIO</v>
      </c>
      <c r="O1211" s="2" t="s">
        <v>78</v>
      </c>
    </row>
    <row r="1212" customFormat="false" ht="13.8" hidden="false" customHeight="false" outlineLevel="0" collapsed="false">
      <c r="A1212" s="8" t="n">
        <v>45664</v>
      </c>
      <c r="B1212" s="9" t="n">
        <f aca="false">DAY(A1212)</f>
        <v>7</v>
      </c>
      <c r="C1212" s="9" t="n">
        <f aca="false">MONTH(A1212)</f>
        <v>1</v>
      </c>
      <c r="D1212" s="9" t="n">
        <f aca="false">YEAR(A1212)</f>
        <v>2025</v>
      </c>
      <c r="E1212" s="9" t="n">
        <f aca="false">WEEKDAY(A1212,2)</f>
        <v>2</v>
      </c>
      <c r="F1212" s="10" t="n">
        <f aca="false">WEEKNUM(A1212,2) - WEEKNUM(DATE(YEAR(A1212),MONTH(A1212),1),2) + 1</f>
        <v>2</v>
      </c>
      <c r="G1212" s="10"/>
      <c r="H1212" s="11" t="n">
        <v>4000</v>
      </c>
      <c r="I1212" s="12" t="s">
        <v>20</v>
      </c>
      <c r="J1212" s="12" t="s">
        <v>51</v>
      </c>
      <c r="K1212" s="12"/>
      <c r="L1212" s="9" t="n">
        <f aca="false">L1211+H1212</f>
        <v>7710</v>
      </c>
      <c r="M1212" s="10" t="str">
        <f aca="false">VLOOKUP(J1212,RECATALOGANDO!A:C,2,0)</f>
        <v>VENTA DE ALIMENTO</v>
      </c>
      <c r="N1212" s="12" t="str">
        <f aca="false">VLOOKUP(M1212,RECATALOGANDO!B:C,2,0)</f>
        <v>VENTA DE PRODUCTO</v>
      </c>
      <c r="O1212" s="2" t="s">
        <v>78</v>
      </c>
    </row>
    <row r="1213" customFormat="false" ht="13.8" hidden="false" customHeight="false" outlineLevel="0" collapsed="false">
      <c r="A1213" s="8" t="n">
        <v>45665</v>
      </c>
      <c r="B1213" s="9" t="n">
        <f aca="false">DAY(A1213)</f>
        <v>8</v>
      </c>
      <c r="C1213" s="9" t="n">
        <f aca="false">MONTH(A1213)</f>
        <v>1</v>
      </c>
      <c r="D1213" s="9" t="n">
        <f aca="false">YEAR(A1213)</f>
        <v>2025</v>
      </c>
      <c r="E1213" s="9" t="n">
        <f aca="false">WEEKDAY(A1213,2)</f>
        <v>3</v>
      </c>
      <c r="F1213" s="10" t="n">
        <f aca="false">WEEKNUM(A1213,2) - WEEKNUM(DATE(YEAR(A1213),MONTH(A1213),1),2) + 1</f>
        <v>2</v>
      </c>
      <c r="G1213" s="10"/>
      <c r="H1213" s="11" t="n">
        <v>788</v>
      </c>
      <c r="I1213" s="12" t="s">
        <v>20</v>
      </c>
      <c r="J1213" s="12" t="s">
        <v>45</v>
      </c>
      <c r="K1213" s="12"/>
      <c r="L1213" s="9" t="n">
        <f aca="false">L1212+H1213</f>
        <v>8498</v>
      </c>
      <c r="M1213" s="10" t="str">
        <f aca="false">VLOOKUP(J1213,RECATALOGANDO!A:C,2,0)</f>
        <v>VENTA DE MEDICAMENTO</v>
      </c>
      <c r="N1213" s="12" t="str">
        <f aca="false">VLOOKUP(M1213,RECATALOGANDO!B:C,2,0)</f>
        <v>VENTA DE PRODUCTO</v>
      </c>
      <c r="O1213" s="2" t="s">
        <v>78</v>
      </c>
    </row>
    <row r="1214" customFormat="false" ht="13.8" hidden="false" customHeight="false" outlineLevel="0" collapsed="false">
      <c r="A1214" s="8" t="n">
        <v>45667</v>
      </c>
      <c r="B1214" s="9" t="n">
        <f aca="false">DAY(A1214)</f>
        <v>10</v>
      </c>
      <c r="C1214" s="9" t="n">
        <f aca="false">MONTH(A1214)</f>
        <v>1</v>
      </c>
      <c r="D1214" s="9" t="n">
        <f aca="false">YEAR(A1214)</f>
        <v>2025</v>
      </c>
      <c r="E1214" s="9" t="n">
        <f aca="false">WEEKDAY(A1214,2)</f>
        <v>5</v>
      </c>
      <c r="F1214" s="10" t="n">
        <f aca="false">WEEKNUM(A1214,2) - WEEKNUM(DATE(YEAR(A1214),MONTH(A1214),1),2) + 1</f>
        <v>2</v>
      </c>
      <c r="G1214" s="10"/>
      <c r="H1214" s="11" t="n">
        <v>290</v>
      </c>
      <c r="I1214" s="12" t="s">
        <v>20</v>
      </c>
      <c r="J1214" s="12" t="s">
        <v>44</v>
      </c>
      <c r="K1214" s="12"/>
      <c r="L1214" s="9" t="n">
        <f aca="false">L1213+H1214</f>
        <v>8788</v>
      </c>
      <c r="M1214" s="10" t="str">
        <f aca="false">VLOOKUP(J1214,RECATALOGANDO!A:C,2,0)</f>
        <v>HONORARIOS MEDICOS</v>
      </c>
      <c r="N1214" s="12" t="str">
        <f aca="false">VLOOKUP(M1214,RECATALOGANDO!B:C,2,0)</f>
        <v>VENTA DE SERVICIO</v>
      </c>
      <c r="O1214" s="2" t="s">
        <v>78</v>
      </c>
    </row>
    <row r="1215" customFormat="false" ht="13.8" hidden="false" customHeight="false" outlineLevel="0" collapsed="false">
      <c r="A1215" s="8" t="n">
        <v>45669</v>
      </c>
      <c r="B1215" s="9" t="n">
        <f aca="false">DAY(A1215)</f>
        <v>12</v>
      </c>
      <c r="C1215" s="9" t="n">
        <f aca="false">MONTH(A1215)</f>
        <v>1</v>
      </c>
      <c r="D1215" s="9" t="n">
        <f aca="false">YEAR(A1215)</f>
        <v>2025</v>
      </c>
      <c r="E1215" s="9" t="n">
        <f aca="false">WEEKDAY(A1215,2)</f>
        <v>7</v>
      </c>
      <c r="F1215" s="10" t="n">
        <f aca="false">WEEKNUM(A1215,2) - WEEKNUM(DATE(YEAR(A1215),MONTH(A1215),1),2) + 1</f>
        <v>2</v>
      </c>
      <c r="G1215" s="10"/>
      <c r="H1215" s="11" t="n">
        <v>1300.33</v>
      </c>
      <c r="I1215" s="12" t="s">
        <v>15</v>
      </c>
      <c r="J1215" s="12" t="s">
        <v>44</v>
      </c>
      <c r="K1215" s="12"/>
      <c r="L1215" s="9" t="n">
        <f aca="false">L1214+H1215</f>
        <v>10088.33</v>
      </c>
      <c r="M1215" s="10" t="str">
        <f aca="false">VLOOKUP(J1215,RECATALOGANDO!A:C,2,0)</f>
        <v>HONORARIOS MEDICOS</v>
      </c>
      <c r="N1215" s="12" t="str">
        <f aca="false">VLOOKUP(M1215,RECATALOGANDO!B:C,2,0)</f>
        <v>VENTA DE SERVICIO</v>
      </c>
      <c r="O1215" s="2" t="s">
        <v>78</v>
      </c>
    </row>
    <row r="1216" customFormat="false" ht="13.8" hidden="false" customHeight="false" outlineLevel="0" collapsed="false">
      <c r="A1216" s="8" t="n">
        <v>45672</v>
      </c>
      <c r="B1216" s="9" t="n">
        <f aca="false">DAY(A1216)</f>
        <v>15</v>
      </c>
      <c r="C1216" s="9" t="n">
        <f aca="false">MONTH(A1216)</f>
        <v>1</v>
      </c>
      <c r="D1216" s="9" t="n">
        <f aca="false">YEAR(A1216)</f>
        <v>2025</v>
      </c>
      <c r="E1216" s="9" t="n">
        <f aca="false">WEEKDAY(A1216,2)</f>
        <v>3</v>
      </c>
      <c r="F1216" s="10" t="n">
        <f aca="false">WEEKNUM(A1216,2) - WEEKNUM(DATE(YEAR(A1216),MONTH(A1216),1),2) + 1</f>
        <v>3</v>
      </c>
      <c r="G1216" s="10" t="n">
        <v>1</v>
      </c>
      <c r="H1216" s="11" t="n">
        <v>1647.22</v>
      </c>
      <c r="I1216" s="12" t="s">
        <v>15</v>
      </c>
      <c r="J1216" s="12" t="s">
        <v>45</v>
      </c>
      <c r="K1216" s="12"/>
      <c r="L1216" s="9" t="n">
        <f aca="false">L1215+H1216</f>
        <v>11735.55</v>
      </c>
      <c r="M1216" s="10" t="str">
        <f aca="false">VLOOKUP(J1216,RECATALOGANDO!A:C,2,0)</f>
        <v>VENTA DE MEDICAMENTO</v>
      </c>
      <c r="N1216" s="12" t="str">
        <f aca="false">VLOOKUP(M1216,RECATALOGANDO!B:C,2,0)</f>
        <v>VENTA DE PRODUCTO</v>
      </c>
      <c r="O1216" s="2" t="s">
        <v>78</v>
      </c>
    </row>
    <row r="1217" customFormat="false" ht="13.8" hidden="false" customHeight="false" outlineLevel="0" collapsed="false">
      <c r="A1217" s="8" t="n">
        <v>45673</v>
      </c>
      <c r="B1217" s="9" t="n">
        <f aca="false">DAY(A1217)</f>
        <v>16</v>
      </c>
      <c r="C1217" s="9" t="n">
        <f aca="false">MONTH(A1217)</f>
        <v>1</v>
      </c>
      <c r="D1217" s="9" t="n">
        <f aca="false">YEAR(A1217)</f>
        <v>2025</v>
      </c>
      <c r="E1217" s="9" t="n">
        <f aca="false">WEEKDAY(A1217,2)</f>
        <v>4</v>
      </c>
      <c r="F1217" s="10" t="n">
        <f aca="false">WEEKNUM(A1217,2) - WEEKNUM(DATE(YEAR(A1217),MONTH(A1217),1),2) + 1</f>
        <v>3</v>
      </c>
      <c r="G1217" s="10"/>
      <c r="H1217" s="11" t="n">
        <v>330</v>
      </c>
      <c r="I1217" s="12" t="s">
        <v>20</v>
      </c>
      <c r="J1217" s="12" t="s">
        <v>49</v>
      </c>
      <c r="K1217" s="12"/>
      <c r="L1217" s="9" t="n">
        <f aca="false">L1216+H1217</f>
        <v>12065.55</v>
      </c>
      <c r="M1217" s="10" t="str">
        <f aca="false">VLOOKUP(J1217,RECATALOGANDO!A:C,2,0)</f>
        <v>SERVICIO DE GROOMING</v>
      </c>
      <c r="N1217" s="12" t="str">
        <f aca="false">VLOOKUP(M1217,RECATALOGANDO!B:C,2,0)</f>
        <v>VENTA DE SERVICIO</v>
      </c>
      <c r="O1217" s="2" t="s">
        <v>78</v>
      </c>
    </row>
    <row r="1218" customFormat="false" ht="13.8" hidden="false" customHeight="false" outlineLevel="0" collapsed="false">
      <c r="A1218" s="8" t="n">
        <v>45673</v>
      </c>
      <c r="B1218" s="9" t="n">
        <f aca="false">DAY(A1218)</f>
        <v>16</v>
      </c>
      <c r="C1218" s="9" t="n">
        <f aca="false">MONTH(A1218)</f>
        <v>1</v>
      </c>
      <c r="D1218" s="9" t="n">
        <f aca="false">YEAR(A1218)</f>
        <v>2025</v>
      </c>
      <c r="E1218" s="9" t="n">
        <f aca="false">WEEKDAY(A1218,2)</f>
        <v>4</v>
      </c>
      <c r="F1218" s="10" t="n">
        <f aca="false">WEEKNUM(A1218,2) - WEEKNUM(DATE(YEAR(A1218),MONTH(A1218),1),2) + 1</f>
        <v>3</v>
      </c>
      <c r="G1218" s="10"/>
      <c r="H1218" s="11" t="n">
        <v>4750</v>
      </c>
      <c r="I1218" s="12" t="s">
        <v>20</v>
      </c>
      <c r="J1218" s="12" t="s">
        <v>44</v>
      </c>
      <c r="K1218" s="12"/>
      <c r="L1218" s="9" t="n">
        <f aca="false">L1217+H1218</f>
        <v>16815.55</v>
      </c>
      <c r="M1218" s="10" t="str">
        <f aca="false">VLOOKUP(J1218,RECATALOGANDO!A:C,2,0)</f>
        <v>HONORARIOS MEDICOS</v>
      </c>
      <c r="N1218" s="12" t="str">
        <f aca="false">VLOOKUP(M1218,RECATALOGANDO!B:C,2,0)</f>
        <v>VENTA DE SERVICIO</v>
      </c>
      <c r="O1218" s="2" t="s">
        <v>78</v>
      </c>
    </row>
    <row r="1219" customFormat="false" ht="13.8" hidden="false" customHeight="false" outlineLevel="0" collapsed="false">
      <c r="A1219" s="8" t="n">
        <v>45674</v>
      </c>
      <c r="B1219" s="9" t="n">
        <f aca="false">DAY(A1219)</f>
        <v>17</v>
      </c>
      <c r="C1219" s="9" t="n">
        <f aca="false">MONTH(A1219)</f>
        <v>1</v>
      </c>
      <c r="D1219" s="9" t="n">
        <f aca="false">YEAR(A1219)</f>
        <v>2025</v>
      </c>
      <c r="E1219" s="9" t="n">
        <f aca="false">WEEKDAY(A1219,2)</f>
        <v>5</v>
      </c>
      <c r="F1219" s="10" t="n">
        <f aca="false">WEEKNUM(A1219,2) - WEEKNUM(DATE(YEAR(A1219),MONTH(A1219),1),2) + 1</f>
        <v>3</v>
      </c>
      <c r="G1219" s="10"/>
      <c r="H1219" s="11" t="n">
        <v>387.15</v>
      </c>
      <c r="I1219" s="12" t="s">
        <v>15</v>
      </c>
      <c r="J1219" s="12" t="s">
        <v>49</v>
      </c>
      <c r="K1219" s="12"/>
      <c r="L1219" s="9" t="n">
        <f aca="false">L1218+H1219</f>
        <v>17202.7</v>
      </c>
      <c r="M1219" s="10" t="str">
        <f aca="false">VLOOKUP(J1219,RECATALOGANDO!A:C,2,0)</f>
        <v>SERVICIO DE GROOMING</v>
      </c>
      <c r="N1219" s="12" t="str">
        <f aca="false">VLOOKUP(M1219,RECATALOGANDO!B:C,2,0)</f>
        <v>VENTA DE SERVICIO</v>
      </c>
      <c r="O1219" s="2" t="s">
        <v>78</v>
      </c>
    </row>
    <row r="1220" customFormat="false" ht="13.8" hidden="false" customHeight="false" outlineLevel="0" collapsed="false">
      <c r="A1220" s="8" t="n">
        <v>45677</v>
      </c>
      <c r="B1220" s="9" t="n">
        <f aca="false">DAY(A1220)</f>
        <v>20</v>
      </c>
      <c r="C1220" s="9" t="n">
        <f aca="false">MONTH(A1220)</f>
        <v>1</v>
      </c>
      <c r="D1220" s="9" t="n">
        <f aca="false">YEAR(A1220)</f>
        <v>2025</v>
      </c>
      <c r="E1220" s="9" t="n">
        <f aca="false">WEEKDAY(A1220,2)</f>
        <v>1</v>
      </c>
      <c r="F1220" s="10" t="n">
        <f aca="false">WEEKNUM(A1220,2) - WEEKNUM(DATE(YEAR(A1220),MONTH(A1220),1),2) + 1</f>
        <v>4</v>
      </c>
      <c r="G1220" s="10"/>
      <c r="H1220" s="11" t="n">
        <v>390</v>
      </c>
      <c r="I1220" s="12" t="s">
        <v>20</v>
      </c>
      <c r="J1220" s="12" t="s">
        <v>45</v>
      </c>
      <c r="K1220" s="12"/>
      <c r="L1220" s="9" t="n">
        <f aca="false">L1219+H1220</f>
        <v>17592.7</v>
      </c>
      <c r="M1220" s="10" t="str">
        <f aca="false">VLOOKUP(J1220,RECATALOGANDO!A:C,2,0)</f>
        <v>VENTA DE MEDICAMENTO</v>
      </c>
      <c r="N1220" s="12" t="str">
        <f aca="false">VLOOKUP(M1220,RECATALOGANDO!B:C,2,0)</f>
        <v>VENTA DE PRODUCTO</v>
      </c>
      <c r="O1220" s="2" t="s">
        <v>78</v>
      </c>
    </row>
    <row r="1221" customFormat="false" ht="13.8" hidden="false" customHeight="false" outlineLevel="0" collapsed="false">
      <c r="A1221" s="8" t="n">
        <v>45677</v>
      </c>
      <c r="B1221" s="9" t="n">
        <f aca="false">DAY(A1221)</f>
        <v>20</v>
      </c>
      <c r="C1221" s="9" t="n">
        <f aca="false">MONTH(A1221)</f>
        <v>1</v>
      </c>
      <c r="D1221" s="9" t="n">
        <f aca="false">YEAR(A1221)</f>
        <v>2025</v>
      </c>
      <c r="E1221" s="9" t="n">
        <f aca="false">WEEKDAY(A1221,2)</f>
        <v>1</v>
      </c>
      <c r="F1221" s="10" t="n">
        <f aca="false">WEEKNUM(A1221,2) - WEEKNUM(DATE(YEAR(A1221),MONTH(A1221),1),2) + 1</f>
        <v>4</v>
      </c>
      <c r="G1221" s="10"/>
      <c r="H1221" s="11" t="n">
        <v>1000</v>
      </c>
      <c r="I1221" s="12" t="s">
        <v>20</v>
      </c>
      <c r="J1221" s="12" t="s">
        <v>45</v>
      </c>
      <c r="K1221" s="12"/>
      <c r="L1221" s="9" t="n">
        <f aca="false">L1220+H1221</f>
        <v>18592.7</v>
      </c>
      <c r="M1221" s="10" t="str">
        <f aca="false">VLOOKUP(J1221,RECATALOGANDO!A:C,2,0)</f>
        <v>VENTA DE MEDICAMENTO</v>
      </c>
      <c r="N1221" s="12" t="str">
        <f aca="false">VLOOKUP(M1221,RECATALOGANDO!B:C,2,0)</f>
        <v>VENTA DE PRODUCTO</v>
      </c>
      <c r="O1221" s="2" t="s">
        <v>78</v>
      </c>
    </row>
    <row r="1222" customFormat="false" ht="13.8" hidden="false" customHeight="false" outlineLevel="0" collapsed="false">
      <c r="A1222" s="8" t="n">
        <v>45677</v>
      </c>
      <c r="B1222" s="9" t="n">
        <f aca="false">DAY(A1222)</f>
        <v>20</v>
      </c>
      <c r="C1222" s="9" t="n">
        <f aca="false">MONTH(A1222)</f>
        <v>1</v>
      </c>
      <c r="D1222" s="9" t="n">
        <f aca="false">YEAR(A1222)</f>
        <v>2025</v>
      </c>
      <c r="E1222" s="9" t="n">
        <f aca="false">WEEKDAY(A1222,2)</f>
        <v>1</v>
      </c>
      <c r="F1222" s="10" t="n">
        <f aca="false">WEEKNUM(A1222,2) - WEEKNUM(DATE(YEAR(A1222),MONTH(A1222),1),2) + 1</f>
        <v>4</v>
      </c>
      <c r="G1222" s="10"/>
      <c r="H1222" s="11" t="n">
        <v>1339</v>
      </c>
      <c r="I1222" s="12" t="s">
        <v>20</v>
      </c>
      <c r="J1222" s="12" t="s">
        <v>45</v>
      </c>
      <c r="K1222" s="12"/>
      <c r="L1222" s="9" t="n">
        <f aca="false">L1221+H1222</f>
        <v>19931.7</v>
      </c>
      <c r="M1222" s="10" t="str">
        <f aca="false">VLOOKUP(J1222,RECATALOGANDO!A:C,2,0)</f>
        <v>VENTA DE MEDICAMENTO</v>
      </c>
      <c r="N1222" s="12" t="str">
        <f aca="false">VLOOKUP(M1222,RECATALOGANDO!B:C,2,0)</f>
        <v>VENTA DE PRODUCTO</v>
      </c>
      <c r="O1222" s="2" t="s">
        <v>78</v>
      </c>
    </row>
    <row r="1223" customFormat="false" ht="13.8" hidden="false" customHeight="false" outlineLevel="0" collapsed="false">
      <c r="A1223" s="8" t="n">
        <v>45677</v>
      </c>
      <c r="B1223" s="9" t="n">
        <f aca="false">DAY(A1223)</f>
        <v>20</v>
      </c>
      <c r="C1223" s="9" t="n">
        <f aca="false">MONTH(A1223)</f>
        <v>1</v>
      </c>
      <c r="D1223" s="9" t="n">
        <f aca="false">YEAR(A1223)</f>
        <v>2025</v>
      </c>
      <c r="E1223" s="9" t="n">
        <f aca="false">WEEKDAY(A1223,2)</f>
        <v>1</v>
      </c>
      <c r="F1223" s="10" t="n">
        <f aca="false">WEEKNUM(A1223,2) - WEEKNUM(DATE(YEAR(A1223),MONTH(A1223),1),2) + 1</f>
        <v>4</v>
      </c>
      <c r="G1223" s="10"/>
      <c r="H1223" s="11" t="n">
        <v>150</v>
      </c>
      <c r="I1223" s="12" t="s">
        <v>20</v>
      </c>
      <c r="J1223" s="12" t="s">
        <v>49</v>
      </c>
      <c r="K1223" s="12"/>
      <c r="L1223" s="9" t="n">
        <f aca="false">L1222+H1223</f>
        <v>20081.7</v>
      </c>
      <c r="M1223" s="10" t="str">
        <f aca="false">VLOOKUP(J1223,RECATALOGANDO!A:C,2,0)</f>
        <v>SERVICIO DE GROOMING</v>
      </c>
      <c r="N1223" s="12" t="str">
        <f aca="false">VLOOKUP(M1223,RECATALOGANDO!B:C,2,0)</f>
        <v>VENTA DE SERVICIO</v>
      </c>
      <c r="O1223" s="2" t="s">
        <v>78</v>
      </c>
    </row>
    <row r="1224" customFormat="false" ht="13.8" hidden="false" customHeight="false" outlineLevel="0" collapsed="false">
      <c r="A1224" s="8" t="n">
        <v>45677</v>
      </c>
      <c r="B1224" s="9" t="n">
        <f aca="false">DAY(A1224)</f>
        <v>20</v>
      </c>
      <c r="C1224" s="9" t="n">
        <f aca="false">MONTH(A1224)</f>
        <v>1</v>
      </c>
      <c r="D1224" s="9" t="n">
        <f aca="false">YEAR(A1224)</f>
        <v>2025</v>
      </c>
      <c r="E1224" s="9" t="n">
        <f aca="false">WEEKDAY(A1224,2)</f>
        <v>1</v>
      </c>
      <c r="F1224" s="10" t="n">
        <f aca="false">WEEKNUM(A1224,2) - WEEKNUM(DATE(YEAR(A1224),MONTH(A1224),1),2) + 1</f>
        <v>4</v>
      </c>
      <c r="G1224" s="10"/>
      <c r="H1224" s="11" t="n">
        <v>240</v>
      </c>
      <c r="I1224" s="12" t="s">
        <v>20</v>
      </c>
      <c r="J1224" s="12" t="s">
        <v>44</v>
      </c>
      <c r="K1224" s="12"/>
      <c r="L1224" s="9" t="n">
        <f aca="false">L1223+H1224</f>
        <v>20321.7</v>
      </c>
      <c r="M1224" s="10" t="str">
        <f aca="false">VLOOKUP(J1224,RECATALOGANDO!A:C,2,0)</f>
        <v>HONORARIOS MEDICOS</v>
      </c>
      <c r="N1224" s="12" t="str">
        <f aca="false">VLOOKUP(M1224,RECATALOGANDO!B:C,2,0)</f>
        <v>VENTA DE SERVICIO</v>
      </c>
      <c r="O1224" s="2" t="s">
        <v>78</v>
      </c>
    </row>
    <row r="1225" customFormat="false" ht="13.8" hidden="false" customHeight="false" outlineLevel="0" collapsed="false">
      <c r="A1225" s="8" t="n">
        <v>45677</v>
      </c>
      <c r="B1225" s="9" t="n">
        <f aca="false">DAY(A1225)</f>
        <v>20</v>
      </c>
      <c r="C1225" s="9" t="n">
        <f aca="false">MONTH(A1225)</f>
        <v>1</v>
      </c>
      <c r="D1225" s="9" t="n">
        <f aca="false">YEAR(A1225)</f>
        <v>2025</v>
      </c>
      <c r="E1225" s="9" t="n">
        <f aca="false">WEEKDAY(A1225,2)</f>
        <v>1</v>
      </c>
      <c r="F1225" s="10" t="n">
        <f aca="false">WEEKNUM(A1225,2) - WEEKNUM(DATE(YEAR(A1225),MONTH(A1225),1),2) + 1</f>
        <v>4</v>
      </c>
      <c r="G1225" s="10"/>
      <c r="H1225" s="11" t="n">
        <v>3200</v>
      </c>
      <c r="I1225" s="12" t="s">
        <v>20</v>
      </c>
      <c r="J1225" s="12" t="s">
        <v>64</v>
      </c>
      <c r="K1225" s="12"/>
      <c r="L1225" s="9" t="n">
        <f aca="false">L1224+H1225</f>
        <v>23521.7</v>
      </c>
      <c r="M1225" s="10" t="str">
        <f aca="false">VLOOKUP(J1225,RECATALOGANDO!A:C,2,0)</f>
        <v>HONORARIOS QUIRURGICOS</v>
      </c>
      <c r="N1225" s="12" t="str">
        <f aca="false">VLOOKUP(M1225,RECATALOGANDO!B:C,2,0)</f>
        <v>VENTA DE SERVICIO</v>
      </c>
      <c r="O1225" s="2" t="s">
        <v>78</v>
      </c>
    </row>
    <row r="1226" customFormat="false" ht="13.8" hidden="false" customHeight="false" outlineLevel="0" collapsed="false">
      <c r="A1226" s="8" t="n">
        <v>45678</v>
      </c>
      <c r="B1226" s="9" t="n">
        <f aca="false">DAY(A1226)</f>
        <v>21</v>
      </c>
      <c r="C1226" s="9" t="n">
        <f aca="false">MONTH(A1226)</f>
        <v>1</v>
      </c>
      <c r="D1226" s="9" t="n">
        <f aca="false">YEAR(A1226)</f>
        <v>2025</v>
      </c>
      <c r="E1226" s="9" t="n">
        <f aca="false">WEEKDAY(A1226,2)</f>
        <v>2</v>
      </c>
      <c r="F1226" s="10" t="n">
        <f aca="false">WEEKNUM(A1226,2) - WEEKNUM(DATE(YEAR(A1226),MONTH(A1226),1),2) + 1</f>
        <v>4</v>
      </c>
      <c r="G1226" s="10"/>
      <c r="H1226" s="11" t="n">
        <v>770</v>
      </c>
      <c r="I1226" s="12" t="s">
        <v>20</v>
      </c>
      <c r="J1226" s="12" t="s">
        <v>51</v>
      </c>
      <c r="K1226" s="12"/>
      <c r="L1226" s="9" t="n">
        <f aca="false">L1225+H1226</f>
        <v>24291.7</v>
      </c>
      <c r="M1226" s="10" t="str">
        <f aca="false">VLOOKUP(J1226,RECATALOGANDO!A:C,2,0)</f>
        <v>VENTA DE ALIMENTO</v>
      </c>
      <c r="N1226" s="12" t="str">
        <f aca="false">VLOOKUP(M1226,RECATALOGANDO!B:C,2,0)</f>
        <v>VENTA DE PRODUCTO</v>
      </c>
      <c r="O1226" s="2" t="s">
        <v>78</v>
      </c>
    </row>
    <row r="1227" customFormat="false" ht="13.8" hidden="false" customHeight="false" outlineLevel="0" collapsed="false">
      <c r="A1227" s="8" t="n">
        <v>45678</v>
      </c>
      <c r="B1227" s="9" t="n">
        <f aca="false">DAY(A1227)</f>
        <v>21</v>
      </c>
      <c r="C1227" s="9" t="n">
        <f aca="false">MONTH(A1227)</f>
        <v>1</v>
      </c>
      <c r="D1227" s="9" t="n">
        <f aca="false">YEAR(A1227)</f>
        <v>2025</v>
      </c>
      <c r="E1227" s="9" t="n">
        <f aca="false">WEEKDAY(A1227,2)</f>
        <v>2</v>
      </c>
      <c r="F1227" s="10" t="n">
        <f aca="false">WEEKNUM(A1227,2) - WEEKNUM(DATE(YEAR(A1227),MONTH(A1227),1),2) + 1</f>
        <v>4</v>
      </c>
      <c r="G1227" s="10"/>
      <c r="H1227" s="11" t="n">
        <v>320</v>
      </c>
      <c r="I1227" s="12" t="s">
        <v>20</v>
      </c>
      <c r="J1227" s="12" t="s">
        <v>49</v>
      </c>
      <c r="K1227" s="12"/>
      <c r="L1227" s="9" t="n">
        <f aca="false">L1226+H1227</f>
        <v>24611.7</v>
      </c>
      <c r="M1227" s="10" t="str">
        <f aca="false">VLOOKUP(J1227,RECATALOGANDO!A:C,2,0)</f>
        <v>SERVICIO DE GROOMING</v>
      </c>
      <c r="N1227" s="12" t="str">
        <f aca="false">VLOOKUP(M1227,RECATALOGANDO!B:C,2,0)</f>
        <v>VENTA DE SERVICIO</v>
      </c>
      <c r="O1227" s="2" t="s">
        <v>78</v>
      </c>
    </row>
    <row r="1228" customFormat="false" ht="13.8" hidden="false" customHeight="false" outlineLevel="0" collapsed="false">
      <c r="A1228" s="8" t="n">
        <v>45679</v>
      </c>
      <c r="B1228" s="9" t="n">
        <f aca="false">DAY(A1228)</f>
        <v>22</v>
      </c>
      <c r="C1228" s="9" t="n">
        <f aca="false">MONTH(A1228)</f>
        <v>1</v>
      </c>
      <c r="D1228" s="9" t="n">
        <f aca="false">YEAR(A1228)</f>
        <v>2025</v>
      </c>
      <c r="E1228" s="9" t="n">
        <f aca="false">WEEKDAY(A1228,2)</f>
        <v>3</v>
      </c>
      <c r="F1228" s="10" t="n">
        <f aca="false">WEEKNUM(A1228,2) - WEEKNUM(DATE(YEAR(A1228),MONTH(A1228),1),2) + 1</f>
        <v>4</v>
      </c>
      <c r="G1228" s="10"/>
      <c r="H1228" s="11" t="n">
        <v>2940</v>
      </c>
      <c r="I1228" s="12" t="s">
        <v>20</v>
      </c>
      <c r="J1228" s="12" t="s">
        <v>45</v>
      </c>
      <c r="K1228" s="12"/>
      <c r="L1228" s="9" t="n">
        <f aca="false">L1227+H1228</f>
        <v>27551.7</v>
      </c>
      <c r="M1228" s="10" t="str">
        <f aca="false">VLOOKUP(J1228,RECATALOGANDO!A:C,2,0)</f>
        <v>VENTA DE MEDICAMENTO</v>
      </c>
      <c r="N1228" s="12" t="str">
        <f aca="false">VLOOKUP(M1228,RECATALOGANDO!B:C,2,0)</f>
        <v>VENTA DE PRODUCTO</v>
      </c>
      <c r="O1228" s="2" t="s">
        <v>78</v>
      </c>
    </row>
    <row r="1229" customFormat="false" ht="13.8" hidden="false" customHeight="false" outlineLevel="0" collapsed="false">
      <c r="A1229" s="8" t="n">
        <v>45680</v>
      </c>
      <c r="B1229" s="9" t="n">
        <f aca="false">DAY(A1229)</f>
        <v>23</v>
      </c>
      <c r="C1229" s="9" t="n">
        <f aca="false">MONTH(A1229)</f>
        <v>1</v>
      </c>
      <c r="D1229" s="9" t="n">
        <f aca="false">YEAR(A1229)</f>
        <v>2025</v>
      </c>
      <c r="E1229" s="9" t="n">
        <f aca="false">WEEKDAY(A1229,2)</f>
        <v>4</v>
      </c>
      <c r="F1229" s="10" t="n">
        <f aca="false">WEEKNUM(A1229,2) - WEEKNUM(DATE(YEAR(A1229),MONTH(A1229),1),2) + 1</f>
        <v>4</v>
      </c>
      <c r="G1229" s="10"/>
      <c r="H1229" s="11" t="n">
        <v>580</v>
      </c>
      <c r="I1229" s="12" t="s">
        <v>20</v>
      </c>
      <c r="J1229" s="12" t="s">
        <v>45</v>
      </c>
      <c r="K1229" s="12"/>
      <c r="L1229" s="9" t="n">
        <f aca="false">L1228+H1229</f>
        <v>28131.7</v>
      </c>
      <c r="M1229" s="10" t="str">
        <f aca="false">VLOOKUP(J1229,RECATALOGANDO!A:C,2,0)</f>
        <v>VENTA DE MEDICAMENTO</v>
      </c>
      <c r="N1229" s="12" t="str">
        <f aca="false">VLOOKUP(M1229,RECATALOGANDO!B:C,2,0)</f>
        <v>VENTA DE PRODUCTO</v>
      </c>
      <c r="O1229" s="2" t="s">
        <v>78</v>
      </c>
    </row>
    <row r="1230" customFormat="false" ht="13.8" hidden="false" customHeight="false" outlineLevel="0" collapsed="false">
      <c r="A1230" s="8" t="n">
        <v>45680</v>
      </c>
      <c r="B1230" s="9" t="n">
        <f aca="false">DAY(A1230)</f>
        <v>23</v>
      </c>
      <c r="C1230" s="9" t="n">
        <f aca="false">MONTH(A1230)</f>
        <v>1</v>
      </c>
      <c r="D1230" s="9" t="n">
        <f aca="false">YEAR(A1230)</f>
        <v>2025</v>
      </c>
      <c r="E1230" s="9" t="n">
        <f aca="false">WEEKDAY(A1230,2)</f>
        <v>4</v>
      </c>
      <c r="F1230" s="10" t="n">
        <f aca="false">WEEKNUM(A1230,2) - WEEKNUM(DATE(YEAR(A1230),MONTH(A1230),1),2) + 1</f>
        <v>4</v>
      </c>
      <c r="G1230" s="10"/>
      <c r="H1230" s="11" t="n">
        <v>590</v>
      </c>
      <c r="I1230" s="12" t="s">
        <v>20</v>
      </c>
      <c r="J1230" s="12" t="s">
        <v>44</v>
      </c>
      <c r="K1230" s="12"/>
      <c r="L1230" s="9" t="n">
        <f aca="false">L1229+H1230</f>
        <v>28721.7</v>
      </c>
      <c r="M1230" s="10" t="str">
        <f aca="false">VLOOKUP(J1230,RECATALOGANDO!A:C,2,0)</f>
        <v>HONORARIOS MEDICOS</v>
      </c>
      <c r="N1230" s="12" t="str">
        <f aca="false">VLOOKUP(M1230,RECATALOGANDO!B:C,2,0)</f>
        <v>VENTA DE SERVICIO</v>
      </c>
      <c r="O1230" s="2" t="s">
        <v>78</v>
      </c>
    </row>
    <row r="1231" customFormat="false" ht="13.8" hidden="false" customHeight="false" outlineLevel="0" collapsed="false">
      <c r="A1231" s="8" t="n">
        <v>45681</v>
      </c>
      <c r="B1231" s="9" t="n">
        <f aca="false">DAY(A1231)</f>
        <v>24</v>
      </c>
      <c r="C1231" s="9" t="n">
        <f aca="false">MONTH(A1231)</f>
        <v>1</v>
      </c>
      <c r="D1231" s="9" t="n">
        <f aca="false">YEAR(A1231)</f>
        <v>2025</v>
      </c>
      <c r="E1231" s="9" t="n">
        <f aca="false">WEEKDAY(A1231,2)</f>
        <v>5</v>
      </c>
      <c r="F1231" s="10" t="n">
        <f aca="false">WEEKNUM(A1231,2) - WEEKNUM(DATE(YEAR(A1231),MONTH(A1231),1),2) + 1</f>
        <v>4</v>
      </c>
      <c r="G1231" s="10"/>
      <c r="H1231" s="11" t="n">
        <v>1210</v>
      </c>
      <c r="I1231" s="12" t="s">
        <v>20</v>
      </c>
      <c r="J1231" s="12" t="s">
        <v>45</v>
      </c>
      <c r="K1231" s="12"/>
      <c r="L1231" s="9" t="n">
        <f aca="false">L1230+H1231</f>
        <v>29931.7</v>
      </c>
      <c r="M1231" s="10" t="str">
        <f aca="false">VLOOKUP(J1231,RECATALOGANDO!A:C,2,0)</f>
        <v>VENTA DE MEDICAMENTO</v>
      </c>
      <c r="N1231" s="12" t="str">
        <f aca="false">VLOOKUP(M1231,RECATALOGANDO!B:C,2,0)</f>
        <v>VENTA DE PRODUCTO</v>
      </c>
      <c r="O1231" s="2" t="s">
        <v>78</v>
      </c>
    </row>
    <row r="1232" customFormat="false" ht="13.8" hidden="false" customHeight="false" outlineLevel="0" collapsed="false">
      <c r="A1232" s="8" t="n">
        <v>45681</v>
      </c>
      <c r="B1232" s="9" t="n">
        <f aca="false">DAY(A1232)</f>
        <v>24</v>
      </c>
      <c r="C1232" s="9" t="n">
        <f aca="false">MONTH(A1232)</f>
        <v>1</v>
      </c>
      <c r="D1232" s="9" t="n">
        <f aca="false">YEAR(A1232)</f>
        <v>2025</v>
      </c>
      <c r="E1232" s="9" t="n">
        <f aca="false">WEEKDAY(A1232,2)</f>
        <v>5</v>
      </c>
      <c r="F1232" s="10" t="n">
        <f aca="false">WEEKNUM(A1232,2) - WEEKNUM(DATE(YEAR(A1232),MONTH(A1232),1),2) + 1</f>
        <v>4</v>
      </c>
      <c r="G1232" s="10"/>
      <c r="H1232" s="11" t="n">
        <v>282.68</v>
      </c>
      <c r="I1232" s="12" t="s">
        <v>15</v>
      </c>
      <c r="J1232" s="12" t="s">
        <v>49</v>
      </c>
      <c r="K1232" s="12"/>
      <c r="L1232" s="9" t="n">
        <f aca="false">L1231+H1232</f>
        <v>30214.38</v>
      </c>
      <c r="M1232" s="10" t="str">
        <f aca="false">VLOOKUP(J1232,RECATALOGANDO!A:C,2,0)</f>
        <v>SERVICIO DE GROOMING</v>
      </c>
      <c r="N1232" s="12" t="str">
        <f aca="false">VLOOKUP(M1232,RECATALOGANDO!B:C,2,0)</f>
        <v>VENTA DE SERVICIO</v>
      </c>
      <c r="O1232" s="2" t="s">
        <v>78</v>
      </c>
    </row>
    <row r="1233" customFormat="false" ht="13.8" hidden="false" customHeight="false" outlineLevel="0" collapsed="false">
      <c r="A1233" s="8" t="n">
        <v>45682</v>
      </c>
      <c r="B1233" s="9" t="n">
        <f aca="false">DAY(A1233)</f>
        <v>25</v>
      </c>
      <c r="C1233" s="9" t="n">
        <f aca="false">MONTH(A1233)</f>
        <v>1</v>
      </c>
      <c r="D1233" s="9" t="n">
        <f aca="false">YEAR(A1233)</f>
        <v>2025</v>
      </c>
      <c r="E1233" s="9" t="n">
        <f aca="false">WEEKDAY(A1233,2)</f>
        <v>6</v>
      </c>
      <c r="F1233" s="10" t="n">
        <f aca="false">WEEKNUM(A1233,2) - WEEKNUM(DATE(YEAR(A1233),MONTH(A1233),1),2) + 1</f>
        <v>4</v>
      </c>
      <c r="G1233" s="10"/>
      <c r="H1233" s="11" t="n">
        <v>1794</v>
      </c>
      <c r="I1233" s="12" t="s">
        <v>15</v>
      </c>
      <c r="J1233" s="12" t="s">
        <v>56</v>
      </c>
      <c r="K1233" s="12"/>
      <c r="L1233" s="9" t="n">
        <f aca="false">L1232+H1233</f>
        <v>32008.38</v>
      </c>
      <c r="M1233" s="10" t="str">
        <f aca="false">VLOOKUP(J1233,RECATALOGANDO!A:C,2,0)</f>
        <v>SERVICIO DE IMAGEN</v>
      </c>
      <c r="N1233" s="12" t="str">
        <f aca="false">VLOOKUP(M1233,RECATALOGANDO!B:C,2,0)</f>
        <v>VENTA DE SERVICIO</v>
      </c>
      <c r="O1233" s="2" t="s">
        <v>78</v>
      </c>
    </row>
    <row r="1234" customFormat="false" ht="13.8" hidden="false" customHeight="false" outlineLevel="0" collapsed="false">
      <c r="A1234" s="8" t="n">
        <v>45684</v>
      </c>
      <c r="B1234" s="9" t="n">
        <f aca="false">DAY(A1234)</f>
        <v>27</v>
      </c>
      <c r="C1234" s="9" t="n">
        <f aca="false">MONTH(A1234)</f>
        <v>1</v>
      </c>
      <c r="D1234" s="9" t="n">
        <f aca="false">YEAR(A1234)</f>
        <v>2025</v>
      </c>
      <c r="E1234" s="9" t="n">
        <f aca="false">WEEKDAY(A1234,2)</f>
        <v>1</v>
      </c>
      <c r="F1234" s="10" t="n">
        <f aca="false">WEEKNUM(A1234,2) - WEEKNUM(DATE(YEAR(A1234),MONTH(A1234),1),2) + 1</f>
        <v>5</v>
      </c>
      <c r="G1234" s="10"/>
      <c r="H1234" s="11" t="n">
        <v>6400</v>
      </c>
      <c r="I1234" s="12" t="s">
        <v>20</v>
      </c>
      <c r="J1234" s="12" t="s">
        <v>64</v>
      </c>
      <c r="K1234" s="12"/>
      <c r="L1234" s="9" t="n">
        <f aca="false">L1233+H1234</f>
        <v>38408.38</v>
      </c>
      <c r="M1234" s="10" t="str">
        <f aca="false">VLOOKUP(J1234,RECATALOGANDO!A:C,2,0)</f>
        <v>HONORARIOS QUIRURGICOS</v>
      </c>
      <c r="N1234" s="12" t="str">
        <f aca="false">VLOOKUP(M1234,RECATALOGANDO!B:C,2,0)</f>
        <v>VENTA DE SERVICIO</v>
      </c>
      <c r="O1234" s="2" t="s">
        <v>78</v>
      </c>
    </row>
    <row r="1235" customFormat="false" ht="13.8" hidden="false" customHeight="false" outlineLevel="0" collapsed="false">
      <c r="A1235" s="8" t="n">
        <v>45685</v>
      </c>
      <c r="B1235" s="9" t="n">
        <f aca="false">DAY(A1235)</f>
        <v>28</v>
      </c>
      <c r="C1235" s="9" t="n">
        <f aca="false">MONTH(A1235)</f>
        <v>1</v>
      </c>
      <c r="D1235" s="9" t="n">
        <f aca="false">YEAR(A1235)</f>
        <v>2025</v>
      </c>
      <c r="E1235" s="9" t="n">
        <f aca="false">WEEKDAY(A1235,2)</f>
        <v>2</v>
      </c>
      <c r="F1235" s="10" t="n">
        <f aca="false">WEEKNUM(A1235,2) - WEEKNUM(DATE(YEAR(A1235),MONTH(A1235),1),2) + 1</f>
        <v>5</v>
      </c>
      <c r="G1235" s="10"/>
      <c r="H1235" s="11" t="n">
        <v>1977</v>
      </c>
      <c r="I1235" s="12" t="s">
        <v>15</v>
      </c>
      <c r="J1235" s="12" t="s">
        <v>44</v>
      </c>
      <c r="K1235" s="12"/>
      <c r="L1235" s="9" t="n">
        <f aca="false">L1234+H1235</f>
        <v>40385.38</v>
      </c>
      <c r="M1235" s="10" t="str">
        <f aca="false">VLOOKUP(J1235,RECATALOGANDO!A:C,2,0)</f>
        <v>HONORARIOS MEDICOS</v>
      </c>
      <c r="N1235" s="12" t="str">
        <f aca="false">VLOOKUP(M1235,RECATALOGANDO!B:C,2,0)</f>
        <v>VENTA DE SERVICIO</v>
      </c>
      <c r="O1235" s="2" t="s">
        <v>78</v>
      </c>
    </row>
    <row r="1236" customFormat="false" ht="13.8" hidden="false" customHeight="false" outlineLevel="0" collapsed="false">
      <c r="A1236" s="8" t="n">
        <v>45687</v>
      </c>
      <c r="B1236" s="9" t="n">
        <f aca="false">DAY(A1236)</f>
        <v>30</v>
      </c>
      <c r="C1236" s="9" t="n">
        <f aca="false">MONTH(A1236)</f>
        <v>1</v>
      </c>
      <c r="D1236" s="9" t="n">
        <f aca="false">YEAR(A1236)</f>
        <v>2025</v>
      </c>
      <c r="E1236" s="9" t="n">
        <f aca="false">WEEKDAY(A1236,2)</f>
        <v>4</v>
      </c>
      <c r="F1236" s="10" t="n">
        <f aca="false">WEEKNUM(A1236,2) - WEEKNUM(DATE(YEAR(A1236),MONTH(A1236),1),2) + 1</f>
        <v>5</v>
      </c>
      <c r="G1236" s="10" t="n">
        <v>2</v>
      </c>
      <c r="H1236" s="11" t="n">
        <v>389</v>
      </c>
      <c r="I1236" s="12" t="s">
        <v>20</v>
      </c>
      <c r="J1236" s="12" t="s">
        <v>45</v>
      </c>
      <c r="K1236" s="12"/>
      <c r="L1236" s="9" t="n">
        <f aca="false">L1235+H1236</f>
        <v>40774.38</v>
      </c>
      <c r="M1236" s="10" t="str">
        <f aca="false">VLOOKUP(J1236,RECATALOGANDO!A:C,2,0)</f>
        <v>VENTA DE MEDICAMENTO</v>
      </c>
      <c r="N1236" s="12" t="str">
        <f aca="false">VLOOKUP(M1236,RECATALOGANDO!B:C,2,0)</f>
        <v>VENTA DE PRODUCTO</v>
      </c>
      <c r="O1236" s="2" t="s">
        <v>78</v>
      </c>
    </row>
    <row r="1237" customFormat="false" ht="13.8" hidden="false" customHeight="false" outlineLevel="0" collapsed="false">
      <c r="A1237" s="8" t="n">
        <v>45692</v>
      </c>
      <c r="B1237" s="9" t="n">
        <f aca="false">DAY(A1237)</f>
        <v>4</v>
      </c>
      <c r="C1237" s="9" t="n">
        <f aca="false">MONTH(A1237)</f>
        <v>2</v>
      </c>
      <c r="D1237" s="9" t="n">
        <f aca="false">YEAR(A1237)</f>
        <v>2025</v>
      </c>
      <c r="E1237" s="9" t="n">
        <f aca="false">WEEKDAY(A1237,2)</f>
        <v>2</v>
      </c>
      <c r="F1237" s="10" t="n">
        <f aca="false">WEEKNUM(A1237,2) - WEEKNUM(DATE(YEAR(A1237),MONTH(A1237),1),2) + 1</f>
        <v>2</v>
      </c>
      <c r="G1237" s="10"/>
      <c r="H1237" s="11" t="n">
        <v>427</v>
      </c>
      <c r="I1237" s="12" t="s">
        <v>15</v>
      </c>
      <c r="J1237" s="12" t="s">
        <v>45</v>
      </c>
      <c r="K1237" s="12"/>
      <c r="L1237" s="9" t="n">
        <f aca="false">H1237</f>
        <v>427</v>
      </c>
      <c r="M1237" s="10" t="str">
        <f aca="false">VLOOKUP(J1237,RECATALOGANDO!A:C,2,0)</f>
        <v>VENTA DE MEDICAMENTO</v>
      </c>
      <c r="N1237" s="12" t="str">
        <f aca="false">VLOOKUP(M1237,RECATALOGANDO!B:C,2,0)</f>
        <v>VENTA DE PRODUCTO</v>
      </c>
      <c r="O1237" s="2" t="s">
        <v>78</v>
      </c>
    </row>
    <row r="1238" customFormat="false" ht="13.8" hidden="false" customHeight="false" outlineLevel="0" collapsed="false">
      <c r="A1238" s="8" t="n">
        <v>45692</v>
      </c>
      <c r="B1238" s="9" t="n">
        <f aca="false">DAY(A1238)</f>
        <v>4</v>
      </c>
      <c r="C1238" s="9" t="n">
        <f aca="false">MONTH(A1238)</f>
        <v>2</v>
      </c>
      <c r="D1238" s="9" t="n">
        <f aca="false">YEAR(A1238)</f>
        <v>2025</v>
      </c>
      <c r="E1238" s="9" t="n">
        <f aca="false">WEEKDAY(A1238,2)</f>
        <v>2</v>
      </c>
      <c r="F1238" s="10" t="n">
        <f aca="false">WEEKNUM(A1238,2) - WEEKNUM(DATE(YEAR(A1238),MONTH(A1238),1),2) + 1</f>
        <v>2</v>
      </c>
      <c r="G1238" s="10"/>
      <c r="H1238" s="11" t="n">
        <v>1009</v>
      </c>
      <c r="I1238" s="12" t="s">
        <v>20</v>
      </c>
      <c r="J1238" s="12" t="s">
        <v>51</v>
      </c>
      <c r="K1238" s="12"/>
      <c r="L1238" s="9" t="n">
        <f aca="false">L1237+H1238</f>
        <v>1436</v>
      </c>
      <c r="M1238" s="10" t="str">
        <f aca="false">VLOOKUP(J1238,RECATALOGANDO!A:C,2,0)</f>
        <v>VENTA DE ALIMENTO</v>
      </c>
      <c r="N1238" s="12" t="str">
        <f aca="false">VLOOKUP(M1238,RECATALOGANDO!B:C,2,0)</f>
        <v>VENTA DE PRODUCTO</v>
      </c>
      <c r="O1238" s="2" t="s">
        <v>78</v>
      </c>
    </row>
    <row r="1239" customFormat="false" ht="13.8" hidden="false" customHeight="false" outlineLevel="0" collapsed="false">
      <c r="A1239" s="8" t="n">
        <v>45692</v>
      </c>
      <c r="B1239" s="9" t="n">
        <f aca="false">DAY(A1239)</f>
        <v>4</v>
      </c>
      <c r="C1239" s="9" t="n">
        <f aca="false">MONTH(A1239)</f>
        <v>2</v>
      </c>
      <c r="D1239" s="9" t="n">
        <f aca="false">YEAR(A1239)</f>
        <v>2025</v>
      </c>
      <c r="E1239" s="9" t="n">
        <f aca="false">WEEKDAY(A1239,2)</f>
        <v>2</v>
      </c>
      <c r="F1239" s="10" t="n">
        <f aca="false">WEEKNUM(A1239,2) - WEEKNUM(DATE(YEAR(A1239),MONTH(A1239),1),2) + 1</f>
        <v>2</v>
      </c>
      <c r="G1239" s="10"/>
      <c r="H1239" s="11" t="n">
        <v>150</v>
      </c>
      <c r="I1239" s="12" t="s">
        <v>20</v>
      </c>
      <c r="J1239" s="12" t="s">
        <v>49</v>
      </c>
      <c r="K1239" s="12"/>
      <c r="L1239" s="9" t="n">
        <f aca="false">L1238+H1239</f>
        <v>1586</v>
      </c>
      <c r="M1239" s="10" t="str">
        <f aca="false">VLOOKUP(J1239,RECATALOGANDO!A:C,2,0)</f>
        <v>SERVICIO DE GROOMING</v>
      </c>
      <c r="N1239" s="12" t="str">
        <f aca="false">VLOOKUP(M1239,RECATALOGANDO!B:C,2,0)</f>
        <v>VENTA DE SERVICIO</v>
      </c>
      <c r="O1239" s="2" t="s">
        <v>78</v>
      </c>
    </row>
    <row r="1240" customFormat="false" ht="13.8" hidden="false" customHeight="false" outlineLevel="0" collapsed="false">
      <c r="A1240" s="8" t="n">
        <v>45692</v>
      </c>
      <c r="B1240" s="9" t="n">
        <f aca="false">DAY(A1240)</f>
        <v>4</v>
      </c>
      <c r="C1240" s="9" t="n">
        <f aca="false">MONTH(A1240)</f>
        <v>2</v>
      </c>
      <c r="D1240" s="9" t="n">
        <f aca="false">YEAR(A1240)</f>
        <v>2025</v>
      </c>
      <c r="E1240" s="9" t="n">
        <f aca="false">WEEKDAY(A1240,2)</f>
        <v>2</v>
      </c>
      <c r="F1240" s="10" t="n">
        <f aca="false">WEEKNUM(A1240,2) - WEEKNUM(DATE(YEAR(A1240),MONTH(A1240),1),2) + 1</f>
        <v>2</v>
      </c>
      <c r="G1240" s="10"/>
      <c r="H1240" s="11" t="n">
        <v>170</v>
      </c>
      <c r="I1240" s="12" t="s">
        <v>20</v>
      </c>
      <c r="J1240" s="12" t="s">
        <v>49</v>
      </c>
      <c r="K1240" s="12"/>
      <c r="L1240" s="9" t="n">
        <f aca="false">L1239+H1240</f>
        <v>1756</v>
      </c>
      <c r="M1240" s="10" t="str">
        <f aca="false">VLOOKUP(J1240,RECATALOGANDO!A:C,2,0)</f>
        <v>SERVICIO DE GROOMING</v>
      </c>
      <c r="N1240" s="12" t="str">
        <f aca="false">VLOOKUP(M1240,RECATALOGANDO!B:C,2,0)</f>
        <v>VENTA DE SERVICIO</v>
      </c>
      <c r="O1240" s="2" t="s">
        <v>78</v>
      </c>
    </row>
    <row r="1241" customFormat="false" ht="13.8" hidden="false" customHeight="false" outlineLevel="0" collapsed="false">
      <c r="A1241" s="8" t="n">
        <v>45692</v>
      </c>
      <c r="B1241" s="9" t="n">
        <f aca="false">DAY(A1241)</f>
        <v>4</v>
      </c>
      <c r="C1241" s="9" t="n">
        <f aca="false">MONTH(A1241)</f>
        <v>2</v>
      </c>
      <c r="D1241" s="9" t="n">
        <f aca="false">YEAR(A1241)</f>
        <v>2025</v>
      </c>
      <c r="E1241" s="9" t="n">
        <f aca="false">WEEKDAY(A1241,2)</f>
        <v>2</v>
      </c>
      <c r="F1241" s="10" t="n">
        <f aca="false">WEEKNUM(A1241,2) - WEEKNUM(DATE(YEAR(A1241),MONTH(A1241),1),2) + 1</f>
        <v>2</v>
      </c>
      <c r="G1241" s="10"/>
      <c r="H1241" s="11" t="n">
        <v>180</v>
      </c>
      <c r="I1241" s="12" t="s">
        <v>20</v>
      </c>
      <c r="J1241" s="12" t="s">
        <v>49</v>
      </c>
      <c r="K1241" s="12"/>
      <c r="L1241" s="9" t="n">
        <f aca="false">L1240+H1241</f>
        <v>1936</v>
      </c>
      <c r="M1241" s="10" t="str">
        <f aca="false">VLOOKUP(J1241,RECATALOGANDO!A:C,2,0)</f>
        <v>SERVICIO DE GROOMING</v>
      </c>
      <c r="N1241" s="12" t="str">
        <f aca="false">VLOOKUP(M1241,RECATALOGANDO!B:C,2,0)</f>
        <v>VENTA DE SERVICIO</v>
      </c>
      <c r="O1241" s="2" t="s">
        <v>78</v>
      </c>
    </row>
    <row r="1242" customFormat="false" ht="13.8" hidden="false" customHeight="false" outlineLevel="0" collapsed="false">
      <c r="A1242" s="8" t="n">
        <v>45694</v>
      </c>
      <c r="B1242" s="9" t="n">
        <f aca="false">DAY(A1242)</f>
        <v>6</v>
      </c>
      <c r="C1242" s="9" t="n">
        <f aca="false">MONTH(A1242)</f>
        <v>2</v>
      </c>
      <c r="D1242" s="9" t="n">
        <f aca="false">YEAR(A1242)</f>
        <v>2025</v>
      </c>
      <c r="E1242" s="9" t="n">
        <f aca="false">WEEKDAY(A1242,2)</f>
        <v>4</v>
      </c>
      <c r="F1242" s="10" t="n">
        <f aca="false">WEEKNUM(A1242,2) - WEEKNUM(DATE(YEAR(A1242),MONTH(A1242),1),2) + 1</f>
        <v>2</v>
      </c>
      <c r="G1242" s="10"/>
      <c r="H1242" s="11" t="n">
        <v>1790</v>
      </c>
      <c r="I1242" s="12" t="s">
        <v>20</v>
      </c>
      <c r="J1242" s="12" t="s">
        <v>45</v>
      </c>
      <c r="K1242" s="12"/>
      <c r="L1242" s="9" t="n">
        <f aca="false">L1241+H1242</f>
        <v>3726</v>
      </c>
      <c r="M1242" s="10" t="str">
        <f aca="false">VLOOKUP(J1242,RECATALOGANDO!A:C,2,0)</f>
        <v>VENTA DE MEDICAMENTO</v>
      </c>
      <c r="N1242" s="12" t="str">
        <f aca="false">VLOOKUP(M1242,RECATALOGANDO!B:C,2,0)</f>
        <v>VENTA DE PRODUCTO</v>
      </c>
      <c r="O1242" s="2" t="s">
        <v>78</v>
      </c>
    </row>
    <row r="1243" customFormat="false" ht="13.8" hidden="false" customHeight="false" outlineLevel="0" collapsed="false">
      <c r="A1243" s="8" t="n">
        <v>45694</v>
      </c>
      <c r="B1243" s="9" t="n">
        <f aca="false">DAY(A1243)</f>
        <v>6</v>
      </c>
      <c r="C1243" s="9" t="n">
        <f aca="false">MONTH(A1243)</f>
        <v>2</v>
      </c>
      <c r="D1243" s="9" t="n">
        <f aca="false">YEAR(A1243)</f>
        <v>2025</v>
      </c>
      <c r="E1243" s="9" t="n">
        <f aca="false">WEEKDAY(A1243,2)</f>
        <v>4</v>
      </c>
      <c r="F1243" s="10" t="n">
        <f aca="false">WEEKNUM(A1243,2) - WEEKNUM(DATE(YEAR(A1243),MONTH(A1243),1),2) + 1</f>
        <v>2</v>
      </c>
      <c r="G1243" s="10"/>
      <c r="H1243" s="11" t="n">
        <v>2840</v>
      </c>
      <c r="I1243" s="12" t="s">
        <v>20</v>
      </c>
      <c r="J1243" s="12" t="s">
        <v>51</v>
      </c>
      <c r="K1243" s="12"/>
      <c r="L1243" s="9" t="n">
        <f aca="false">L1242+H1243</f>
        <v>6566</v>
      </c>
      <c r="M1243" s="10" t="str">
        <f aca="false">VLOOKUP(J1243,RECATALOGANDO!A:C,2,0)</f>
        <v>VENTA DE ALIMENTO</v>
      </c>
      <c r="N1243" s="12" t="str">
        <f aca="false">VLOOKUP(M1243,RECATALOGANDO!B:C,2,0)</f>
        <v>VENTA DE PRODUCTO</v>
      </c>
      <c r="O1243" s="2" t="s">
        <v>78</v>
      </c>
    </row>
    <row r="1244" customFormat="false" ht="13.8" hidden="false" customHeight="false" outlineLevel="0" collapsed="false">
      <c r="A1244" s="8" t="n">
        <v>45694</v>
      </c>
      <c r="B1244" s="9" t="n">
        <f aca="false">DAY(A1244)</f>
        <v>6</v>
      </c>
      <c r="C1244" s="9" t="n">
        <f aca="false">MONTH(A1244)</f>
        <v>2</v>
      </c>
      <c r="D1244" s="9" t="n">
        <f aca="false">YEAR(A1244)</f>
        <v>2025</v>
      </c>
      <c r="E1244" s="9" t="n">
        <f aca="false">WEEKDAY(A1244,2)</f>
        <v>4</v>
      </c>
      <c r="F1244" s="10" t="n">
        <f aca="false">WEEKNUM(A1244,2) - WEEKNUM(DATE(YEAR(A1244),MONTH(A1244),1),2) + 1</f>
        <v>2</v>
      </c>
      <c r="G1244" s="10"/>
      <c r="H1244" s="11" t="n">
        <v>1210</v>
      </c>
      <c r="I1244" s="12" t="s">
        <v>20</v>
      </c>
      <c r="J1244" s="12" t="s">
        <v>54</v>
      </c>
      <c r="K1244" s="12"/>
      <c r="L1244" s="9" t="n">
        <f aca="false">L1243+H1244</f>
        <v>7776</v>
      </c>
      <c r="M1244" s="10" t="str">
        <f aca="false">VLOOKUP(J1244,RECATALOGANDO!A:C,2,0)</f>
        <v>SERVICIO DE LABORATORIO</v>
      </c>
      <c r="N1244" s="12" t="str">
        <f aca="false">VLOOKUP(M1244,RECATALOGANDO!B:C,2,0)</f>
        <v>VENTA DE SERVICIO</v>
      </c>
      <c r="O1244" s="2" t="s">
        <v>78</v>
      </c>
    </row>
    <row r="1245" customFormat="false" ht="13.8" hidden="false" customHeight="false" outlineLevel="0" collapsed="false">
      <c r="A1245" s="8" t="n">
        <v>45695</v>
      </c>
      <c r="B1245" s="9" t="n">
        <f aca="false">DAY(A1245)</f>
        <v>7</v>
      </c>
      <c r="C1245" s="9" t="n">
        <f aca="false">MONTH(A1245)</f>
        <v>2</v>
      </c>
      <c r="D1245" s="9" t="n">
        <f aca="false">YEAR(A1245)</f>
        <v>2025</v>
      </c>
      <c r="E1245" s="9" t="n">
        <f aca="false">WEEKDAY(A1245,2)</f>
        <v>5</v>
      </c>
      <c r="F1245" s="10" t="n">
        <f aca="false">WEEKNUM(A1245,2) - WEEKNUM(DATE(YEAR(A1245),MONTH(A1245),1),2) + 1</f>
        <v>2</v>
      </c>
      <c r="G1245" s="10"/>
      <c r="H1245" s="11" t="n">
        <v>410</v>
      </c>
      <c r="I1245" s="12" t="s">
        <v>20</v>
      </c>
      <c r="J1245" s="12" t="s">
        <v>45</v>
      </c>
      <c r="K1245" s="12"/>
      <c r="L1245" s="9" t="n">
        <f aca="false">L1244+H1245</f>
        <v>8186</v>
      </c>
      <c r="M1245" s="10" t="str">
        <f aca="false">VLOOKUP(J1245,RECATALOGANDO!A:C,2,0)</f>
        <v>VENTA DE MEDICAMENTO</v>
      </c>
      <c r="N1245" s="12" t="str">
        <f aca="false">VLOOKUP(M1245,RECATALOGANDO!B:C,2,0)</f>
        <v>VENTA DE PRODUCTO</v>
      </c>
      <c r="O1245" s="2" t="s">
        <v>78</v>
      </c>
    </row>
    <row r="1246" customFormat="false" ht="13.8" hidden="false" customHeight="false" outlineLevel="0" collapsed="false">
      <c r="A1246" s="8" t="n">
        <v>45695</v>
      </c>
      <c r="B1246" s="9" t="n">
        <f aca="false">DAY(A1246)</f>
        <v>7</v>
      </c>
      <c r="C1246" s="9" t="n">
        <f aca="false">MONTH(A1246)</f>
        <v>2</v>
      </c>
      <c r="D1246" s="9" t="n">
        <f aca="false">YEAR(A1246)</f>
        <v>2025</v>
      </c>
      <c r="E1246" s="9" t="n">
        <f aca="false">WEEKDAY(A1246,2)</f>
        <v>5</v>
      </c>
      <c r="F1246" s="10" t="n">
        <f aca="false">WEEKNUM(A1246,2) - WEEKNUM(DATE(YEAR(A1246),MONTH(A1246),1),2) + 1</f>
        <v>2</v>
      </c>
      <c r="G1246" s="10"/>
      <c r="H1246" s="11" t="n">
        <v>1110</v>
      </c>
      <c r="I1246" s="12" t="s">
        <v>15</v>
      </c>
      <c r="J1246" s="12" t="s">
        <v>44</v>
      </c>
      <c r="K1246" s="12"/>
      <c r="L1246" s="9" t="n">
        <f aca="false">L1245+H1246</f>
        <v>9296</v>
      </c>
      <c r="M1246" s="10" t="str">
        <f aca="false">VLOOKUP(J1246,RECATALOGANDO!A:C,2,0)</f>
        <v>HONORARIOS MEDICOS</v>
      </c>
      <c r="N1246" s="12" t="str">
        <f aca="false">VLOOKUP(M1246,RECATALOGANDO!B:C,2,0)</f>
        <v>VENTA DE SERVICIO</v>
      </c>
      <c r="O1246" s="2" t="s">
        <v>78</v>
      </c>
    </row>
    <row r="1247" customFormat="false" ht="13.8" hidden="false" customHeight="false" outlineLevel="0" collapsed="false">
      <c r="A1247" s="8" t="n">
        <v>45696</v>
      </c>
      <c r="B1247" s="9" t="n">
        <f aca="false">DAY(A1247)</f>
        <v>8</v>
      </c>
      <c r="C1247" s="9" t="n">
        <f aca="false">MONTH(A1247)</f>
        <v>2</v>
      </c>
      <c r="D1247" s="9" t="n">
        <f aca="false">YEAR(A1247)</f>
        <v>2025</v>
      </c>
      <c r="E1247" s="9" t="n">
        <f aca="false">WEEKDAY(A1247,2)</f>
        <v>6</v>
      </c>
      <c r="F1247" s="10" t="n">
        <f aca="false">WEEKNUM(A1247,2) - WEEKNUM(DATE(YEAR(A1247),MONTH(A1247),1),2) + 1</f>
        <v>2</v>
      </c>
      <c r="G1247" s="10"/>
      <c r="H1247" s="11" t="n">
        <v>3134</v>
      </c>
      <c r="I1247" s="12" t="s">
        <v>15</v>
      </c>
      <c r="J1247" s="12" t="s">
        <v>45</v>
      </c>
      <c r="K1247" s="12"/>
      <c r="L1247" s="9" t="n">
        <f aca="false">L1246+H1247</f>
        <v>12430</v>
      </c>
      <c r="M1247" s="10" t="str">
        <f aca="false">VLOOKUP(J1247,RECATALOGANDO!A:C,2,0)</f>
        <v>VENTA DE MEDICAMENTO</v>
      </c>
      <c r="N1247" s="12" t="str">
        <f aca="false">VLOOKUP(M1247,RECATALOGANDO!B:C,2,0)</f>
        <v>VENTA DE PRODUCTO</v>
      </c>
      <c r="O1247" s="2" t="s">
        <v>78</v>
      </c>
    </row>
    <row r="1248" customFormat="false" ht="13.8" hidden="false" customHeight="false" outlineLevel="0" collapsed="false">
      <c r="A1248" s="8" t="n">
        <v>45698</v>
      </c>
      <c r="B1248" s="9" t="n">
        <f aca="false">DAY(A1248)</f>
        <v>10</v>
      </c>
      <c r="C1248" s="9" t="n">
        <f aca="false">MONTH(A1248)</f>
        <v>2</v>
      </c>
      <c r="D1248" s="9" t="n">
        <f aca="false">YEAR(A1248)</f>
        <v>2025</v>
      </c>
      <c r="E1248" s="9" t="n">
        <f aca="false">WEEKDAY(A1248,2)</f>
        <v>1</v>
      </c>
      <c r="F1248" s="10" t="n">
        <f aca="false">WEEKNUM(A1248,2) - WEEKNUM(DATE(YEAR(A1248),MONTH(A1248),1),2) + 1</f>
        <v>3</v>
      </c>
      <c r="G1248" s="10"/>
      <c r="H1248" s="11" t="n">
        <v>640</v>
      </c>
      <c r="I1248" s="12" t="s">
        <v>20</v>
      </c>
      <c r="J1248" s="12" t="s">
        <v>45</v>
      </c>
      <c r="K1248" s="12"/>
      <c r="L1248" s="9" t="n">
        <f aca="false">L1247+H1248</f>
        <v>13070</v>
      </c>
      <c r="M1248" s="10" t="str">
        <f aca="false">VLOOKUP(J1248,RECATALOGANDO!A:C,2,0)</f>
        <v>VENTA DE MEDICAMENTO</v>
      </c>
      <c r="N1248" s="12" t="str">
        <f aca="false">VLOOKUP(M1248,RECATALOGANDO!B:C,2,0)</f>
        <v>VENTA DE PRODUCTO</v>
      </c>
      <c r="O1248" s="2" t="s">
        <v>78</v>
      </c>
    </row>
    <row r="1249" customFormat="false" ht="13.8" hidden="false" customHeight="false" outlineLevel="0" collapsed="false">
      <c r="A1249" s="8" t="n">
        <v>45698</v>
      </c>
      <c r="B1249" s="9" t="n">
        <f aca="false">DAY(A1249)</f>
        <v>10</v>
      </c>
      <c r="C1249" s="9" t="n">
        <f aca="false">MONTH(A1249)</f>
        <v>2</v>
      </c>
      <c r="D1249" s="9" t="n">
        <f aca="false">YEAR(A1249)</f>
        <v>2025</v>
      </c>
      <c r="E1249" s="9" t="n">
        <f aca="false">WEEKDAY(A1249,2)</f>
        <v>1</v>
      </c>
      <c r="F1249" s="10" t="n">
        <f aca="false">WEEKNUM(A1249,2) - WEEKNUM(DATE(YEAR(A1249),MONTH(A1249),1),2) + 1</f>
        <v>3</v>
      </c>
      <c r="G1249" s="10"/>
      <c r="H1249" s="11" t="n">
        <v>565</v>
      </c>
      <c r="I1249" s="12" t="s">
        <v>20</v>
      </c>
      <c r="J1249" s="12" t="s">
        <v>44</v>
      </c>
      <c r="K1249" s="12"/>
      <c r="L1249" s="9" t="n">
        <f aca="false">L1248+H1249</f>
        <v>13635</v>
      </c>
      <c r="M1249" s="10" t="str">
        <f aca="false">VLOOKUP(J1249,RECATALOGANDO!A:C,2,0)</f>
        <v>HONORARIOS MEDICOS</v>
      </c>
      <c r="N1249" s="12" t="str">
        <f aca="false">VLOOKUP(M1249,RECATALOGANDO!B:C,2,0)</f>
        <v>VENTA DE SERVICIO</v>
      </c>
      <c r="O1249" s="2" t="s">
        <v>78</v>
      </c>
    </row>
    <row r="1250" customFormat="false" ht="13.8" hidden="false" customHeight="false" outlineLevel="0" collapsed="false">
      <c r="A1250" s="8" t="n">
        <v>45698</v>
      </c>
      <c r="B1250" s="9" t="n">
        <f aca="false">DAY(A1250)</f>
        <v>10</v>
      </c>
      <c r="C1250" s="9" t="n">
        <f aca="false">MONTH(A1250)</f>
        <v>2</v>
      </c>
      <c r="D1250" s="9" t="n">
        <f aca="false">YEAR(A1250)</f>
        <v>2025</v>
      </c>
      <c r="E1250" s="9" t="n">
        <f aca="false">WEEKDAY(A1250,2)</f>
        <v>1</v>
      </c>
      <c r="F1250" s="10" t="n">
        <f aca="false">WEEKNUM(A1250,2) - WEEKNUM(DATE(YEAR(A1250),MONTH(A1250),1),2) + 1</f>
        <v>3</v>
      </c>
      <c r="G1250" s="10"/>
      <c r="H1250" s="11" t="n">
        <v>810</v>
      </c>
      <c r="I1250" s="12" t="s">
        <v>20</v>
      </c>
      <c r="J1250" s="12" t="s">
        <v>49</v>
      </c>
      <c r="K1250" s="12"/>
      <c r="L1250" s="9" t="n">
        <f aca="false">L1249+H1250</f>
        <v>14445</v>
      </c>
      <c r="M1250" s="10" t="str">
        <f aca="false">VLOOKUP(J1250,RECATALOGANDO!A:C,2,0)</f>
        <v>SERVICIO DE GROOMING</v>
      </c>
      <c r="N1250" s="12" t="str">
        <f aca="false">VLOOKUP(M1250,RECATALOGANDO!B:C,2,0)</f>
        <v>VENTA DE SERVICIO</v>
      </c>
      <c r="O1250" s="2" t="s">
        <v>78</v>
      </c>
    </row>
    <row r="1251" customFormat="false" ht="13.8" hidden="false" customHeight="false" outlineLevel="0" collapsed="false">
      <c r="A1251" s="8" t="n">
        <v>45698</v>
      </c>
      <c r="B1251" s="9" t="n">
        <f aca="false">DAY(A1251)</f>
        <v>10</v>
      </c>
      <c r="C1251" s="9" t="n">
        <f aca="false">MONTH(A1251)</f>
        <v>2</v>
      </c>
      <c r="D1251" s="9" t="n">
        <f aca="false">YEAR(A1251)</f>
        <v>2025</v>
      </c>
      <c r="E1251" s="9" t="n">
        <f aca="false">WEEKDAY(A1251,2)</f>
        <v>1</v>
      </c>
      <c r="F1251" s="10" t="n">
        <f aca="false">WEEKNUM(A1251,2) - WEEKNUM(DATE(YEAR(A1251),MONTH(A1251),1),2) + 1</f>
        <v>3</v>
      </c>
      <c r="G1251" s="10"/>
      <c r="H1251" s="11" t="n">
        <v>1300</v>
      </c>
      <c r="I1251" s="12" t="s">
        <v>20</v>
      </c>
      <c r="J1251" s="12" t="s">
        <v>54</v>
      </c>
      <c r="K1251" s="12"/>
      <c r="L1251" s="9" t="n">
        <f aca="false">L1250+H1251</f>
        <v>15745</v>
      </c>
      <c r="M1251" s="10" t="str">
        <f aca="false">VLOOKUP(J1251,RECATALOGANDO!A:C,2,0)</f>
        <v>SERVICIO DE LABORATORIO</v>
      </c>
      <c r="N1251" s="12" t="str">
        <f aca="false">VLOOKUP(M1251,RECATALOGANDO!B:C,2,0)</f>
        <v>VENTA DE SERVICIO</v>
      </c>
      <c r="O1251" s="2" t="s">
        <v>78</v>
      </c>
    </row>
    <row r="1252" customFormat="false" ht="13.8" hidden="false" customHeight="false" outlineLevel="0" collapsed="false">
      <c r="A1252" s="8" t="n">
        <v>45698</v>
      </c>
      <c r="B1252" s="9" t="n">
        <f aca="false">DAY(A1252)</f>
        <v>10</v>
      </c>
      <c r="C1252" s="9" t="n">
        <f aca="false">MONTH(A1252)</f>
        <v>2</v>
      </c>
      <c r="D1252" s="9" t="n">
        <f aca="false">YEAR(A1252)</f>
        <v>2025</v>
      </c>
      <c r="E1252" s="9" t="n">
        <f aca="false">WEEKDAY(A1252,2)</f>
        <v>1</v>
      </c>
      <c r="F1252" s="10" t="n">
        <f aca="false">WEEKNUM(A1252,2) - WEEKNUM(DATE(YEAR(A1252),MONTH(A1252),1),2) + 1</f>
        <v>3</v>
      </c>
      <c r="G1252" s="10"/>
      <c r="H1252" s="11" t="n">
        <v>2344</v>
      </c>
      <c r="I1252" s="12" t="s">
        <v>20</v>
      </c>
      <c r="J1252" s="12" t="s">
        <v>56</v>
      </c>
      <c r="K1252" s="12"/>
      <c r="L1252" s="9" t="n">
        <f aca="false">L1251+H1252</f>
        <v>18089</v>
      </c>
      <c r="M1252" s="10" t="str">
        <f aca="false">VLOOKUP(J1252,RECATALOGANDO!A:C,2,0)</f>
        <v>SERVICIO DE IMAGEN</v>
      </c>
      <c r="N1252" s="12" t="str">
        <f aca="false">VLOOKUP(M1252,RECATALOGANDO!B:C,2,0)</f>
        <v>VENTA DE SERVICIO</v>
      </c>
      <c r="O1252" s="2" t="s">
        <v>78</v>
      </c>
    </row>
    <row r="1253" customFormat="false" ht="13.8" hidden="false" customHeight="false" outlineLevel="0" collapsed="false">
      <c r="A1253" s="8" t="n">
        <v>45698</v>
      </c>
      <c r="B1253" s="9" t="n">
        <f aca="false">DAY(A1253)</f>
        <v>10</v>
      </c>
      <c r="C1253" s="9" t="n">
        <f aca="false">MONTH(A1253)</f>
        <v>2</v>
      </c>
      <c r="D1253" s="9" t="n">
        <f aca="false">YEAR(A1253)</f>
        <v>2025</v>
      </c>
      <c r="E1253" s="9" t="n">
        <f aca="false">WEEKDAY(A1253,2)</f>
        <v>1</v>
      </c>
      <c r="F1253" s="10" t="n">
        <f aca="false">WEEKNUM(A1253,2) - WEEKNUM(DATE(YEAR(A1253),MONTH(A1253),1),2) + 1</f>
        <v>3</v>
      </c>
      <c r="G1253" s="10"/>
      <c r="H1253" s="11" t="n">
        <v>2800</v>
      </c>
      <c r="I1253" s="12" t="s">
        <v>20</v>
      </c>
      <c r="J1253" s="12" t="s">
        <v>64</v>
      </c>
      <c r="K1253" s="12"/>
      <c r="L1253" s="9" t="n">
        <f aca="false">L1252+H1253</f>
        <v>20889</v>
      </c>
      <c r="M1253" s="10" t="str">
        <f aca="false">VLOOKUP(J1253,RECATALOGANDO!A:C,2,0)</f>
        <v>HONORARIOS QUIRURGICOS</v>
      </c>
      <c r="N1253" s="12" t="str">
        <f aca="false">VLOOKUP(M1253,RECATALOGANDO!B:C,2,0)</f>
        <v>VENTA DE SERVICIO</v>
      </c>
      <c r="O1253" s="2" t="s">
        <v>78</v>
      </c>
    </row>
    <row r="1254" customFormat="false" ht="13.8" hidden="false" customHeight="false" outlineLevel="0" collapsed="false">
      <c r="A1254" s="8" t="n">
        <v>45700</v>
      </c>
      <c r="B1254" s="9" t="n">
        <f aca="false">DAY(A1254)</f>
        <v>12</v>
      </c>
      <c r="C1254" s="9" t="n">
        <f aca="false">MONTH(A1254)</f>
        <v>2</v>
      </c>
      <c r="D1254" s="9" t="n">
        <f aca="false">YEAR(A1254)</f>
        <v>2025</v>
      </c>
      <c r="E1254" s="9" t="n">
        <f aca="false">WEEKDAY(A1254,2)</f>
        <v>3</v>
      </c>
      <c r="F1254" s="10" t="n">
        <f aca="false">WEEKNUM(A1254,2) - WEEKNUM(DATE(YEAR(A1254),MONTH(A1254),1),2) + 1</f>
        <v>3</v>
      </c>
      <c r="G1254" s="10"/>
      <c r="H1254" s="11" t="n">
        <v>200</v>
      </c>
      <c r="I1254" s="12" t="s">
        <v>20</v>
      </c>
      <c r="J1254" s="12" t="s">
        <v>45</v>
      </c>
      <c r="K1254" s="12"/>
      <c r="L1254" s="9" t="n">
        <f aca="false">L1253+H1254</f>
        <v>21089</v>
      </c>
      <c r="M1254" s="10" t="str">
        <f aca="false">VLOOKUP(J1254,RECATALOGANDO!A:C,2,0)</f>
        <v>VENTA DE MEDICAMENTO</v>
      </c>
      <c r="N1254" s="12" t="str">
        <f aca="false">VLOOKUP(M1254,RECATALOGANDO!B:C,2,0)</f>
        <v>VENTA DE PRODUCTO</v>
      </c>
      <c r="O1254" s="2" t="s">
        <v>78</v>
      </c>
    </row>
    <row r="1255" customFormat="false" ht="13.8" hidden="false" customHeight="false" outlineLevel="0" collapsed="false">
      <c r="A1255" s="8" t="n">
        <v>45700</v>
      </c>
      <c r="B1255" s="9" t="n">
        <f aca="false">DAY(A1255)</f>
        <v>12</v>
      </c>
      <c r="C1255" s="9" t="n">
        <f aca="false">MONTH(A1255)</f>
        <v>2</v>
      </c>
      <c r="D1255" s="9" t="n">
        <f aca="false">YEAR(A1255)</f>
        <v>2025</v>
      </c>
      <c r="E1255" s="9" t="n">
        <f aca="false">WEEKDAY(A1255,2)</f>
        <v>3</v>
      </c>
      <c r="F1255" s="10" t="n">
        <f aca="false">WEEKNUM(A1255,2) - WEEKNUM(DATE(YEAR(A1255),MONTH(A1255),1),2) + 1</f>
        <v>3</v>
      </c>
      <c r="G1255" s="10"/>
      <c r="H1255" s="11" t="n">
        <v>1000</v>
      </c>
      <c r="I1255" s="12" t="s">
        <v>20</v>
      </c>
      <c r="J1255" s="12" t="s">
        <v>45</v>
      </c>
      <c r="K1255" s="12"/>
      <c r="L1255" s="9" t="n">
        <f aca="false">L1254+H1255</f>
        <v>22089</v>
      </c>
      <c r="M1255" s="10" t="str">
        <f aca="false">VLOOKUP(J1255,RECATALOGANDO!A:C,2,0)</f>
        <v>VENTA DE MEDICAMENTO</v>
      </c>
      <c r="N1255" s="12" t="str">
        <f aca="false">VLOOKUP(M1255,RECATALOGANDO!B:C,2,0)</f>
        <v>VENTA DE PRODUCTO</v>
      </c>
      <c r="O1255" s="2" t="s">
        <v>78</v>
      </c>
    </row>
    <row r="1256" customFormat="false" ht="13.8" hidden="false" customHeight="false" outlineLevel="0" collapsed="false">
      <c r="A1256" s="8" t="n">
        <v>45702</v>
      </c>
      <c r="B1256" s="9" t="n">
        <f aca="false">DAY(A1256)</f>
        <v>14</v>
      </c>
      <c r="C1256" s="9" t="n">
        <f aca="false">MONTH(A1256)</f>
        <v>2</v>
      </c>
      <c r="D1256" s="9" t="n">
        <f aca="false">YEAR(A1256)</f>
        <v>2025</v>
      </c>
      <c r="E1256" s="9" t="n">
        <f aca="false">WEEKDAY(A1256,2)</f>
        <v>5</v>
      </c>
      <c r="F1256" s="10" t="n">
        <f aca="false">WEEKNUM(A1256,2) - WEEKNUM(DATE(YEAR(A1256),MONTH(A1256),1),2) + 1</f>
        <v>3</v>
      </c>
      <c r="G1256" s="10" t="n">
        <v>1</v>
      </c>
      <c r="H1256" s="11" t="n">
        <v>250</v>
      </c>
      <c r="I1256" s="12" t="s">
        <v>20</v>
      </c>
      <c r="J1256" s="12" t="s">
        <v>45</v>
      </c>
      <c r="K1256" s="12"/>
      <c r="L1256" s="9" t="n">
        <f aca="false">L1255+H1256</f>
        <v>22339</v>
      </c>
      <c r="M1256" s="10" t="str">
        <f aca="false">VLOOKUP(J1256,RECATALOGANDO!A:C,2,0)</f>
        <v>VENTA DE MEDICAMENTO</v>
      </c>
      <c r="N1256" s="12" t="str">
        <f aca="false">VLOOKUP(M1256,RECATALOGANDO!B:C,2,0)</f>
        <v>VENTA DE PRODUCTO</v>
      </c>
      <c r="O1256" s="2" t="s">
        <v>78</v>
      </c>
    </row>
    <row r="1257" customFormat="false" ht="13.8" hidden="false" customHeight="false" outlineLevel="0" collapsed="false">
      <c r="A1257" s="8" t="n">
        <v>45702</v>
      </c>
      <c r="B1257" s="9" t="n">
        <f aca="false">DAY(A1257)</f>
        <v>14</v>
      </c>
      <c r="C1257" s="9" t="n">
        <f aca="false">MONTH(A1257)</f>
        <v>2</v>
      </c>
      <c r="D1257" s="9" t="n">
        <f aca="false">YEAR(A1257)</f>
        <v>2025</v>
      </c>
      <c r="E1257" s="9" t="n">
        <f aca="false">WEEKDAY(A1257,2)</f>
        <v>5</v>
      </c>
      <c r="F1257" s="10" t="n">
        <f aca="false">WEEKNUM(A1257,2) - WEEKNUM(DATE(YEAR(A1257),MONTH(A1257),1),2) + 1</f>
        <v>3</v>
      </c>
      <c r="G1257" s="10" t="n">
        <v>1</v>
      </c>
      <c r="H1257" s="11" t="n">
        <v>272.64</v>
      </c>
      <c r="I1257" s="12" t="s">
        <v>15</v>
      </c>
      <c r="J1257" s="12" t="s">
        <v>51</v>
      </c>
      <c r="K1257" s="12"/>
      <c r="L1257" s="9" t="n">
        <f aca="false">L1256+H1257</f>
        <v>22611.64</v>
      </c>
      <c r="M1257" s="10" t="str">
        <f aca="false">VLOOKUP(J1257,RECATALOGANDO!A:C,2,0)</f>
        <v>VENTA DE ALIMENTO</v>
      </c>
      <c r="N1257" s="12" t="str">
        <f aca="false">VLOOKUP(M1257,RECATALOGANDO!B:C,2,0)</f>
        <v>VENTA DE PRODUCTO</v>
      </c>
      <c r="O1257" s="2" t="s">
        <v>78</v>
      </c>
    </row>
    <row r="1258" customFormat="false" ht="13.8" hidden="false" customHeight="false" outlineLevel="0" collapsed="false">
      <c r="A1258" s="8" t="n">
        <v>45702</v>
      </c>
      <c r="B1258" s="9" t="n">
        <f aca="false">DAY(A1258)</f>
        <v>14</v>
      </c>
      <c r="C1258" s="9" t="n">
        <f aca="false">MONTH(A1258)</f>
        <v>2</v>
      </c>
      <c r="D1258" s="9" t="n">
        <f aca="false">YEAR(A1258)</f>
        <v>2025</v>
      </c>
      <c r="E1258" s="9" t="n">
        <f aca="false">WEEKDAY(A1258,2)</f>
        <v>5</v>
      </c>
      <c r="F1258" s="10" t="n">
        <f aca="false">WEEKNUM(A1258,2) - WEEKNUM(DATE(YEAR(A1258),MONTH(A1258),1),2) + 1</f>
        <v>3</v>
      </c>
      <c r="G1258" s="10" t="n">
        <v>1</v>
      </c>
      <c r="H1258" s="11" t="n">
        <v>5319</v>
      </c>
      <c r="I1258" s="12" t="s">
        <v>20</v>
      </c>
      <c r="J1258" s="12" t="s">
        <v>56</v>
      </c>
      <c r="K1258" s="12"/>
      <c r="L1258" s="9" t="n">
        <f aca="false">L1257+H1258</f>
        <v>27930.64</v>
      </c>
      <c r="M1258" s="10" t="str">
        <f aca="false">VLOOKUP(J1258,RECATALOGANDO!A:C,2,0)</f>
        <v>SERVICIO DE IMAGEN</v>
      </c>
      <c r="N1258" s="12" t="str">
        <f aca="false">VLOOKUP(M1258,RECATALOGANDO!B:C,2,0)</f>
        <v>VENTA DE SERVICIO</v>
      </c>
      <c r="O1258" s="2" t="s">
        <v>78</v>
      </c>
    </row>
    <row r="1259" customFormat="false" ht="13.8" hidden="false" customHeight="false" outlineLevel="0" collapsed="false">
      <c r="A1259" s="8" t="n">
        <v>45703</v>
      </c>
      <c r="B1259" s="9" t="n">
        <f aca="false">DAY(A1259)</f>
        <v>15</v>
      </c>
      <c r="C1259" s="9" t="n">
        <f aca="false">MONTH(A1259)</f>
        <v>2</v>
      </c>
      <c r="D1259" s="9" t="n">
        <f aca="false">YEAR(A1259)</f>
        <v>2025</v>
      </c>
      <c r="E1259" s="9" t="n">
        <f aca="false">WEEKDAY(A1259,2)</f>
        <v>6</v>
      </c>
      <c r="F1259" s="10" t="n">
        <f aca="false">WEEKNUM(A1259,2) - WEEKNUM(DATE(YEAR(A1259),MONTH(A1259),1),2) + 1</f>
        <v>3</v>
      </c>
      <c r="G1259" s="10"/>
      <c r="H1259" s="11" t="n">
        <v>1505.39</v>
      </c>
      <c r="I1259" s="12" t="s">
        <v>15</v>
      </c>
      <c r="J1259" s="12" t="s">
        <v>64</v>
      </c>
      <c r="K1259" s="12"/>
      <c r="L1259" s="9" t="n">
        <f aca="false">L1258+H1259</f>
        <v>29436.03</v>
      </c>
      <c r="M1259" s="10" t="str">
        <f aca="false">VLOOKUP(J1259,RECATALOGANDO!A:C,2,0)</f>
        <v>HONORARIOS QUIRURGICOS</v>
      </c>
      <c r="N1259" s="12" t="str">
        <f aca="false">VLOOKUP(M1259,RECATALOGANDO!B:C,2,0)</f>
        <v>VENTA DE SERVICIO</v>
      </c>
      <c r="O1259" s="2" t="s">
        <v>78</v>
      </c>
    </row>
    <row r="1260" customFormat="false" ht="13.8" hidden="false" customHeight="false" outlineLevel="0" collapsed="false">
      <c r="A1260" s="8" t="n">
        <v>45705</v>
      </c>
      <c r="B1260" s="9" t="n">
        <f aca="false">DAY(A1260)</f>
        <v>17</v>
      </c>
      <c r="C1260" s="9" t="n">
        <f aca="false">MONTH(A1260)</f>
        <v>2</v>
      </c>
      <c r="D1260" s="9" t="n">
        <f aca="false">YEAR(A1260)</f>
        <v>2025</v>
      </c>
      <c r="E1260" s="9" t="n">
        <f aca="false">WEEKDAY(A1260,2)</f>
        <v>1</v>
      </c>
      <c r="F1260" s="10" t="n">
        <f aca="false">WEEKNUM(A1260,2) - WEEKNUM(DATE(YEAR(A1260),MONTH(A1260),1),2) + 1</f>
        <v>4</v>
      </c>
      <c r="G1260" s="10"/>
      <c r="H1260" s="11" t="n">
        <v>1984</v>
      </c>
      <c r="I1260" s="12" t="s">
        <v>20</v>
      </c>
      <c r="J1260" s="12" t="s">
        <v>45</v>
      </c>
      <c r="K1260" s="12"/>
      <c r="L1260" s="9" t="n">
        <f aca="false">L1259+H1260</f>
        <v>31420.03</v>
      </c>
      <c r="M1260" s="10" t="str">
        <f aca="false">VLOOKUP(J1260,RECATALOGANDO!A:C,2,0)</f>
        <v>VENTA DE MEDICAMENTO</v>
      </c>
      <c r="N1260" s="12" t="str">
        <f aca="false">VLOOKUP(M1260,RECATALOGANDO!B:C,2,0)</f>
        <v>VENTA DE PRODUCTO</v>
      </c>
      <c r="O1260" s="2" t="s">
        <v>78</v>
      </c>
    </row>
    <row r="1261" customFormat="false" ht="13.8" hidden="false" customHeight="false" outlineLevel="0" collapsed="false">
      <c r="A1261" s="8" t="n">
        <v>45705</v>
      </c>
      <c r="B1261" s="9" t="n">
        <f aca="false">DAY(A1261)</f>
        <v>17</v>
      </c>
      <c r="C1261" s="9" t="n">
        <f aca="false">MONTH(A1261)</f>
        <v>2</v>
      </c>
      <c r="D1261" s="9" t="n">
        <f aca="false">YEAR(A1261)</f>
        <v>2025</v>
      </c>
      <c r="E1261" s="9" t="n">
        <f aca="false">WEEKDAY(A1261,2)</f>
        <v>1</v>
      </c>
      <c r="F1261" s="10" t="n">
        <f aca="false">WEEKNUM(A1261,2) - WEEKNUM(DATE(YEAR(A1261),MONTH(A1261),1),2) + 1</f>
        <v>4</v>
      </c>
      <c r="G1261" s="10"/>
      <c r="H1261" s="11" t="n">
        <v>2275</v>
      </c>
      <c r="I1261" s="12" t="s">
        <v>20</v>
      </c>
      <c r="J1261" s="12" t="s">
        <v>51</v>
      </c>
      <c r="K1261" s="12"/>
      <c r="L1261" s="9" t="n">
        <f aca="false">L1260+H1261</f>
        <v>33695.03</v>
      </c>
      <c r="M1261" s="10" t="str">
        <f aca="false">VLOOKUP(J1261,RECATALOGANDO!A:C,2,0)</f>
        <v>VENTA DE ALIMENTO</v>
      </c>
      <c r="N1261" s="12" t="str">
        <f aca="false">VLOOKUP(M1261,RECATALOGANDO!B:C,2,0)</f>
        <v>VENTA DE PRODUCTO</v>
      </c>
      <c r="O1261" s="2" t="s">
        <v>78</v>
      </c>
    </row>
    <row r="1262" customFormat="false" ht="13.8" hidden="false" customHeight="false" outlineLevel="0" collapsed="false">
      <c r="A1262" s="8" t="n">
        <v>45707</v>
      </c>
      <c r="B1262" s="9" t="n">
        <f aca="false">DAY(A1262)</f>
        <v>19</v>
      </c>
      <c r="C1262" s="9" t="n">
        <f aca="false">MONTH(A1262)</f>
        <v>2</v>
      </c>
      <c r="D1262" s="9" t="n">
        <f aca="false">YEAR(A1262)</f>
        <v>2025</v>
      </c>
      <c r="E1262" s="9" t="n">
        <f aca="false">WEEKDAY(A1262,2)</f>
        <v>3</v>
      </c>
      <c r="F1262" s="10" t="n">
        <f aca="false">WEEKNUM(A1262,2) - WEEKNUM(DATE(YEAR(A1262),MONTH(A1262),1),2) + 1</f>
        <v>4</v>
      </c>
      <c r="G1262" s="10"/>
      <c r="H1262" s="11" t="n">
        <v>389</v>
      </c>
      <c r="I1262" s="12" t="s">
        <v>20</v>
      </c>
      <c r="J1262" s="12" t="s">
        <v>51</v>
      </c>
      <c r="K1262" s="12"/>
      <c r="L1262" s="9" t="n">
        <f aca="false">L1261+H1262</f>
        <v>34084.03</v>
      </c>
      <c r="M1262" s="10" t="str">
        <f aca="false">VLOOKUP(J1262,RECATALOGANDO!A:C,2,0)</f>
        <v>VENTA DE ALIMENTO</v>
      </c>
      <c r="N1262" s="12" t="str">
        <f aca="false">VLOOKUP(M1262,RECATALOGANDO!B:C,2,0)</f>
        <v>VENTA DE PRODUCTO</v>
      </c>
      <c r="O1262" s="2" t="s">
        <v>78</v>
      </c>
    </row>
    <row r="1263" customFormat="false" ht="13.8" hidden="false" customHeight="false" outlineLevel="0" collapsed="false">
      <c r="A1263" s="8" t="n">
        <v>45707</v>
      </c>
      <c r="B1263" s="9" t="n">
        <f aca="false">DAY(A1263)</f>
        <v>19</v>
      </c>
      <c r="C1263" s="9" t="n">
        <f aca="false">MONTH(A1263)</f>
        <v>2</v>
      </c>
      <c r="D1263" s="9" t="n">
        <f aca="false">YEAR(A1263)</f>
        <v>2025</v>
      </c>
      <c r="E1263" s="9" t="n">
        <f aca="false">WEEKDAY(A1263,2)</f>
        <v>3</v>
      </c>
      <c r="F1263" s="10" t="n">
        <f aca="false">WEEKNUM(A1263,2) - WEEKNUM(DATE(YEAR(A1263),MONTH(A1263),1),2) + 1</f>
        <v>4</v>
      </c>
      <c r="G1263" s="10"/>
      <c r="H1263" s="11" t="n">
        <v>1031</v>
      </c>
      <c r="I1263" s="12" t="s">
        <v>20</v>
      </c>
      <c r="J1263" s="12" t="s">
        <v>45</v>
      </c>
      <c r="K1263" s="12"/>
      <c r="L1263" s="9" t="n">
        <f aca="false">L1262+H1263</f>
        <v>35115.03</v>
      </c>
      <c r="M1263" s="10" t="str">
        <f aca="false">VLOOKUP(J1263,RECATALOGANDO!A:C,2,0)</f>
        <v>VENTA DE MEDICAMENTO</v>
      </c>
      <c r="N1263" s="12" t="str">
        <f aca="false">VLOOKUP(M1263,RECATALOGANDO!B:C,2,0)</f>
        <v>VENTA DE PRODUCTO</v>
      </c>
      <c r="O1263" s="2" t="s">
        <v>78</v>
      </c>
    </row>
    <row r="1264" customFormat="false" ht="13.8" hidden="false" customHeight="false" outlineLevel="0" collapsed="false">
      <c r="A1264" s="8" t="n">
        <v>45709</v>
      </c>
      <c r="B1264" s="9" t="n">
        <f aca="false">DAY(A1264)</f>
        <v>21</v>
      </c>
      <c r="C1264" s="9" t="n">
        <f aca="false">MONTH(A1264)</f>
        <v>2</v>
      </c>
      <c r="D1264" s="9" t="n">
        <f aca="false">YEAR(A1264)</f>
        <v>2025</v>
      </c>
      <c r="E1264" s="9" t="n">
        <f aca="false">WEEKDAY(A1264,2)</f>
        <v>5</v>
      </c>
      <c r="F1264" s="10" t="n">
        <f aca="false">WEEKNUM(A1264,2) - WEEKNUM(DATE(YEAR(A1264),MONTH(A1264),1),2) + 1</f>
        <v>4</v>
      </c>
      <c r="G1264" s="10"/>
      <c r="H1264" s="11" t="n">
        <v>590</v>
      </c>
      <c r="I1264" s="12" t="s">
        <v>15</v>
      </c>
      <c r="J1264" s="12" t="s">
        <v>45</v>
      </c>
      <c r="K1264" s="12"/>
      <c r="L1264" s="9" t="n">
        <f aca="false">L1263+H1264</f>
        <v>35705.03</v>
      </c>
      <c r="M1264" s="10" t="str">
        <f aca="false">VLOOKUP(J1264,RECATALOGANDO!A:C,2,0)</f>
        <v>VENTA DE MEDICAMENTO</v>
      </c>
      <c r="N1264" s="12" t="str">
        <f aca="false">VLOOKUP(M1264,RECATALOGANDO!B:C,2,0)</f>
        <v>VENTA DE PRODUCTO</v>
      </c>
      <c r="O1264" s="2" t="s">
        <v>78</v>
      </c>
    </row>
    <row r="1265" customFormat="false" ht="13.8" hidden="false" customHeight="false" outlineLevel="0" collapsed="false">
      <c r="A1265" s="8" t="n">
        <v>45709</v>
      </c>
      <c r="B1265" s="9" t="n">
        <f aca="false">DAY(A1265)</f>
        <v>21</v>
      </c>
      <c r="C1265" s="9" t="n">
        <f aca="false">MONTH(A1265)</f>
        <v>2</v>
      </c>
      <c r="D1265" s="9" t="n">
        <f aca="false">YEAR(A1265)</f>
        <v>2025</v>
      </c>
      <c r="E1265" s="9" t="n">
        <f aca="false">WEEKDAY(A1265,2)</f>
        <v>5</v>
      </c>
      <c r="F1265" s="10" t="n">
        <f aca="false">WEEKNUM(A1265,2) - WEEKNUM(DATE(YEAR(A1265),MONTH(A1265),1),2) + 1</f>
        <v>4</v>
      </c>
      <c r="G1265" s="10"/>
      <c r="H1265" s="11" t="n">
        <v>300</v>
      </c>
      <c r="I1265" s="12" t="s">
        <v>15</v>
      </c>
      <c r="J1265" s="12" t="s">
        <v>49</v>
      </c>
      <c r="K1265" s="12"/>
      <c r="L1265" s="9" t="n">
        <f aca="false">L1264+H1265</f>
        <v>36005.03</v>
      </c>
      <c r="M1265" s="10" t="str">
        <f aca="false">VLOOKUP(J1265,RECATALOGANDO!A:C,2,0)</f>
        <v>SERVICIO DE GROOMING</v>
      </c>
      <c r="N1265" s="12" t="str">
        <f aca="false">VLOOKUP(M1265,RECATALOGANDO!B:C,2,0)</f>
        <v>VENTA DE SERVICIO</v>
      </c>
      <c r="O1265" s="2" t="s">
        <v>78</v>
      </c>
    </row>
    <row r="1266" customFormat="false" ht="13.8" hidden="false" customHeight="false" outlineLevel="0" collapsed="false">
      <c r="A1266" s="8" t="n">
        <v>45709</v>
      </c>
      <c r="B1266" s="9" t="n">
        <f aca="false">DAY(A1266)</f>
        <v>21</v>
      </c>
      <c r="C1266" s="9" t="n">
        <f aca="false">MONTH(A1266)</f>
        <v>2</v>
      </c>
      <c r="D1266" s="9" t="n">
        <f aca="false">YEAR(A1266)</f>
        <v>2025</v>
      </c>
      <c r="E1266" s="9" t="n">
        <f aca="false">WEEKDAY(A1266,2)</f>
        <v>5</v>
      </c>
      <c r="F1266" s="10" t="n">
        <f aca="false">WEEKNUM(A1266,2) - WEEKNUM(DATE(YEAR(A1266),MONTH(A1266),1),2) + 1</f>
        <v>4</v>
      </c>
      <c r="G1266" s="10"/>
      <c r="H1266" s="11" t="n">
        <v>650</v>
      </c>
      <c r="I1266" s="12" t="s">
        <v>20</v>
      </c>
      <c r="J1266" s="12" t="s">
        <v>44</v>
      </c>
      <c r="K1266" s="12"/>
      <c r="L1266" s="9" t="n">
        <f aca="false">L1265+H1266</f>
        <v>36655.03</v>
      </c>
      <c r="M1266" s="10" t="str">
        <f aca="false">VLOOKUP(J1266,RECATALOGANDO!A:C,2,0)</f>
        <v>HONORARIOS MEDICOS</v>
      </c>
      <c r="N1266" s="12" t="str">
        <f aca="false">VLOOKUP(M1266,RECATALOGANDO!B:C,2,0)</f>
        <v>VENTA DE SERVICIO</v>
      </c>
      <c r="O1266" s="2" t="s">
        <v>78</v>
      </c>
    </row>
    <row r="1267" customFormat="false" ht="13.8" hidden="false" customHeight="false" outlineLevel="0" collapsed="false">
      <c r="A1267" s="8" t="n">
        <v>45711</v>
      </c>
      <c r="B1267" s="9" t="n">
        <f aca="false">DAY(A1267)</f>
        <v>23</v>
      </c>
      <c r="C1267" s="9" t="n">
        <f aca="false">MONTH(A1267)</f>
        <v>2</v>
      </c>
      <c r="D1267" s="9" t="n">
        <f aca="false">YEAR(A1267)</f>
        <v>2025</v>
      </c>
      <c r="E1267" s="9" t="n">
        <f aca="false">WEEKDAY(A1267,2)</f>
        <v>7</v>
      </c>
      <c r="F1267" s="10" t="n">
        <f aca="false">WEEKNUM(A1267,2) - WEEKNUM(DATE(YEAR(A1267),MONTH(A1267),1),2) + 1</f>
        <v>4</v>
      </c>
      <c r="G1267" s="10"/>
      <c r="H1267" s="11" t="n">
        <v>8215.32</v>
      </c>
      <c r="I1267" s="12" t="s">
        <v>15</v>
      </c>
      <c r="J1267" s="12" t="s">
        <v>44</v>
      </c>
      <c r="K1267" s="12"/>
      <c r="L1267" s="9" t="n">
        <f aca="false">L1266+H1267</f>
        <v>44870.35</v>
      </c>
      <c r="M1267" s="10" t="str">
        <f aca="false">VLOOKUP(J1267,RECATALOGANDO!A:C,2,0)</f>
        <v>HONORARIOS MEDICOS</v>
      </c>
      <c r="N1267" s="12" t="str">
        <f aca="false">VLOOKUP(M1267,RECATALOGANDO!B:C,2,0)</f>
        <v>VENTA DE SERVICIO</v>
      </c>
      <c r="O1267" s="2" t="s">
        <v>78</v>
      </c>
    </row>
    <row r="1268" customFormat="false" ht="13.8" hidden="false" customHeight="false" outlineLevel="0" collapsed="false">
      <c r="A1268" s="8" t="n">
        <v>45712</v>
      </c>
      <c r="B1268" s="9" t="n">
        <f aca="false">DAY(A1268)</f>
        <v>24</v>
      </c>
      <c r="C1268" s="9" t="n">
        <f aca="false">MONTH(A1268)</f>
        <v>2</v>
      </c>
      <c r="D1268" s="9" t="n">
        <f aca="false">YEAR(A1268)</f>
        <v>2025</v>
      </c>
      <c r="E1268" s="9" t="n">
        <f aca="false">WEEKDAY(A1268,2)</f>
        <v>1</v>
      </c>
      <c r="F1268" s="10" t="n">
        <f aca="false">WEEKNUM(A1268,2) - WEEKNUM(DATE(YEAR(A1268),MONTH(A1268),1),2) + 1</f>
        <v>5</v>
      </c>
      <c r="G1268" s="10"/>
      <c r="H1268" s="11" t="n">
        <v>982.2</v>
      </c>
      <c r="I1268" s="12" t="s">
        <v>15</v>
      </c>
      <c r="J1268" s="12" t="s">
        <v>45</v>
      </c>
      <c r="K1268" s="12"/>
      <c r="L1268" s="9" t="n">
        <f aca="false">L1267+H1268</f>
        <v>45852.55</v>
      </c>
      <c r="M1268" s="10" t="str">
        <f aca="false">VLOOKUP(J1268,RECATALOGANDO!A:C,2,0)</f>
        <v>VENTA DE MEDICAMENTO</v>
      </c>
      <c r="N1268" s="12" t="str">
        <f aca="false">VLOOKUP(M1268,RECATALOGANDO!B:C,2,0)</f>
        <v>VENTA DE PRODUCTO</v>
      </c>
      <c r="O1268" s="2" t="s">
        <v>78</v>
      </c>
    </row>
    <row r="1269" customFormat="false" ht="13.8" hidden="false" customHeight="false" outlineLevel="0" collapsed="false">
      <c r="A1269" s="8" t="n">
        <v>45712</v>
      </c>
      <c r="B1269" s="9" t="n">
        <f aca="false">DAY(A1269)</f>
        <v>24</v>
      </c>
      <c r="C1269" s="9" t="n">
        <f aca="false">MONTH(A1269)</f>
        <v>2</v>
      </c>
      <c r="D1269" s="9" t="n">
        <f aca="false">YEAR(A1269)</f>
        <v>2025</v>
      </c>
      <c r="E1269" s="9" t="n">
        <f aca="false">WEEKDAY(A1269,2)</f>
        <v>1</v>
      </c>
      <c r="F1269" s="10" t="n">
        <f aca="false">WEEKNUM(A1269,2) - WEEKNUM(DATE(YEAR(A1269),MONTH(A1269),1),2) + 1</f>
        <v>5</v>
      </c>
      <c r="G1269" s="10"/>
      <c r="H1269" s="11" t="n">
        <v>220</v>
      </c>
      <c r="I1269" s="12" t="s">
        <v>20</v>
      </c>
      <c r="J1269" s="12" t="s">
        <v>49</v>
      </c>
      <c r="K1269" s="12"/>
      <c r="L1269" s="9" t="n">
        <f aca="false">L1268+H1269</f>
        <v>46072.55</v>
      </c>
      <c r="M1269" s="10" t="str">
        <f aca="false">VLOOKUP(J1269,RECATALOGANDO!A:C,2,0)</f>
        <v>SERVICIO DE GROOMING</v>
      </c>
      <c r="N1269" s="12" t="str">
        <f aca="false">VLOOKUP(M1269,RECATALOGANDO!B:C,2,0)</f>
        <v>VENTA DE SERVICIO</v>
      </c>
      <c r="O1269" s="2" t="s">
        <v>78</v>
      </c>
    </row>
    <row r="1270" customFormat="false" ht="13.8" hidden="false" customHeight="false" outlineLevel="0" collapsed="false">
      <c r="A1270" s="8" t="n">
        <v>45712</v>
      </c>
      <c r="B1270" s="9" t="n">
        <f aca="false">DAY(A1270)</f>
        <v>24</v>
      </c>
      <c r="C1270" s="9" t="n">
        <f aca="false">MONTH(A1270)</f>
        <v>2</v>
      </c>
      <c r="D1270" s="9" t="n">
        <f aca="false">YEAR(A1270)</f>
        <v>2025</v>
      </c>
      <c r="E1270" s="9" t="n">
        <f aca="false">WEEKDAY(A1270,2)</f>
        <v>1</v>
      </c>
      <c r="F1270" s="10" t="n">
        <f aca="false">WEEKNUM(A1270,2) - WEEKNUM(DATE(YEAR(A1270),MONTH(A1270),1),2) + 1</f>
        <v>5</v>
      </c>
      <c r="G1270" s="10"/>
      <c r="H1270" s="11" t="n">
        <v>360</v>
      </c>
      <c r="I1270" s="12" t="s">
        <v>20</v>
      </c>
      <c r="J1270" s="12" t="s">
        <v>49</v>
      </c>
      <c r="K1270" s="12"/>
      <c r="L1270" s="9" t="n">
        <f aca="false">L1269+H1270</f>
        <v>46432.55</v>
      </c>
      <c r="M1270" s="10" t="str">
        <f aca="false">VLOOKUP(J1270,RECATALOGANDO!A:C,2,0)</f>
        <v>SERVICIO DE GROOMING</v>
      </c>
      <c r="N1270" s="12" t="str">
        <f aca="false">VLOOKUP(M1270,RECATALOGANDO!B:C,2,0)</f>
        <v>VENTA DE SERVICIO</v>
      </c>
      <c r="O1270" s="2" t="s">
        <v>78</v>
      </c>
    </row>
    <row r="1271" customFormat="false" ht="13.8" hidden="false" customHeight="false" outlineLevel="0" collapsed="false">
      <c r="A1271" s="8" t="n">
        <v>45712</v>
      </c>
      <c r="B1271" s="9" t="n">
        <f aca="false">DAY(A1271)</f>
        <v>24</v>
      </c>
      <c r="C1271" s="9" t="n">
        <f aca="false">MONTH(A1271)</f>
        <v>2</v>
      </c>
      <c r="D1271" s="9" t="n">
        <f aca="false">YEAR(A1271)</f>
        <v>2025</v>
      </c>
      <c r="E1271" s="9" t="n">
        <f aca="false">WEEKDAY(A1271,2)</f>
        <v>1</v>
      </c>
      <c r="F1271" s="10" t="n">
        <f aca="false">WEEKNUM(A1271,2) - WEEKNUM(DATE(YEAR(A1271),MONTH(A1271),1),2) + 1</f>
        <v>5</v>
      </c>
      <c r="G1271" s="10"/>
      <c r="H1271" s="11" t="n">
        <v>4500</v>
      </c>
      <c r="I1271" s="12" t="s">
        <v>20</v>
      </c>
      <c r="J1271" s="12" t="s">
        <v>64</v>
      </c>
      <c r="K1271" s="12"/>
      <c r="L1271" s="9" t="n">
        <f aca="false">L1270+H1271</f>
        <v>50932.55</v>
      </c>
      <c r="M1271" s="10" t="str">
        <f aca="false">VLOOKUP(J1271,RECATALOGANDO!A:C,2,0)</f>
        <v>HONORARIOS QUIRURGICOS</v>
      </c>
      <c r="N1271" s="12" t="str">
        <f aca="false">VLOOKUP(M1271,RECATALOGANDO!B:C,2,0)</f>
        <v>VENTA DE SERVICIO</v>
      </c>
      <c r="O1271" s="2" t="s">
        <v>78</v>
      </c>
    </row>
    <row r="1272" customFormat="false" ht="13.8" hidden="false" customHeight="false" outlineLevel="0" collapsed="false">
      <c r="A1272" s="8" t="n">
        <v>45713</v>
      </c>
      <c r="B1272" s="9" t="n">
        <f aca="false">DAY(A1272)</f>
        <v>25</v>
      </c>
      <c r="C1272" s="9" t="n">
        <f aca="false">MONTH(A1272)</f>
        <v>2</v>
      </c>
      <c r="D1272" s="9" t="n">
        <f aca="false">YEAR(A1272)</f>
        <v>2025</v>
      </c>
      <c r="E1272" s="9" t="n">
        <f aca="false">WEEKDAY(A1272,2)</f>
        <v>2</v>
      </c>
      <c r="F1272" s="10" t="n">
        <f aca="false">WEEKNUM(A1272,2) - WEEKNUM(DATE(YEAR(A1272),MONTH(A1272),1),2) + 1</f>
        <v>5</v>
      </c>
      <c r="G1272" s="10"/>
      <c r="H1272" s="11" t="n">
        <v>1580</v>
      </c>
      <c r="I1272" s="12" t="s">
        <v>20</v>
      </c>
      <c r="J1272" s="12" t="s">
        <v>45</v>
      </c>
      <c r="K1272" s="12"/>
      <c r="L1272" s="9" t="n">
        <f aca="false">L1271+H1272</f>
        <v>52512.55</v>
      </c>
      <c r="M1272" s="10" t="str">
        <f aca="false">VLOOKUP(J1272,RECATALOGANDO!A:C,2,0)</f>
        <v>VENTA DE MEDICAMENTO</v>
      </c>
      <c r="N1272" s="12" t="str">
        <f aca="false">VLOOKUP(M1272,RECATALOGANDO!B:C,2,0)</f>
        <v>VENTA DE PRODUCTO</v>
      </c>
      <c r="O1272" s="2" t="s">
        <v>78</v>
      </c>
    </row>
    <row r="1273" customFormat="false" ht="13.8" hidden="false" customHeight="false" outlineLevel="0" collapsed="false">
      <c r="A1273" s="8" t="n">
        <v>45715</v>
      </c>
      <c r="B1273" s="9" t="n">
        <f aca="false">DAY(A1273)</f>
        <v>27</v>
      </c>
      <c r="C1273" s="9" t="n">
        <f aca="false">MONTH(A1273)</f>
        <v>2</v>
      </c>
      <c r="D1273" s="9" t="n">
        <f aca="false">YEAR(A1273)</f>
        <v>2025</v>
      </c>
      <c r="E1273" s="9" t="n">
        <f aca="false">WEEKDAY(A1273,2)</f>
        <v>4</v>
      </c>
      <c r="F1273" s="10" t="n">
        <f aca="false">WEEKNUM(A1273,2) - WEEKNUM(DATE(YEAR(A1273),MONTH(A1273),1),2) + 1</f>
        <v>5</v>
      </c>
      <c r="G1273" s="10"/>
      <c r="H1273" s="11" t="n">
        <v>1795.75</v>
      </c>
      <c r="I1273" s="12" t="s">
        <v>15</v>
      </c>
      <c r="J1273" s="12" t="s">
        <v>59</v>
      </c>
      <c r="K1273" s="12"/>
      <c r="L1273" s="9" t="n">
        <f aca="false">L1272+H1273</f>
        <v>54308.3</v>
      </c>
      <c r="M1273" s="10" t="str">
        <f aca="false">VLOOKUP(J1273,RECATALOGANDO!A:C,2,0)</f>
        <v>SERVICIO DE PENSION</v>
      </c>
      <c r="N1273" s="12" t="str">
        <f aca="false">VLOOKUP(M1273,RECATALOGANDO!B:C,2,0)</f>
        <v>VENTA DE SERVICIO</v>
      </c>
      <c r="O1273" s="2" t="s">
        <v>78</v>
      </c>
    </row>
    <row r="1274" customFormat="false" ht="13.8" hidden="false" customHeight="false" outlineLevel="0" collapsed="false">
      <c r="A1274" s="8" t="n">
        <v>45719</v>
      </c>
      <c r="B1274" s="9" t="n">
        <f aca="false">DAY(A1274)</f>
        <v>3</v>
      </c>
      <c r="C1274" s="9" t="n">
        <f aca="false">MONTH(A1274)</f>
        <v>3</v>
      </c>
      <c r="D1274" s="9" t="n">
        <f aca="false">YEAR(A1274)</f>
        <v>2025</v>
      </c>
      <c r="E1274" s="9" t="n">
        <f aca="false">WEEKDAY(A1274,2)</f>
        <v>1</v>
      </c>
      <c r="F1274" s="10" t="n">
        <f aca="false">WEEKNUM(A1274,2) - WEEKNUM(DATE(YEAR(A1274),MONTH(A1274),1),2) + 1</f>
        <v>2</v>
      </c>
      <c r="G1274" s="10"/>
      <c r="H1274" s="11" t="n">
        <v>1100</v>
      </c>
      <c r="I1274" s="12" t="s">
        <v>20</v>
      </c>
      <c r="J1274" s="12" t="s">
        <v>44</v>
      </c>
      <c r="K1274" s="12"/>
      <c r="L1274" s="9" t="n">
        <f aca="false">H1274</f>
        <v>1100</v>
      </c>
      <c r="M1274" s="10" t="str">
        <f aca="false">VLOOKUP(J1274,RECATALOGANDO!A:C,2,0)</f>
        <v>HONORARIOS MEDICOS</v>
      </c>
      <c r="N1274" s="12" t="str">
        <f aca="false">VLOOKUP(M1274,RECATALOGANDO!B:C,2,0)</f>
        <v>VENTA DE SERVICIO</v>
      </c>
      <c r="O1274" s="2" t="s">
        <v>78</v>
      </c>
    </row>
    <row r="1275" customFormat="false" ht="13.8" hidden="false" customHeight="false" outlineLevel="0" collapsed="false">
      <c r="A1275" s="8" t="n">
        <v>45720</v>
      </c>
      <c r="B1275" s="9" t="n">
        <f aca="false">DAY(A1275)</f>
        <v>4</v>
      </c>
      <c r="C1275" s="9" t="n">
        <f aca="false">MONTH(A1275)</f>
        <v>3</v>
      </c>
      <c r="D1275" s="9" t="n">
        <f aca="false">YEAR(A1275)</f>
        <v>2025</v>
      </c>
      <c r="E1275" s="9" t="n">
        <f aca="false">WEEKDAY(A1275,2)</f>
        <v>2</v>
      </c>
      <c r="F1275" s="10" t="n">
        <f aca="false">WEEKNUM(A1275,2) - WEEKNUM(DATE(YEAR(A1275),MONTH(A1275),1),2) + 1</f>
        <v>2</v>
      </c>
      <c r="G1275" s="10"/>
      <c r="H1275" s="11" t="n">
        <v>3834.87</v>
      </c>
      <c r="I1275" s="12" t="s">
        <v>15</v>
      </c>
      <c r="J1275" s="12" t="s">
        <v>55</v>
      </c>
      <c r="K1275" s="12"/>
      <c r="L1275" s="9" t="n">
        <f aca="false">L1274+H1275</f>
        <v>4934.87</v>
      </c>
      <c r="M1275" s="10" t="str">
        <f aca="false">VLOOKUP(J1275,RECATALOGANDO!A:C,2,0)</f>
        <v>VENTA DE MEDICAMENTO</v>
      </c>
      <c r="N1275" s="12" t="str">
        <f aca="false">VLOOKUP(M1275,RECATALOGANDO!B:C,2,0)</f>
        <v>VENTA DE PRODUCTO</v>
      </c>
      <c r="O1275" s="2" t="s">
        <v>78</v>
      </c>
    </row>
    <row r="1276" customFormat="false" ht="13.8" hidden="false" customHeight="false" outlineLevel="0" collapsed="false">
      <c r="A1276" s="8" t="n">
        <v>45721</v>
      </c>
      <c r="B1276" s="9" t="n">
        <f aca="false">DAY(A1276)</f>
        <v>5</v>
      </c>
      <c r="C1276" s="9" t="n">
        <f aca="false">MONTH(A1276)</f>
        <v>3</v>
      </c>
      <c r="D1276" s="9" t="n">
        <f aca="false">YEAR(A1276)</f>
        <v>2025</v>
      </c>
      <c r="E1276" s="9" t="n">
        <f aca="false">WEEKDAY(A1276,2)</f>
        <v>3</v>
      </c>
      <c r="F1276" s="10" t="n">
        <f aca="false">WEEKNUM(A1276,2) - WEEKNUM(DATE(YEAR(A1276),MONTH(A1276),1),2) + 1</f>
        <v>2</v>
      </c>
      <c r="G1276" s="10"/>
      <c r="H1276" s="11" t="n">
        <v>1200.67</v>
      </c>
      <c r="I1276" s="12" t="s">
        <v>15</v>
      </c>
      <c r="J1276" s="12" t="s">
        <v>73</v>
      </c>
      <c r="K1276" s="12"/>
      <c r="L1276" s="9" t="n">
        <f aca="false">L1275+H1276</f>
        <v>6135.54</v>
      </c>
      <c r="M1276" s="10" t="str">
        <f aca="false">VLOOKUP(J1276,RECATALOGANDO!A:C,2,0)</f>
        <v>VENTA DE MEDICAMENTO</v>
      </c>
      <c r="N1276" s="12" t="str">
        <f aca="false">VLOOKUP(M1276,RECATALOGANDO!B:C,2,0)</f>
        <v>VENTA DE PRODUCTO</v>
      </c>
      <c r="O1276" s="2" t="s">
        <v>78</v>
      </c>
    </row>
    <row r="1277" customFormat="false" ht="13.8" hidden="false" customHeight="false" outlineLevel="0" collapsed="false">
      <c r="A1277" s="8" t="n">
        <v>45721</v>
      </c>
      <c r="B1277" s="9" t="n">
        <f aca="false">DAY(A1277)</f>
        <v>5</v>
      </c>
      <c r="C1277" s="9" t="n">
        <f aca="false">MONTH(A1277)</f>
        <v>3</v>
      </c>
      <c r="D1277" s="9" t="n">
        <f aca="false">YEAR(A1277)</f>
        <v>2025</v>
      </c>
      <c r="E1277" s="9" t="n">
        <f aca="false">WEEKDAY(A1277,2)</f>
        <v>3</v>
      </c>
      <c r="F1277" s="10" t="n">
        <f aca="false">WEEKNUM(A1277,2) - WEEKNUM(DATE(YEAR(A1277),MONTH(A1277),1),2) + 1</f>
        <v>2</v>
      </c>
      <c r="G1277" s="10"/>
      <c r="H1277" s="11" t="n">
        <v>1256</v>
      </c>
      <c r="I1277" s="12" t="s">
        <v>20</v>
      </c>
      <c r="J1277" s="12" t="s">
        <v>74</v>
      </c>
      <c r="K1277" s="12"/>
      <c r="L1277" s="9" t="n">
        <f aca="false">L1276+H1277</f>
        <v>7391.54</v>
      </c>
      <c r="M1277" s="10" t="str">
        <f aca="false">VLOOKUP(J1277,RECATALOGANDO!A:C,2,0)</f>
        <v>VENTA DE ALIMENTO</v>
      </c>
      <c r="N1277" s="12" t="str">
        <f aca="false">VLOOKUP(M1277,RECATALOGANDO!B:C,2,0)</f>
        <v>VENTA DE PRODUCTO</v>
      </c>
      <c r="O1277" s="2" t="s">
        <v>78</v>
      </c>
    </row>
    <row r="1278" customFormat="false" ht="13.8" hidden="false" customHeight="false" outlineLevel="0" collapsed="false">
      <c r="A1278" s="8" t="n">
        <v>45721</v>
      </c>
      <c r="B1278" s="9" t="n">
        <f aca="false">DAY(A1278)</f>
        <v>5</v>
      </c>
      <c r="C1278" s="9" t="n">
        <f aca="false">MONTH(A1278)</f>
        <v>3</v>
      </c>
      <c r="D1278" s="9" t="n">
        <f aca="false">YEAR(A1278)</f>
        <v>2025</v>
      </c>
      <c r="E1278" s="9" t="n">
        <f aca="false">WEEKDAY(A1278,2)</f>
        <v>3</v>
      </c>
      <c r="F1278" s="10" t="n">
        <f aca="false">WEEKNUM(A1278,2) - WEEKNUM(DATE(YEAR(A1278),MONTH(A1278),1),2) + 1</f>
        <v>2</v>
      </c>
      <c r="G1278" s="10"/>
      <c r="H1278" s="11" t="n">
        <v>180</v>
      </c>
      <c r="I1278" s="12" t="s">
        <v>15</v>
      </c>
      <c r="J1278" s="12" t="s">
        <v>49</v>
      </c>
      <c r="K1278" s="12"/>
      <c r="L1278" s="9" t="n">
        <f aca="false">L1277+H1278</f>
        <v>7571.54</v>
      </c>
      <c r="M1278" s="10" t="str">
        <f aca="false">VLOOKUP(J1278,RECATALOGANDO!A:C,2,0)</f>
        <v>SERVICIO DE GROOMING</v>
      </c>
      <c r="N1278" s="12" t="str">
        <f aca="false">VLOOKUP(M1278,RECATALOGANDO!B:C,2,0)</f>
        <v>VENTA DE SERVICIO</v>
      </c>
      <c r="O1278" s="2" t="s">
        <v>78</v>
      </c>
    </row>
    <row r="1279" customFormat="false" ht="13.8" hidden="false" customHeight="false" outlineLevel="0" collapsed="false">
      <c r="A1279" s="8" t="n">
        <v>45721</v>
      </c>
      <c r="B1279" s="9" t="n">
        <f aca="false">DAY(A1279)</f>
        <v>5</v>
      </c>
      <c r="C1279" s="9" t="n">
        <f aca="false">MONTH(A1279)</f>
        <v>3</v>
      </c>
      <c r="D1279" s="9" t="n">
        <f aca="false">YEAR(A1279)</f>
        <v>2025</v>
      </c>
      <c r="E1279" s="9" t="n">
        <f aca="false">WEEKDAY(A1279,2)</f>
        <v>3</v>
      </c>
      <c r="F1279" s="10" t="n">
        <f aca="false">WEEKNUM(A1279,2) - WEEKNUM(DATE(YEAR(A1279),MONTH(A1279),1),2) + 1</f>
        <v>2</v>
      </c>
      <c r="G1279" s="10"/>
      <c r="H1279" s="11" t="n">
        <v>2080</v>
      </c>
      <c r="I1279" s="12" t="s">
        <v>15</v>
      </c>
      <c r="J1279" s="12" t="s">
        <v>54</v>
      </c>
      <c r="K1279" s="12"/>
      <c r="L1279" s="9" t="n">
        <f aca="false">L1278+H1279</f>
        <v>9651.54</v>
      </c>
      <c r="M1279" s="10" t="str">
        <f aca="false">VLOOKUP(J1279,RECATALOGANDO!A:C,2,0)</f>
        <v>SERVICIO DE LABORATORIO</v>
      </c>
      <c r="N1279" s="12" t="str">
        <f aca="false">VLOOKUP(M1279,RECATALOGANDO!B:C,2,0)</f>
        <v>VENTA DE SERVICIO</v>
      </c>
      <c r="O1279" s="2" t="s">
        <v>78</v>
      </c>
    </row>
    <row r="1280" customFormat="false" ht="13.8" hidden="false" customHeight="false" outlineLevel="0" collapsed="false">
      <c r="A1280" s="8" t="n">
        <v>45722</v>
      </c>
      <c r="B1280" s="9" t="n">
        <f aca="false">DAY(A1280)</f>
        <v>6</v>
      </c>
      <c r="C1280" s="9" t="n">
        <f aca="false">MONTH(A1280)</f>
        <v>3</v>
      </c>
      <c r="D1280" s="9" t="n">
        <f aca="false">YEAR(A1280)</f>
        <v>2025</v>
      </c>
      <c r="E1280" s="9" t="n">
        <f aca="false">WEEKDAY(A1280,2)</f>
        <v>4</v>
      </c>
      <c r="F1280" s="10" t="n">
        <f aca="false">WEEKNUM(A1280,2) - WEEKNUM(DATE(YEAR(A1280),MONTH(A1280),1),2) + 1</f>
        <v>2</v>
      </c>
      <c r="G1280" s="10"/>
      <c r="H1280" s="11" t="n">
        <v>389</v>
      </c>
      <c r="I1280" s="12" t="s">
        <v>20</v>
      </c>
      <c r="J1280" s="12" t="s">
        <v>51</v>
      </c>
      <c r="K1280" s="12"/>
      <c r="L1280" s="9" t="n">
        <f aca="false">L1279+H1280</f>
        <v>10040.54</v>
      </c>
      <c r="M1280" s="10" t="str">
        <f aca="false">VLOOKUP(J1280,RECATALOGANDO!A:C,2,0)</f>
        <v>VENTA DE ALIMENTO</v>
      </c>
      <c r="N1280" s="12" t="str">
        <f aca="false">VLOOKUP(M1280,RECATALOGANDO!B:C,2,0)</f>
        <v>VENTA DE PRODUCTO</v>
      </c>
      <c r="O1280" s="2" t="s">
        <v>78</v>
      </c>
    </row>
    <row r="1281" customFormat="false" ht="13.8" hidden="false" customHeight="false" outlineLevel="0" collapsed="false">
      <c r="A1281" s="8" t="n">
        <v>45722</v>
      </c>
      <c r="B1281" s="9" t="n">
        <f aca="false">DAY(A1281)</f>
        <v>6</v>
      </c>
      <c r="C1281" s="9" t="n">
        <f aca="false">MONTH(A1281)</f>
        <v>3</v>
      </c>
      <c r="D1281" s="9" t="n">
        <f aca="false">YEAR(A1281)</f>
        <v>2025</v>
      </c>
      <c r="E1281" s="9" t="n">
        <f aca="false">WEEKDAY(A1281,2)</f>
        <v>4</v>
      </c>
      <c r="F1281" s="10" t="n">
        <f aca="false">WEEKNUM(A1281,2) - WEEKNUM(DATE(YEAR(A1281),MONTH(A1281),1),2) + 1</f>
        <v>2</v>
      </c>
      <c r="G1281" s="10"/>
      <c r="H1281" s="11" t="n">
        <v>3526</v>
      </c>
      <c r="I1281" s="12" t="s">
        <v>20</v>
      </c>
      <c r="J1281" s="12" t="s">
        <v>55</v>
      </c>
      <c r="K1281" s="12"/>
      <c r="L1281" s="9" t="n">
        <f aca="false">L1280+H1281</f>
        <v>13566.54</v>
      </c>
      <c r="M1281" s="10" t="str">
        <f aca="false">VLOOKUP(J1281,RECATALOGANDO!A:C,2,0)</f>
        <v>VENTA DE MEDICAMENTO</v>
      </c>
      <c r="N1281" s="12" t="str">
        <f aca="false">VLOOKUP(M1281,RECATALOGANDO!B:C,2,0)</f>
        <v>VENTA DE PRODUCTO</v>
      </c>
      <c r="O1281" s="2" t="s">
        <v>78</v>
      </c>
    </row>
    <row r="1282" customFormat="false" ht="13.8" hidden="false" customHeight="false" outlineLevel="0" collapsed="false">
      <c r="A1282" s="8" t="n">
        <v>45722</v>
      </c>
      <c r="B1282" s="9" t="n">
        <f aca="false">DAY(A1282)</f>
        <v>6</v>
      </c>
      <c r="C1282" s="9" t="n">
        <f aca="false">MONTH(A1282)</f>
        <v>3</v>
      </c>
      <c r="D1282" s="9" t="n">
        <f aca="false">YEAR(A1282)</f>
        <v>2025</v>
      </c>
      <c r="E1282" s="9" t="n">
        <f aca="false">WEEKDAY(A1282,2)</f>
        <v>4</v>
      </c>
      <c r="F1282" s="10" t="n">
        <f aca="false">WEEKNUM(A1282,2) - WEEKNUM(DATE(YEAR(A1282),MONTH(A1282),1),2) + 1</f>
        <v>2</v>
      </c>
      <c r="G1282" s="10"/>
      <c r="H1282" s="11" t="n">
        <v>320</v>
      </c>
      <c r="I1282" s="12" t="s">
        <v>20</v>
      </c>
      <c r="J1282" s="12" t="s">
        <v>49</v>
      </c>
      <c r="K1282" s="12"/>
      <c r="L1282" s="9" t="n">
        <f aca="false">L1281+H1282</f>
        <v>13886.54</v>
      </c>
      <c r="M1282" s="10" t="str">
        <f aca="false">VLOOKUP(J1282,RECATALOGANDO!A:C,2,0)</f>
        <v>SERVICIO DE GROOMING</v>
      </c>
      <c r="N1282" s="12" t="str">
        <f aca="false">VLOOKUP(M1282,RECATALOGANDO!B:C,2,0)</f>
        <v>VENTA DE SERVICIO</v>
      </c>
      <c r="O1282" s="2" t="s">
        <v>78</v>
      </c>
    </row>
    <row r="1283" customFormat="false" ht="13.8" hidden="false" customHeight="false" outlineLevel="0" collapsed="false">
      <c r="A1283" s="8" t="n">
        <v>45722</v>
      </c>
      <c r="B1283" s="9" t="n">
        <f aca="false">DAY(A1283)</f>
        <v>6</v>
      </c>
      <c r="C1283" s="9" t="n">
        <f aca="false">MONTH(A1283)</f>
        <v>3</v>
      </c>
      <c r="D1283" s="9" t="n">
        <f aca="false">YEAR(A1283)</f>
        <v>2025</v>
      </c>
      <c r="E1283" s="9" t="n">
        <f aca="false">WEEKDAY(A1283,2)</f>
        <v>4</v>
      </c>
      <c r="F1283" s="10" t="n">
        <f aca="false">WEEKNUM(A1283,2) - WEEKNUM(DATE(YEAR(A1283),MONTH(A1283),1),2) + 1</f>
        <v>2</v>
      </c>
      <c r="G1283" s="10"/>
      <c r="H1283" s="11" t="n">
        <v>400</v>
      </c>
      <c r="I1283" s="12" t="s">
        <v>15</v>
      </c>
      <c r="J1283" s="12" t="s">
        <v>59</v>
      </c>
      <c r="K1283" s="12"/>
      <c r="L1283" s="9" t="n">
        <f aca="false">L1282+H1283</f>
        <v>14286.54</v>
      </c>
      <c r="M1283" s="10" t="str">
        <f aca="false">VLOOKUP(J1283,RECATALOGANDO!A:C,2,0)</f>
        <v>SERVICIO DE PENSION</v>
      </c>
      <c r="N1283" s="12" t="str">
        <f aca="false">VLOOKUP(M1283,RECATALOGANDO!B:C,2,0)</f>
        <v>VENTA DE SERVICIO</v>
      </c>
      <c r="O1283" s="2" t="s">
        <v>78</v>
      </c>
    </row>
    <row r="1284" customFormat="false" ht="13.8" hidden="false" customHeight="false" outlineLevel="0" collapsed="false">
      <c r="A1284" s="8" t="n">
        <v>45723</v>
      </c>
      <c r="B1284" s="9" t="n">
        <f aca="false">DAY(A1284)</f>
        <v>7</v>
      </c>
      <c r="C1284" s="9" t="n">
        <f aca="false">MONTH(A1284)</f>
        <v>3</v>
      </c>
      <c r="D1284" s="9" t="n">
        <f aca="false">YEAR(A1284)</f>
        <v>2025</v>
      </c>
      <c r="E1284" s="9" t="n">
        <f aca="false">WEEKDAY(A1284,2)</f>
        <v>5</v>
      </c>
      <c r="F1284" s="10" t="n">
        <f aca="false">WEEKNUM(A1284,2) - WEEKNUM(DATE(YEAR(A1284),MONTH(A1284),1),2) + 1</f>
        <v>2</v>
      </c>
      <c r="G1284" s="10"/>
      <c r="H1284" s="11" t="n">
        <v>873</v>
      </c>
      <c r="I1284" s="12" t="s">
        <v>15</v>
      </c>
      <c r="J1284" s="12" t="s">
        <v>55</v>
      </c>
      <c r="K1284" s="12"/>
      <c r="L1284" s="9" t="n">
        <f aca="false">L1283+H1284</f>
        <v>15159.54</v>
      </c>
      <c r="M1284" s="10" t="str">
        <f aca="false">VLOOKUP(J1284,RECATALOGANDO!A:C,2,0)</f>
        <v>VENTA DE MEDICAMENTO</v>
      </c>
      <c r="N1284" s="12" t="str">
        <f aca="false">VLOOKUP(M1284,RECATALOGANDO!B:C,2,0)</f>
        <v>VENTA DE PRODUCTO</v>
      </c>
      <c r="O1284" s="2" t="s">
        <v>78</v>
      </c>
    </row>
    <row r="1285" customFormat="false" ht="13.8" hidden="false" customHeight="false" outlineLevel="0" collapsed="false">
      <c r="A1285" s="8" t="n">
        <v>45724</v>
      </c>
      <c r="B1285" s="9" t="n">
        <f aca="false">DAY(A1285)</f>
        <v>8</v>
      </c>
      <c r="C1285" s="9" t="n">
        <f aca="false">MONTH(A1285)</f>
        <v>3</v>
      </c>
      <c r="D1285" s="9" t="n">
        <f aca="false">YEAR(A1285)</f>
        <v>2025</v>
      </c>
      <c r="E1285" s="9" t="n">
        <f aca="false">WEEKDAY(A1285,2)</f>
        <v>6</v>
      </c>
      <c r="F1285" s="10" t="n">
        <f aca="false">WEEKNUM(A1285,2) - WEEKNUM(DATE(YEAR(A1285),MONTH(A1285),1),2) + 1</f>
        <v>2</v>
      </c>
      <c r="G1285" s="10"/>
      <c r="H1285" s="11" t="n">
        <v>800</v>
      </c>
      <c r="I1285" s="12" t="s">
        <v>15</v>
      </c>
      <c r="J1285" s="12" t="s">
        <v>55</v>
      </c>
      <c r="K1285" s="12"/>
      <c r="L1285" s="9" t="n">
        <f aca="false">L1284+H1285</f>
        <v>15959.54</v>
      </c>
      <c r="M1285" s="10" t="str">
        <f aca="false">VLOOKUP(J1285,RECATALOGANDO!A:C,2,0)</f>
        <v>VENTA DE MEDICAMENTO</v>
      </c>
      <c r="N1285" s="12" t="str">
        <f aca="false">VLOOKUP(M1285,RECATALOGANDO!B:C,2,0)</f>
        <v>VENTA DE PRODUCTO</v>
      </c>
      <c r="O1285" s="2" t="s">
        <v>78</v>
      </c>
    </row>
    <row r="1286" customFormat="false" ht="13.8" hidden="false" customHeight="false" outlineLevel="0" collapsed="false">
      <c r="A1286" s="8" t="n">
        <v>45724</v>
      </c>
      <c r="B1286" s="9" t="n">
        <f aca="false">DAY(A1286)</f>
        <v>8</v>
      </c>
      <c r="C1286" s="9" t="n">
        <f aca="false">MONTH(A1286)</f>
        <v>3</v>
      </c>
      <c r="D1286" s="9" t="n">
        <f aca="false">YEAR(A1286)</f>
        <v>2025</v>
      </c>
      <c r="E1286" s="9" t="n">
        <f aca="false">WEEKDAY(A1286,2)</f>
        <v>6</v>
      </c>
      <c r="F1286" s="10" t="n">
        <f aca="false">WEEKNUM(A1286,2) - WEEKNUM(DATE(YEAR(A1286),MONTH(A1286),1),2) + 1</f>
        <v>2</v>
      </c>
      <c r="G1286" s="10"/>
      <c r="H1286" s="11" t="n">
        <v>843.25</v>
      </c>
      <c r="I1286" s="12" t="s">
        <v>15</v>
      </c>
      <c r="J1286" s="12" t="s">
        <v>55</v>
      </c>
      <c r="K1286" s="12"/>
      <c r="L1286" s="9" t="n">
        <f aca="false">L1285+H1286</f>
        <v>16802.79</v>
      </c>
      <c r="M1286" s="10" t="str">
        <f aca="false">VLOOKUP(J1286,RECATALOGANDO!A:C,2,0)</f>
        <v>VENTA DE MEDICAMENTO</v>
      </c>
      <c r="N1286" s="12" t="str">
        <f aca="false">VLOOKUP(M1286,RECATALOGANDO!B:C,2,0)</f>
        <v>VENTA DE PRODUCTO</v>
      </c>
      <c r="O1286" s="2" t="s">
        <v>78</v>
      </c>
    </row>
    <row r="1287" customFormat="false" ht="13.8" hidden="false" customHeight="false" outlineLevel="0" collapsed="false">
      <c r="A1287" s="8" t="n">
        <v>45724</v>
      </c>
      <c r="B1287" s="9" t="n">
        <f aca="false">DAY(A1287)</f>
        <v>8</v>
      </c>
      <c r="C1287" s="9" t="n">
        <f aca="false">MONTH(A1287)</f>
        <v>3</v>
      </c>
      <c r="D1287" s="9" t="n">
        <f aca="false">YEAR(A1287)</f>
        <v>2025</v>
      </c>
      <c r="E1287" s="9" t="n">
        <f aca="false">WEEKDAY(A1287,2)</f>
        <v>6</v>
      </c>
      <c r="F1287" s="10" t="n">
        <f aca="false">WEEKNUM(A1287,2) - WEEKNUM(DATE(YEAR(A1287),MONTH(A1287),1),2) + 1</f>
        <v>2</v>
      </c>
      <c r="G1287" s="10"/>
      <c r="H1287" s="11" t="n">
        <v>850</v>
      </c>
      <c r="I1287" s="12" t="s">
        <v>15</v>
      </c>
      <c r="J1287" s="12" t="s">
        <v>44</v>
      </c>
      <c r="K1287" s="12"/>
      <c r="L1287" s="9" t="n">
        <f aca="false">L1286+H1287</f>
        <v>17652.79</v>
      </c>
      <c r="M1287" s="10" t="str">
        <f aca="false">VLOOKUP(J1287,RECATALOGANDO!A:C,2,0)</f>
        <v>HONORARIOS MEDICOS</v>
      </c>
      <c r="N1287" s="12" t="str">
        <f aca="false">VLOOKUP(M1287,RECATALOGANDO!B:C,2,0)</f>
        <v>VENTA DE SERVICIO</v>
      </c>
      <c r="O1287" s="2" t="s">
        <v>78</v>
      </c>
    </row>
    <row r="1288" customFormat="false" ht="13.8" hidden="false" customHeight="false" outlineLevel="0" collapsed="false">
      <c r="A1288" s="8" t="n">
        <v>45725</v>
      </c>
      <c r="B1288" s="9" t="n">
        <f aca="false">DAY(A1288)</f>
        <v>9</v>
      </c>
      <c r="C1288" s="9" t="n">
        <f aca="false">MONTH(A1288)</f>
        <v>3</v>
      </c>
      <c r="D1288" s="9" t="n">
        <f aca="false">YEAR(A1288)</f>
        <v>2025</v>
      </c>
      <c r="E1288" s="9" t="n">
        <f aca="false">WEEKDAY(A1288,2)</f>
        <v>7</v>
      </c>
      <c r="F1288" s="10" t="n">
        <f aca="false">WEEKNUM(A1288,2) - WEEKNUM(DATE(YEAR(A1288),MONTH(A1288),1),2) + 1</f>
        <v>2</v>
      </c>
      <c r="G1288" s="10"/>
      <c r="H1288" s="11" t="n">
        <v>930</v>
      </c>
      <c r="I1288" s="12" t="s">
        <v>15</v>
      </c>
      <c r="J1288" s="12" t="s">
        <v>55</v>
      </c>
      <c r="K1288" s="12"/>
      <c r="L1288" s="9" t="n">
        <f aca="false">L1287+H1288</f>
        <v>18582.79</v>
      </c>
      <c r="M1288" s="10" t="str">
        <f aca="false">VLOOKUP(J1288,RECATALOGANDO!A:C,2,0)</f>
        <v>VENTA DE MEDICAMENTO</v>
      </c>
      <c r="N1288" s="12" t="str">
        <f aca="false">VLOOKUP(M1288,RECATALOGANDO!B:C,2,0)</f>
        <v>VENTA DE PRODUCTO</v>
      </c>
      <c r="O1288" s="2" t="s">
        <v>78</v>
      </c>
    </row>
    <row r="1289" customFormat="false" ht="13.8" hidden="false" customHeight="false" outlineLevel="0" collapsed="false">
      <c r="A1289" s="8" t="n">
        <v>45725</v>
      </c>
      <c r="B1289" s="9" t="n">
        <f aca="false">DAY(A1289)</f>
        <v>9</v>
      </c>
      <c r="C1289" s="9" t="n">
        <f aca="false">MONTH(A1289)</f>
        <v>3</v>
      </c>
      <c r="D1289" s="9" t="n">
        <f aca="false">YEAR(A1289)</f>
        <v>2025</v>
      </c>
      <c r="E1289" s="9" t="n">
        <f aca="false">WEEKDAY(A1289,2)</f>
        <v>7</v>
      </c>
      <c r="F1289" s="10" t="n">
        <f aca="false">WEEKNUM(A1289,2) - WEEKNUM(DATE(YEAR(A1289),MONTH(A1289),1),2) + 1</f>
        <v>2</v>
      </c>
      <c r="G1289" s="10"/>
      <c r="H1289" s="11" t="n">
        <v>290</v>
      </c>
      <c r="I1289" s="12" t="s">
        <v>15</v>
      </c>
      <c r="J1289" s="12" t="s">
        <v>49</v>
      </c>
      <c r="K1289" s="12"/>
      <c r="L1289" s="9" t="n">
        <f aca="false">L1288+H1289</f>
        <v>18872.79</v>
      </c>
      <c r="M1289" s="10" t="str">
        <f aca="false">VLOOKUP(J1289,RECATALOGANDO!A:C,2,0)</f>
        <v>SERVICIO DE GROOMING</v>
      </c>
      <c r="N1289" s="12" t="str">
        <f aca="false">VLOOKUP(M1289,RECATALOGANDO!B:C,2,0)</f>
        <v>VENTA DE SERVICIO</v>
      </c>
      <c r="O1289" s="2" t="s">
        <v>78</v>
      </c>
    </row>
    <row r="1290" customFormat="false" ht="13.8" hidden="false" customHeight="false" outlineLevel="0" collapsed="false">
      <c r="A1290" s="8" t="n">
        <v>45725</v>
      </c>
      <c r="B1290" s="9" t="n">
        <f aca="false">DAY(A1290)</f>
        <v>9</v>
      </c>
      <c r="C1290" s="9" t="n">
        <f aca="false">MONTH(A1290)</f>
        <v>3</v>
      </c>
      <c r="D1290" s="9" t="n">
        <f aca="false">YEAR(A1290)</f>
        <v>2025</v>
      </c>
      <c r="E1290" s="9" t="n">
        <f aca="false">WEEKDAY(A1290,2)</f>
        <v>7</v>
      </c>
      <c r="F1290" s="10" t="n">
        <f aca="false">WEEKNUM(A1290,2) - WEEKNUM(DATE(YEAR(A1290),MONTH(A1290),1),2) + 1</f>
        <v>2</v>
      </c>
      <c r="G1290" s="10"/>
      <c r="H1290" s="11" t="n">
        <v>1394.24</v>
      </c>
      <c r="I1290" s="12" t="s">
        <v>15</v>
      </c>
      <c r="J1290" s="12" t="s">
        <v>44</v>
      </c>
      <c r="K1290" s="12"/>
      <c r="L1290" s="9" t="n">
        <f aca="false">L1289+H1290</f>
        <v>20267.03</v>
      </c>
      <c r="M1290" s="10" t="str">
        <f aca="false">VLOOKUP(J1290,RECATALOGANDO!A:C,2,0)</f>
        <v>HONORARIOS MEDICOS</v>
      </c>
      <c r="N1290" s="12" t="str">
        <f aca="false">VLOOKUP(M1290,RECATALOGANDO!B:C,2,0)</f>
        <v>VENTA DE SERVICIO</v>
      </c>
      <c r="O1290" s="2" t="s">
        <v>78</v>
      </c>
    </row>
    <row r="1291" customFormat="false" ht="13.8" hidden="false" customHeight="false" outlineLevel="0" collapsed="false">
      <c r="A1291" s="8" t="n">
        <v>45726</v>
      </c>
      <c r="B1291" s="9" t="n">
        <f aca="false">DAY(A1291)</f>
        <v>10</v>
      </c>
      <c r="C1291" s="9" t="n">
        <f aca="false">MONTH(A1291)</f>
        <v>3</v>
      </c>
      <c r="D1291" s="9" t="n">
        <f aca="false">YEAR(A1291)</f>
        <v>2025</v>
      </c>
      <c r="E1291" s="9" t="n">
        <f aca="false">WEEKDAY(A1291,2)</f>
        <v>1</v>
      </c>
      <c r="F1291" s="10" t="n">
        <f aca="false">WEEKNUM(A1291,2) - WEEKNUM(DATE(YEAR(A1291),MONTH(A1291),1),2) + 1</f>
        <v>3</v>
      </c>
      <c r="G1291" s="10"/>
      <c r="H1291" s="11" t="n">
        <v>510</v>
      </c>
      <c r="I1291" s="12" t="s">
        <v>20</v>
      </c>
      <c r="J1291" s="12" t="s">
        <v>55</v>
      </c>
      <c r="K1291" s="12"/>
      <c r="L1291" s="9" t="n">
        <f aca="false">L1290+H1291</f>
        <v>20777.03</v>
      </c>
      <c r="M1291" s="10" t="str">
        <f aca="false">VLOOKUP(J1291,RECATALOGANDO!A:C,2,0)</f>
        <v>VENTA DE MEDICAMENTO</v>
      </c>
      <c r="N1291" s="12" t="str">
        <f aca="false">VLOOKUP(M1291,RECATALOGANDO!B:C,2,0)</f>
        <v>VENTA DE PRODUCTO</v>
      </c>
      <c r="O1291" s="2" t="s">
        <v>78</v>
      </c>
    </row>
    <row r="1292" customFormat="false" ht="13.8" hidden="false" customHeight="false" outlineLevel="0" collapsed="false">
      <c r="A1292" s="8" t="n">
        <v>45726</v>
      </c>
      <c r="B1292" s="9" t="n">
        <f aca="false">DAY(A1292)</f>
        <v>10</v>
      </c>
      <c r="C1292" s="9" t="n">
        <f aca="false">MONTH(A1292)</f>
        <v>3</v>
      </c>
      <c r="D1292" s="9" t="n">
        <f aca="false">YEAR(A1292)</f>
        <v>2025</v>
      </c>
      <c r="E1292" s="9" t="n">
        <f aca="false">WEEKDAY(A1292,2)</f>
        <v>1</v>
      </c>
      <c r="F1292" s="10" t="n">
        <f aca="false">WEEKNUM(A1292,2) - WEEKNUM(DATE(YEAR(A1292),MONTH(A1292),1),2) + 1</f>
        <v>3</v>
      </c>
      <c r="G1292" s="10"/>
      <c r="H1292" s="11" t="n">
        <v>200</v>
      </c>
      <c r="I1292" s="12" t="s">
        <v>20</v>
      </c>
      <c r="J1292" s="12" t="s">
        <v>49</v>
      </c>
      <c r="K1292" s="12"/>
      <c r="L1292" s="9" t="n">
        <f aca="false">L1291+H1292</f>
        <v>20977.03</v>
      </c>
      <c r="M1292" s="10" t="str">
        <f aca="false">VLOOKUP(J1292,RECATALOGANDO!A:C,2,0)</f>
        <v>SERVICIO DE GROOMING</v>
      </c>
      <c r="N1292" s="12" t="str">
        <f aca="false">VLOOKUP(M1292,RECATALOGANDO!B:C,2,0)</f>
        <v>VENTA DE SERVICIO</v>
      </c>
      <c r="O1292" s="2" t="s">
        <v>78</v>
      </c>
    </row>
    <row r="1293" customFormat="false" ht="13.8" hidden="false" customHeight="false" outlineLevel="0" collapsed="false">
      <c r="A1293" s="8" t="n">
        <v>45726</v>
      </c>
      <c r="B1293" s="9" t="n">
        <f aca="false">DAY(A1293)</f>
        <v>10</v>
      </c>
      <c r="C1293" s="9" t="n">
        <f aca="false">MONTH(A1293)</f>
        <v>3</v>
      </c>
      <c r="D1293" s="9" t="n">
        <f aca="false">YEAR(A1293)</f>
        <v>2025</v>
      </c>
      <c r="E1293" s="9" t="n">
        <f aca="false">WEEKDAY(A1293,2)</f>
        <v>1</v>
      </c>
      <c r="F1293" s="10" t="n">
        <f aca="false">WEEKNUM(A1293,2) - WEEKNUM(DATE(YEAR(A1293),MONTH(A1293),1),2) + 1</f>
        <v>3</v>
      </c>
      <c r="G1293" s="10"/>
      <c r="H1293" s="11" t="n">
        <v>2365</v>
      </c>
      <c r="I1293" s="12" t="s">
        <v>20</v>
      </c>
      <c r="J1293" s="12" t="s">
        <v>64</v>
      </c>
      <c r="K1293" s="12"/>
      <c r="L1293" s="9" t="n">
        <f aca="false">L1292+H1293</f>
        <v>23342.03</v>
      </c>
      <c r="M1293" s="10" t="str">
        <f aca="false">VLOOKUP(J1293,RECATALOGANDO!A:C,2,0)</f>
        <v>HONORARIOS QUIRURGICOS</v>
      </c>
      <c r="N1293" s="12" t="str">
        <f aca="false">VLOOKUP(M1293,RECATALOGANDO!B:C,2,0)</f>
        <v>VENTA DE SERVICIO</v>
      </c>
      <c r="O1293" s="2" t="s">
        <v>78</v>
      </c>
    </row>
    <row r="1294" customFormat="false" ht="13.8" hidden="false" customHeight="false" outlineLevel="0" collapsed="false">
      <c r="A1294" s="8" t="n">
        <v>45727</v>
      </c>
      <c r="B1294" s="9" t="n">
        <f aca="false">DAY(A1294)</f>
        <v>11</v>
      </c>
      <c r="C1294" s="9" t="n">
        <f aca="false">MONTH(A1294)</f>
        <v>3</v>
      </c>
      <c r="D1294" s="9" t="n">
        <f aca="false">YEAR(A1294)</f>
        <v>2025</v>
      </c>
      <c r="E1294" s="9" t="n">
        <f aca="false">WEEKDAY(A1294,2)</f>
        <v>2</v>
      </c>
      <c r="F1294" s="10" t="n">
        <f aca="false">WEEKNUM(A1294,2) - WEEKNUM(DATE(YEAR(A1294),MONTH(A1294),1),2) + 1</f>
        <v>3</v>
      </c>
      <c r="G1294" s="10"/>
      <c r="H1294" s="11" t="n">
        <v>300</v>
      </c>
      <c r="I1294" s="12" t="s">
        <v>20</v>
      </c>
      <c r="J1294" s="12" t="s">
        <v>44</v>
      </c>
      <c r="K1294" s="12"/>
      <c r="L1294" s="9" t="n">
        <f aca="false">L1293+H1294</f>
        <v>23642.03</v>
      </c>
      <c r="M1294" s="10" t="str">
        <f aca="false">VLOOKUP(J1294,RECATALOGANDO!A:C,2,0)</f>
        <v>HONORARIOS MEDICOS</v>
      </c>
      <c r="N1294" s="12" t="str">
        <f aca="false">VLOOKUP(M1294,RECATALOGANDO!B:C,2,0)</f>
        <v>VENTA DE SERVICIO</v>
      </c>
      <c r="O1294" s="2" t="s">
        <v>78</v>
      </c>
    </row>
    <row r="1295" customFormat="false" ht="13.8" hidden="false" customHeight="false" outlineLevel="0" collapsed="false">
      <c r="A1295" s="8" t="n">
        <v>45727</v>
      </c>
      <c r="B1295" s="9" t="n">
        <f aca="false">DAY(A1295)</f>
        <v>11</v>
      </c>
      <c r="C1295" s="9" t="n">
        <f aca="false">MONTH(A1295)</f>
        <v>3</v>
      </c>
      <c r="D1295" s="9" t="n">
        <f aca="false">YEAR(A1295)</f>
        <v>2025</v>
      </c>
      <c r="E1295" s="9" t="n">
        <f aca="false">WEEKDAY(A1295,2)</f>
        <v>2</v>
      </c>
      <c r="F1295" s="10" t="n">
        <f aca="false">WEEKNUM(A1295,2) - WEEKNUM(DATE(YEAR(A1295),MONTH(A1295),1),2) + 1</f>
        <v>3</v>
      </c>
      <c r="G1295" s="10"/>
      <c r="H1295" s="11" t="n">
        <v>416.83</v>
      </c>
      <c r="I1295" s="12" t="s">
        <v>15</v>
      </c>
      <c r="J1295" s="12" t="s">
        <v>49</v>
      </c>
      <c r="K1295" s="12"/>
      <c r="L1295" s="9" t="n">
        <f aca="false">L1294+H1295</f>
        <v>24058.86</v>
      </c>
      <c r="M1295" s="10" t="str">
        <f aca="false">VLOOKUP(J1295,RECATALOGANDO!A:C,2,0)</f>
        <v>SERVICIO DE GROOMING</v>
      </c>
      <c r="N1295" s="12" t="str">
        <f aca="false">VLOOKUP(M1295,RECATALOGANDO!B:C,2,0)</f>
        <v>VENTA DE SERVICIO</v>
      </c>
      <c r="O1295" s="2" t="s">
        <v>78</v>
      </c>
    </row>
    <row r="1296" customFormat="false" ht="13.8" hidden="false" customHeight="false" outlineLevel="0" collapsed="false">
      <c r="A1296" s="8" t="n">
        <v>45729</v>
      </c>
      <c r="B1296" s="9" t="n">
        <f aca="false">DAY(A1296)</f>
        <v>13</v>
      </c>
      <c r="C1296" s="9" t="n">
        <f aca="false">MONTH(A1296)</f>
        <v>3</v>
      </c>
      <c r="D1296" s="9" t="n">
        <f aca="false">YEAR(A1296)</f>
        <v>2025</v>
      </c>
      <c r="E1296" s="9" t="n">
        <f aca="false">WEEKDAY(A1296,2)</f>
        <v>4</v>
      </c>
      <c r="F1296" s="10" t="n">
        <f aca="false">WEEKNUM(A1296,2) - WEEKNUM(DATE(YEAR(A1296),MONTH(A1296),1),2) + 1</f>
        <v>3</v>
      </c>
      <c r="G1296" s="10"/>
      <c r="H1296" s="11" t="n">
        <v>290</v>
      </c>
      <c r="I1296" s="12" t="s">
        <v>20</v>
      </c>
      <c r="J1296" s="12" t="s">
        <v>49</v>
      </c>
      <c r="K1296" s="12"/>
      <c r="L1296" s="9" t="n">
        <f aca="false">L1295+H1296</f>
        <v>24348.86</v>
      </c>
      <c r="M1296" s="10" t="str">
        <f aca="false">VLOOKUP(J1296,RECATALOGANDO!A:C,2,0)</f>
        <v>SERVICIO DE GROOMING</v>
      </c>
      <c r="N1296" s="12" t="str">
        <f aca="false">VLOOKUP(M1296,RECATALOGANDO!B:C,2,0)</f>
        <v>VENTA DE SERVICIO</v>
      </c>
      <c r="O1296" s="2" t="s">
        <v>78</v>
      </c>
    </row>
    <row r="1297" customFormat="false" ht="13.8" hidden="false" customHeight="false" outlineLevel="0" collapsed="false">
      <c r="A1297" s="8" t="n">
        <v>45730</v>
      </c>
      <c r="B1297" s="9" t="n">
        <f aca="false">DAY(A1297)</f>
        <v>14</v>
      </c>
      <c r="C1297" s="9" t="n">
        <f aca="false">MONTH(A1297)</f>
        <v>3</v>
      </c>
      <c r="D1297" s="9" t="n">
        <f aca="false">YEAR(A1297)</f>
        <v>2025</v>
      </c>
      <c r="E1297" s="9" t="n">
        <f aca="false">WEEKDAY(A1297,2)</f>
        <v>5</v>
      </c>
      <c r="F1297" s="10" t="n">
        <f aca="false">WEEKNUM(A1297,2) - WEEKNUM(DATE(YEAR(A1297),MONTH(A1297),1),2) + 1</f>
        <v>3</v>
      </c>
      <c r="G1297" s="10" t="n">
        <v>1</v>
      </c>
      <c r="H1297" s="11" t="n">
        <v>220</v>
      </c>
      <c r="I1297" s="12" t="s">
        <v>20</v>
      </c>
      <c r="J1297" s="12" t="s">
        <v>49</v>
      </c>
      <c r="K1297" s="12"/>
      <c r="L1297" s="9" t="n">
        <f aca="false">L1296+H1297</f>
        <v>24568.86</v>
      </c>
      <c r="M1297" s="10" t="str">
        <f aca="false">VLOOKUP(J1297,RECATALOGANDO!A:C,2,0)</f>
        <v>SERVICIO DE GROOMING</v>
      </c>
      <c r="N1297" s="12" t="str">
        <f aca="false">VLOOKUP(M1297,RECATALOGANDO!B:C,2,0)</f>
        <v>VENTA DE SERVICIO</v>
      </c>
      <c r="O1297" s="2" t="s">
        <v>78</v>
      </c>
    </row>
    <row r="1298" customFormat="false" ht="13.8" hidden="false" customHeight="false" outlineLevel="0" collapsed="false">
      <c r="A1298" s="8" t="n">
        <v>45730</v>
      </c>
      <c r="B1298" s="9" t="n">
        <f aca="false">DAY(A1298)</f>
        <v>14</v>
      </c>
      <c r="C1298" s="9" t="n">
        <f aca="false">MONTH(A1298)</f>
        <v>3</v>
      </c>
      <c r="D1298" s="9" t="n">
        <f aca="false">YEAR(A1298)</f>
        <v>2025</v>
      </c>
      <c r="E1298" s="9" t="n">
        <f aca="false">WEEKDAY(A1298,2)</f>
        <v>5</v>
      </c>
      <c r="F1298" s="10" t="n">
        <f aca="false">WEEKNUM(A1298,2) - WEEKNUM(DATE(YEAR(A1298),MONTH(A1298),1),2) + 1</f>
        <v>3</v>
      </c>
      <c r="G1298" s="10" t="n">
        <v>1</v>
      </c>
      <c r="H1298" s="11" t="n">
        <v>270</v>
      </c>
      <c r="I1298" s="12" t="s">
        <v>20</v>
      </c>
      <c r="J1298" s="12" t="s">
        <v>49</v>
      </c>
      <c r="K1298" s="12"/>
      <c r="L1298" s="9" t="n">
        <f aca="false">L1297+H1298</f>
        <v>24838.86</v>
      </c>
      <c r="M1298" s="10" t="str">
        <f aca="false">VLOOKUP(J1298,RECATALOGANDO!A:C,2,0)</f>
        <v>SERVICIO DE GROOMING</v>
      </c>
      <c r="N1298" s="12" t="str">
        <f aca="false">VLOOKUP(M1298,RECATALOGANDO!B:C,2,0)</f>
        <v>VENTA DE SERVICIO</v>
      </c>
      <c r="O1298" s="2" t="s">
        <v>78</v>
      </c>
    </row>
    <row r="1299" customFormat="false" ht="13.8" hidden="false" customHeight="false" outlineLevel="0" collapsed="false">
      <c r="A1299" s="8" t="n">
        <v>45730</v>
      </c>
      <c r="B1299" s="9" t="n">
        <f aca="false">DAY(A1299)</f>
        <v>14</v>
      </c>
      <c r="C1299" s="9" t="n">
        <f aca="false">MONTH(A1299)</f>
        <v>3</v>
      </c>
      <c r="D1299" s="9" t="n">
        <f aca="false">YEAR(A1299)</f>
        <v>2025</v>
      </c>
      <c r="E1299" s="9" t="n">
        <f aca="false">WEEKDAY(A1299,2)</f>
        <v>5</v>
      </c>
      <c r="F1299" s="10" t="n">
        <f aca="false">WEEKNUM(A1299,2) - WEEKNUM(DATE(YEAR(A1299),MONTH(A1299),1),2) + 1</f>
        <v>3</v>
      </c>
      <c r="G1299" s="10" t="n">
        <v>1</v>
      </c>
      <c r="H1299" s="11" t="n">
        <v>410</v>
      </c>
      <c r="I1299" s="12" t="s">
        <v>20</v>
      </c>
      <c r="J1299" s="12" t="s">
        <v>49</v>
      </c>
      <c r="K1299" s="12"/>
      <c r="L1299" s="9" t="n">
        <f aca="false">L1298+H1299</f>
        <v>25248.86</v>
      </c>
      <c r="M1299" s="10" t="str">
        <f aca="false">VLOOKUP(J1299,RECATALOGANDO!A:C,2,0)</f>
        <v>SERVICIO DE GROOMING</v>
      </c>
      <c r="N1299" s="12" t="str">
        <f aca="false">VLOOKUP(M1299,RECATALOGANDO!B:C,2,0)</f>
        <v>VENTA DE SERVICIO</v>
      </c>
      <c r="O1299" s="2" t="s">
        <v>78</v>
      </c>
    </row>
    <row r="1300" customFormat="false" ht="13.8" hidden="false" customHeight="false" outlineLevel="0" collapsed="false">
      <c r="A1300" s="8" t="n">
        <v>45731</v>
      </c>
      <c r="B1300" s="9" t="n">
        <f aca="false">DAY(A1300)</f>
        <v>15</v>
      </c>
      <c r="C1300" s="9" t="n">
        <f aca="false">MONTH(A1300)</f>
        <v>3</v>
      </c>
      <c r="D1300" s="9" t="n">
        <f aca="false">YEAR(A1300)</f>
        <v>2025</v>
      </c>
      <c r="E1300" s="9" t="n">
        <f aca="false">WEEKDAY(A1300,2)</f>
        <v>6</v>
      </c>
      <c r="F1300" s="10" t="n">
        <f aca="false">WEEKNUM(A1300,2) - WEEKNUM(DATE(YEAR(A1300),MONTH(A1300),1),2) + 1</f>
        <v>3</v>
      </c>
      <c r="G1300" s="10"/>
      <c r="H1300" s="11" t="n">
        <v>416.83</v>
      </c>
      <c r="I1300" s="12" t="s">
        <v>15</v>
      </c>
      <c r="J1300" s="12" t="s">
        <v>55</v>
      </c>
      <c r="K1300" s="12"/>
      <c r="L1300" s="9" t="n">
        <f aca="false">L1299+H1300</f>
        <v>25665.69</v>
      </c>
      <c r="M1300" s="10" t="str">
        <f aca="false">VLOOKUP(J1300,RECATALOGANDO!A:C,2,0)</f>
        <v>VENTA DE MEDICAMENTO</v>
      </c>
      <c r="N1300" s="12" t="str">
        <f aca="false">VLOOKUP(M1300,RECATALOGANDO!B:C,2,0)</f>
        <v>VENTA DE PRODUCTO</v>
      </c>
      <c r="O1300" s="2" t="s">
        <v>78</v>
      </c>
    </row>
    <row r="1301" customFormat="false" ht="13.8" hidden="false" customHeight="false" outlineLevel="0" collapsed="false">
      <c r="A1301" s="8" t="n">
        <v>45731</v>
      </c>
      <c r="B1301" s="9" t="n">
        <f aca="false">DAY(A1301)</f>
        <v>15</v>
      </c>
      <c r="C1301" s="9" t="n">
        <f aca="false">MONTH(A1301)</f>
        <v>3</v>
      </c>
      <c r="D1301" s="9" t="n">
        <f aca="false">YEAR(A1301)</f>
        <v>2025</v>
      </c>
      <c r="E1301" s="9" t="n">
        <f aca="false">WEEKDAY(A1301,2)</f>
        <v>6</v>
      </c>
      <c r="F1301" s="10" t="n">
        <f aca="false">WEEKNUM(A1301,2) - WEEKNUM(DATE(YEAR(A1301),MONTH(A1301),1),2) + 1</f>
        <v>3</v>
      </c>
      <c r="G1301" s="10"/>
      <c r="H1301" s="11" t="n">
        <v>810</v>
      </c>
      <c r="I1301" s="12" t="s">
        <v>15</v>
      </c>
      <c r="J1301" s="12" t="s">
        <v>59</v>
      </c>
      <c r="K1301" s="12"/>
      <c r="L1301" s="9" t="n">
        <f aca="false">L1300+H1301</f>
        <v>26475.69</v>
      </c>
      <c r="M1301" s="10" t="str">
        <f aca="false">VLOOKUP(J1301,RECATALOGANDO!A:C,2,0)</f>
        <v>SERVICIO DE PENSION</v>
      </c>
      <c r="N1301" s="12" t="str">
        <f aca="false">VLOOKUP(M1301,RECATALOGANDO!B:C,2,0)</f>
        <v>VENTA DE SERVICIO</v>
      </c>
      <c r="O1301" s="2" t="s">
        <v>78</v>
      </c>
    </row>
    <row r="1302" customFormat="false" ht="13.8" hidden="false" customHeight="false" outlineLevel="0" collapsed="false">
      <c r="A1302" s="8" t="n">
        <v>45732</v>
      </c>
      <c r="B1302" s="9" t="n">
        <f aca="false">DAY(A1302)</f>
        <v>16</v>
      </c>
      <c r="C1302" s="9" t="n">
        <f aca="false">MONTH(A1302)</f>
        <v>3</v>
      </c>
      <c r="D1302" s="9" t="n">
        <f aca="false">YEAR(A1302)</f>
        <v>2025</v>
      </c>
      <c r="E1302" s="9" t="n">
        <f aca="false">WEEKDAY(A1302,2)</f>
        <v>7</v>
      </c>
      <c r="F1302" s="10" t="n">
        <f aca="false">WEEKNUM(A1302,2) - WEEKNUM(DATE(YEAR(A1302),MONTH(A1302),1),2) + 1</f>
        <v>3</v>
      </c>
      <c r="G1302" s="10"/>
      <c r="H1302" s="11" t="n">
        <v>1704.71</v>
      </c>
      <c r="I1302" s="12" t="s">
        <v>15</v>
      </c>
      <c r="J1302" s="12" t="s">
        <v>51</v>
      </c>
      <c r="K1302" s="12"/>
      <c r="L1302" s="9" t="n">
        <f aca="false">L1301+H1302</f>
        <v>28180.4</v>
      </c>
      <c r="M1302" s="10" t="str">
        <f aca="false">VLOOKUP(J1302,RECATALOGANDO!A:C,2,0)</f>
        <v>VENTA DE ALIMENTO</v>
      </c>
      <c r="N1302" s="12" t="str">
        <f aca="false">VLOOKUP(M1302,RECATALOGANDO!B:C,2,0)</f>
        <v>VENTA DE PRODUCTO</v>
      </c>
      <c r="O1302" s="2" t="s">
        <v>78</v>
      </c>
    </row>
    <row r="1303" customFormat="false" ht="13.8" hidden="false" customHeight="false" outlineLevel="0" collapsed="false">
      <c r="A1303" s="8" t="n">
        <v>45734</v>
      </c>
      <c r="B1303" s="9" t="n">
        <f aca="false">DAY(A1303)</f>
        <v>18</v>
      </c>
      <c r="C1303" s="9" t="n">
        <f aca="false">MONTH(A1303)</f>
        <v>3</v>
      </c>
      <c r="D1303" s="9" t="n">
        <f aca="false">YEAR(A1303)</f>
        <v>2025</v>
      </c>
      <c r="E1303" s="9" t="n">
        <f aca="false">WEEKDAY(A1303,2)</f>
        <v>2</v>
      </c>
      <c r="F1303" s="10" t="n">
        <f aca="false">WEEKNUM(A1303,2) - WEEKNUM(DATE(YEAR(A1303),MONTH(A1303),1),2) + 1</f>
        <v>4</v>
      </c>
      <c r="G1303" s="10"/>
      <c r="H1303" s="11" t="n">
        <v>290</v>
      </c>
      <c r="I1303" s="12" t="s">
        <v>20</v>
      </c>
      <c r="J1303" s="12" t="s">
        <v>49</v>
      </c>
      <c r="K1303" s="12"/>
      <c r="L1303" s="9" t="n">
        <f aca="false">L1302+H1303</f>
        <v>28470.4</v>
      </c>
      <c r="M1303" s="10" t="str">
        <f aca="false">VLOOKUP(J1303,RECATALOGANDO!A:C,2,0)</f>
        <v>SERVICIO DE GROOMING</v>
      </c>
      <c r="N1303" s="12" t="str">
        <f aca="false">VLOOKUP(M1303,RECATALOGANDO!B:C,2,0)</f>
        <v>VENTA DE SERVICIO</v>
      </c>
      <c r="O1303" s="2" t="s">
        <v>78</v>
      </c>
    </row>
    <row r="1304" customFormat="false" ht="13.8" hidden="false" customHeight="false" outlineLevel="0" collapsed="false">
      <c r="A1304" s="8" t="n">
        <v>45734</v>
      </c>
      <c r="B1304" s="9" t="n">
        <f aca="false">DAY(A1304)</f>
        <v>18</v>
      </c>
      <c r="C1304" s="9" t="n">
        <f aca="false">MONTH(A1304)</f>
        <v>3</v>
      </c>
      <c r="D1304" s="9" t="n">
        <f aca="false">YEAR(A1304)</f>
        <v>2025</v>
      </c>
      <c r="E1304" s="9" t="n">
        <f aca="false">WEEKDAY(A1304,2)</f>
        <v>2</v>
      </c>
      <c r="F1304" s="10" t="n">
        <f aca="false">WEEKNUM(A1304,2) - WEEKNUM(DATE(YEAR(A1304),MONTH(A1304),1),2) + 1</f>
        <v>4</v>
      </c>
      <c r="G1304" s="10"/>
      <c r="H1304" s="11" t="n">
        <v>1155</v>
      </c>
      <c r="I1304" s="12" t="s">
        <v>20</v>
      </c>
      <c r="J1304" s="12" t="s">
        <v>59</v>
      </c>
      <c r="K1304" s="12"/>
      <c r="L1304" s="9" t="n">
        <f aca="false">L1303+H1304</f>
        <v>29625.4</v>
      </c>
      <c r="M1304" s="10" t="str">
        <f aca="false">VLOOKUP(J1304,RECATALOGANDO!A:C,2,0)</f>
        <v>SERVICIO DE PENSION</v>
      </c>
      <c r="N1304" s="12" t="str">
        <f aca="false">VLOOKUP(M1304,RECATALOGANDO!B:C,2,0)</f>
        <v>VENTA DE SERVICIO</v>
      </c>
      <c r="O1304" s="2" t="s">
        <v>78</v>
      </c>
    </row>
    <row r="1305" customFormat="false" ht="13.8" hidden="false" customHeight="false" outlineLevel="0" collapsed="false">
      <c r="A1305" s="8" t="n">
        <v>45734</v>
      </c>
      <c r="B1305" s="9" t="n">
        <f aca="false">DAY(A1305)</f>
        <v>18</v>
      </c>
      <c r="C1305" s="9" t="n">
        <f aca="false">MONTH(A1305)</f>
        <v>3</v>
      </c>
      <c r="D1305" s="9" t="n">
        <f aca="false">YEAR(A1305)</f>
        <v>2025</v>
      </c>
      <c r="E1305" s="9" t="n">
        <f aca="false">WEEKDAY(A1305,2)</f>
        <v>2</v>
      </c>
      <c r="F1305" s="10" t="n">
        <f aca="false">WEEKNUM(A1305,2) - WEEKNUM(DATE(YEAR(A1305),MONTH(A1305),1),2) + 1</f>
        <v>4</v>
      </c>
      <c r="G1305" s="10"/>
      <c r="H1305" s="11" t="n">
        <v>1575</v>
      </c>
      <c r="I1305" s="12" t="s">
        <v>20</v>
      </c>
      <c r="J1305" s="12" t="s">
        <v>54</v>
      </c>
      <c r="K1305" s="12"/>
      <c r="L1305" s="9" t="n">
        <f aca="false">L1304+H1305</f>
        <v>31200.4</v>
      </c>
      <c r="M1305" s="10" t="str">
        <f aca="false">VLOOKUP(J1305,RECATALOGANDO!A:C,2,0)</f>
        <v>SERVICIO DE LABORATORIO</v>
      </c>
      <c r="N1305" s="12" t="str">
        <f aca="false">VLOOKUP(M1305,RECATALOGANDO!B:C,2,0)</f>
        <v>VENTA DE SERVICIO</v>
      </c>
      <c r="O1305" s="2" t="s">
        <v>78</v>
      </c>
    </row>
    <row r="1306" customFormat="false" ht="13.8" hidden="false" customHeight="false" outlineLevel="0" collapsed="false">
      <c r="A1306" s="8" t="n">
        <v>45735</v>
      </c>
      <c r="B1306" s="9" t="n">
        <f aca="false">DAY(A1306)</f>
        <v>19</v>
      </c>
      <c r="C1306" s="9" t="n">
        <f aca="false">MONTH(A1306)</f>
        <v>3</v>
      </c>
      <c r="D1306" s="9" t="n">
        <f aca="false">YEAR(A1306)</f>
        <v>2025</v>
      </c>
      <c r="E1306" s="9" t="n">
        <f aca="false">WEEKDAY(A1306,2)</f>
        <v>3</v>
      </c>
      <c r="F1306" s="10" t="n">
        <f aca="false">WEEKNUM(A1306,2) - WEEKNUM(DATE(YEAR(A1306),MONTH(A1306),1),2) + 1</f>
        <v>4</v>
      </c>
      <c r="G1306" s="10"/>
      <c r="H1306" s="11" t="n">
        <v>388.09</v>
      </c>
      <c r="I1306" s="12" t="s">
        <v>15</v>
      </c>
      <c r="J1306" s="12" t="s">
        <v>49</v>
      </c>
      <c r="K1306" s="12"/>
      <c r="L1306" s="9" t="n">
        <f aca="false">L1305+H1306</f>
        <v>31588.49</v>
      </c>
      <c r="M1306" s="10" t="str">
        <f aca="false">VLOOKUP(J1306,RECATALOGANDO!A:C,2,0)</f>
        <v>SERVICIO DE GROOMING</v>
      </c>
      <c r="N1306" s="12" t="str">
        <f aca="false">VLOOKUP(M1306,RECATALOGANDO!B:C,2,0)</f>
        <v>VENTA DE SERVICIO</v>
      </c>
      <c r="O1306" s="2" t="s">
        <v>78</v>
      </c>
    </row>
    <row r="1307" customFormat="false" ht="13.8" hidden="false" customHeight="false" outlineLevel="0" collapsed="false">
      <c r="A1307" s="8" t="n">
        <v>45735</v>
      </c>
      <c r="B1307" s="9" t="n">
        <f aca="false">DAY(A1307)</f>
        <v>19</v>
      </c>
      <c r="C1307" s="9" t="n">
        <f aca="false">MONTH(A1307)</f>
        <v>3</v>
      </c>
      <c r="D1307" s="9" t="n">
        <f aca="false">YEAR(A1307)</f>
        <v>2025</v>
      </c>
      <c r="E1307" s="9" t="n">
        <f aca="false">WEEKDAY(A1307,2)</f>
        <v>3</v>
      </c>
      <c r="F1307" s="10" t="n">
        <f aca="false">WEEKNUM(A1307,2) - WEEKNUM(DATE(YEAR(A1307),MONTH(A1307),1),2) + 1</f>
        <v>4</v>
      </c>
      <c r="G1307" s="10"/>
      <c r="H1307" s="11" t="n">
        <v>2570</v>
      </c>
      <c r="I1307" s="12" t="s">
        <v>20</v>
      </c>
      <c r="J1307" s="12" t="s">
        <v>59</v>
      </c>
      <c r="K1307" s="12"/>
      <c r="L1307" s="9" t="n">
        <f aca="false">L1306+H1307</f>
        <v>34158.49</v>
      </c>
      <c r="M1307" s="10" t="str">
        <f aca="false">VLOOKUP(J1307,RECATALOGANDO!A:C,2,0)</f>
        <v>SERVICIO DE PENSION</v>
      </c>
      <c r="N1307" s="12" t="str">
        <f aca="false">VLOOKUP(M1307,RECATALOGANDO!B:C,2,0)</f>
        <v>VENTA DE SERVICIO</v>
      </c>
      <c r="O1307" s="2" t="s">
        <v>78</v>
      </c>
    </row>
    <row r="1308" customFormat="false" ht="13.8" hidden="false" customHeight="false" outlineLevel="0" collapsed="false">
      <c r="A1308" s="8" t="n">
        <v>45736</v>
      </c>
      <c r="B1308" s="9" t="n">
        <f aca="false">DAY(A1308)</f>
        <v>20</v>
      </c>
      <c r="C1308" s="9" t="n">
        <f aca="false">MONTH(A1308)</f>
        <v>3</v>
      </c>
      <c r="D1308" s="9" t="n">
        <f aca="false">YEAR(A1308)</f>
        <v>2025</v>
      </c>
      <c r="E1308" s="9" t="n">
        <f aca="false">WEEKDAY(A1308,2)</f>
        <v>4</v>
      </c>
      <c r="F1308" s="10" t="n">
        <f aca="false">WEEKNUM(A1308,2) - WEEKNUM(DATE(YEAR(A1308),MONTH(A1308),1),2) + 1</f>
        <v>4</v>
      </c>
      <c r="G1308" s="10"/>
      <c r="H1308" s="11" t="n">
        <v>400</v>
      </c>
      <c r="I1308" s="12" t="s">
        <v>20</v>
      </c>
      <c r="J1308" s="12" t="s">
        <v>49</v>
      </c>
      <c r="K1308" s="12"/>
      <c r="L1308" s="9" t="n">
        <f aca="false">L1307+H1308</f>
        <v>34558.49</v>
      </c>
      <c r="M1308" s="10" t="str">
        <f aca="false">VLOOKUP(J1308,RECATALOGANDO!A:C,2,0)</f>
        <v>SERVICIO DE GROOMING</v>
      </c>
      <c r="N1308" s="12" t="str">
        <f aca="false">VLOOKUP(M1308,RECATALOGANDO!B:C,2,0)</f>
        <v>VENTA DE SERVICIO</v>
      </c>
      <c r="O1308" s="2" t="s">
        <v>78</v>
      </c>
    </row>
    <row r="1309" customFormat="false" ht="13.8" hidden="false" customHeight="false" outlineLevel="0" collapsed="false">
      <c r="A1309" s="8" t="n">
        <v>45737</v>
      </c>
      <c r="B1309" s="9" t="n">
        <f aca="false">DAY(A1309)</f>
        <v>21</v>
      </c>
      <c r="C1309" s="9" t="n">
        <f aca="false">MONTH(A1309)</f>
        <v>3</v>
      </c>
      <c r="D1309" s="9" t="n">
        <f aca="false">YEAR(A1309)</f>
        <v>2025</v>
      </c>
      <c r="E1309" s="9" t="n">
        <f aca="false">WEEKDAY(A1309,2)</f>
        <v>5</v>
      </c>
      <c r="F1309" s="10" t="n">
        <f aca="false">WEEKNUM(A1309,2) - WEEKNUM(DATE(YEAR(A1309),MONTH(A1309),1),2) + 1</f>
        <v>4</v>
      </c>
      <c r="G1309" s="10"/>
      <c r="H1309" s="11" t="n">
        <v>800</v>
      </c>
      <c r="I1309" s="12" t="s">
        <v>20</v>
      </c>
      <c r="J1309" s="12" t="s">
        <v>55</v>
      </c>
      <c r="K1309" s="12"/>
      <c r="L1309" s="9" t="n">
        <f aca="false">L1308+H1309</f>
        <v>35358.49</v>
      </c>
      <c r="M1309" s="10" t="str">
        <f aca="false">VLOOKUP(J1309,RECATALOGANDO!A:C,2,0)</f>
        <v>VENTA DE MEDICAMENTO</v>
      </c>
      <c r="N1309" s="12" t="str">
        <f aca="false">VLOOKUP(M1309,RECATALOGANDO!B:C,2,0)</f>
        <v>VENTA DE PRODUCTO</v>
      </c>
      <c r="O1309" s="2" t="s">
        <v>78</v>
      </c>
    </row>
    <row r="1310" customFormat="false" ht="13.8" hidden="false" customHeight="false" outlineLevel="0" collapsed="false">
      <c r="A1310" s="8" t="n">
        <v>45737</v>
      </c>
      <c r="B1310" s="9" t="n">
        <f aca="false">DAY(A1310)</f>
        <v>21</v>
      </c>
      <c r="C1310" s="9" t="n">
        <f aca="false">MONTH(A1310)</f>
        <v>3</v>
      </c>
      <c r="D1310" s="9" t="n">
        <f aca="false">YEAR(A1310)</f>
        <v>2025</v>
      </c>
      <c r="E1310" s="9" t="n">
        <f aca="false">WEEKDAY(A1310,2)</f>
        <v>5</v>
      </c>
      <c r="F1310" s="10" t="n">
        <f aca="false">WEEKNUM(A1310,2) - WEEKNUM(DATE(YEAR(A1310),MONTH(A1310),1),2) + 1</f>
        <v>4</v>
      </c>
      <c r="G1310" s="10"/>
      <c r="H1310" s="11" t="n">
        <v>890</v>
      </c>
      <c r="I1310" s="12" t="s">
        <v>20</v>
      </c>
      <c r="J1310" s="12" t="s">
        <v>51</v>
      </c>
      <c r="K1310" s="12"/>
      <c r="L1310" s="9" t="n">
        <f aca="false">L1309+H1310</f>
        <v>36248.49</v>
      </c>
      <c r="M1310" s="10" t="str">
        <f aca="false">VLOOKUP(J1310,RECATALOGANDO!A:C,2,0)</f>
        <v>VENTA DE ALIMENTO</v>
      </c>
      <c r="N1310" s="12" t="str">
        <f aca="false">VLOOKUP(M1310,RECATALOGANDO!B:C,2,0)</f>
        <v>VENTA DE PRODUCTO</v>
      </c>
      <c r="O1310" s="2" t="s">
        <v>78</v>
      </c>
    </row>
    <row r="1311" customFormat="false" ht="13.8" hidden="false" customHeight="false" outlineLevel="0" collapsed="false">
      <c r="A1311" s="8" t="n">
        <v>45737</v>
      </c>
      <c r="B1311" s="9" t="n">
        <f aca="false">DAY(A1311)</f>
        <v>21</v>
      </c>
      <c r="C1311" s="9" t="n">
        <f aca="false">MONTH(A1311)</f>
        <v>3</v>
      </c>
      <c r="D1311" s="9" t="n">
        <f aca="false">YEAR(A1311)</f>
        <v>2025</v>
      </c>
      <c r="E1311" s="9" t="n">
        <f aca="false">WEEKDAY(A1311,2)</f>
        <v>5</v>
      </c>
      <c r="F1311" s="10" t="n">
        <f aca="false">WEEKNUM(A1311,2) - WEEKNUM(DATE(YEAR(A1311),MONTH(A1311),1),2) + 1</f>
        <v>4</v>
      </c>
      <c r="G1311" s="10"/>
      <c r="H1311" s="11" t="n">
        <v>1775.62</v>
      </c>
      <c r="I1311" s="12" t="s">
        <v>15</v>
      </c>
      <c r="J1311" s="12" t="s">
        <v>59</v>
      </c>
      <c r="K1311" s="12"/>
      <c r="L1311" s="9" t="n">
        <f aca="false">L1310+H1311</f>
        <v>38024.11</v>
      </c>
      <c r="M1311" s="10" t="str">
        <f aca="false">VLOOKUP(J1311,RECATALOGANDO!A:C,2,0)</f>
        <v>SERVICIO DE PENSION</v>
      </c>
      <c r="N1311" s="12" t="str">
        <f aca="false">VLOOKUP(M1311,RECATALOGANDO!B:C,2,0)</f>
        <v>VENTA DE SERVICIO</v>
      </c>
      <c r="O1311" s="2" t="s">
        <v>78</v>
      </c>
    </row>
    <row r="1312" customFormat="false" ht="13.8" hidden="false" customHeight="false" outlineLevel="0" collapsed="false">
      <c r="A1312" s="8" t="n">
        <v>45738</v>
      </c>
      <c r="B1312" s="9" t="n">
        <f aca="false">DAY(A1312)</f>
        <v>22</v>
      </c>
      <c r="C1312" s="9" t="n">
        <f aca="false">MONTH(A1312)</f>
        <v>3</v>
      </c>
      <c r="D1312" s="9" t="n">
        <f aca="false">YEAR(A1312)</f>
        <v>2025</v>
      </c>
      <c r="E1312" s="9" t="n">
        <f aca="false">WEEKDAY(A1312,2)</f>
        <v>6</v>
      </c>
      <c r="F1312" s="10" t="n">
        <f aca="false">WEEKNUM(A1312,2) - WEEKNUM(DATE(YEAR(A1312),MONTH(A1312),1),2) + 1</f>
        <v>4</v>
      </c>
      <c r="G1312" s="10"/>
      <c r="H1312" s="11" t="n">
        <v>1640</v>
      </c>
      <c r="I1312" s="12" t="s">
        <v>15</v>
      </c>
      <c r="J1312" s="12" t="s">
        <v>55</v>
      </c>
      <c r="K1312" s="12"/>
      <c r="L1312" s="9" t="n">
        <f aca="false">L1311+H1312</f>
        <v>39664.11</v>
      </c>
      <c r="M1312" s="10" t="str">
        <f aca="false">VLOOKUP(J1312,RECATALOGANDO!A:C,2,0)</f>
        <v>VENTA DE MEDICAMENTO</v>
      </c>
      <c r="N1312" s="12" t="str">
        <f aca="false">VLOOKUP(M1312,RECATALOGANDO!B:C,2,0)</f>
        <v>VENTA DE PRODUCTO</v>
      </c>
      <c r="O1312" s="2" t="s">
        <v>78</v>
      </c>
    </row>
    <row r="1313" customFormat="false" ht="13.8" hidden="false" customHeight="false" outlineLevel="0" collapsed="false">
      <c r="A1313" s="8" t="n">
        <v>45738</v>
      </c>
      <c r="B1313" s="9" t="n">
        <f aca="false">DAY(A1313)</f>
        <v>22</v>
      </c>
      <c r="C1313" s="9" t="n">
        <f aca="false">MONTH(A1313)</f>
        <v>3</v>
      </c>
      <c r="D1313" s="9" t="n">
        <f aca="false">YEAR(A1313)</f>
        <v>2025</v>
      </c>
      <c r="E1313" s="9" t="n">
        <f aca="false">WEEKDAY(A1313,2)</f>
        <v>6</v>
      </c>
      <c r="F1313" s="10" t="n">
        <f aca="false">WEEKNUM(A1313,2) - WEEKNUM(DATE(YEAR(A1313),MONTH(A1313),1),2) + 1</f>
        <v>4</v>
      </c>
      <c r="G1313" s="10"/>
      <c r="H1313" s="11" t="n">
        <v>635</v>
      </c>
      <c r="I1313" s="12" t="s">
        <v>15</v>
      </c>
      <c r="J1313" s="12" t="s">
        <v>49</v>
      </c>
      <c r="K1313" s="12"/>
      <c r="L1313" s="9" t="n">
        <f aca="false">L1312+H1313</f>
        <v>40299.11</v>
      </c>
      <c r="M1313" s="10" t="str">
        <f aca="false">VLOOKUP(J1313,RECATALOGANDO!A:C,2,0)</f>
        <v>SERVICIO DE GROOMING</v>
      </c>
      <c r="N1313" s="12" t="str">
        <f aca="false">VLOOKUP(M1313,RECATALOGANDO!B:C,2,0)</f>
        <v>VENTA DE SERVICIO</v>
      </c>
      <c r="O1313" s="2" t="s">
        <v>78</v>
      </c>
    </row>
    <row r="1314" customFormat="false" ht="13.8" hidden="false" customHeight="false" outlineLevel="0" collapsed="false">
      <c r="A1314" s="8" t="n">
        <v>45739</v>
      </c>
      <c r="B1314" s="9" t="n">
        <f aca="false">DAY(A1314)</f>
        <v>23</v>
      </c>
      <c r="C1314" s="9" t="n">
        <f aca="false">MONTH(A1314)</f>
        <v>3</v>
      </c>
      <c r="D1314" s="9" t="n">
        <f aca="false">YEAR(A1314)</f>
        <v>2025</v>
      </c>
      <c r="E1314" s="9" t="n">
        <f aca="false">WEEKDAY(A1314,2)</f>
        <v>7</v>
      </c>
      <c r="F1314" s="10" t="n">
        <f aca="false">WEEKNUM(A1314,2) - WEEKNUM(DATE(YEAR(A1314),MONTH(A1314),1),2) + 1</f>
        <v>4</v>
      </c>
      <c r="G1314" s="10"/>
      <c r="H1314" s="11" t="n">
        <v>4275.7</v>
      </c>
      <c r="I1314" s="12" t="s">
        <v>15</v>
      </c>
      <c r="J1314" s="12" t="s">
        <v>54</v>
      </c>
      <c r="K1314" s="12"/>
      <c r="L1314" s="9" t="n">
        <f aca="false">L1313+H1314</f>
        <v>44574.81</v>
      </c>
      <c r="M1314" s="10" t="str">
        <f aca="false">VLOOKUP(J1314,RECATALOGANDO!A:C,2,0)</f>
        <v>SERVICIO DE LABORATORIO</v>
      </c>
      <c r="N1314" s="12" t="str">
        <f aca="false">VLOOKUP(M1314,RECATALOGANDO!B:C,2,0)</f>
        <v>VENTA DE SERVICIO</v>
      </c>
      <c r="O1314" s="2" t="s">
        <v>78</v>
      </c>
    </row>
    <row r="1315" customFormat="false" ht="13.8" hidden="false" customHeight="false" outlineLevel="0" collapsed="false">
      <c r="A1315" s="8" t="n">
        <v>45740</v>
      </c>
      <c r="B1315" s="9" t="n">
        <f aca="false">DAY(A1315)</f>
        <v>24</v>
      </c>
      <c r="C1315" s="9" t="n">
        <f aca="false">MONTH(A1315)</f>
        <v>3</v>
      </c>
      <c r="D1315" s="9" t="n">
        <f aca="false">YEAR(A1315)</f>
        <v>2025</v>
      </c>
      <c r="E1315" s="9" t="n">
        <f aca="false">WEEKDAY(A1315,2)</f>
        <v>1</v>
      </c>
      <c r="F1315" s="10" t="n">
        <f aca="false">WEEKNUM(A1315,2) - WEEKNUM(DATE(YEAR(A1315),MONTH(A1315),1),2) + 1</f>
        <v>5</v>
      </c>
      <c r="G1315" s="10"/>
      <c r="H1315" s="11" t="n">
        <v>290</v>
      </c>
      <c r="I1315" s="12" t="s">
        <v>20</v>
      </c>
      <c r="J1315" s="12" t="s">
        <v>55</v>
      </c>
      <c r="K1315" s="12"/>
      <c r="L1315" s="9" t="n">
        <f aca="false">L1314+H1315</f>
        <v>44864.81</v>
      </c>
      <c r="M1315" s="10" t="str">
        <f aca="false">VLOOKUP(J1315,RECATALOGANDO!A:C,2,0)</f>
        <v>VENTA DE MEDICAMENTO</v>
      </c>
      <c r="N1315" s="12" t="str">
        <f aca="false">VLOOKUP(M1315,RECATALOGANDO!B:C,2,0)</f>
        <v>VENTA DE PRODUCTO</v>
      </c>
      <c r="O1315" s="2" t="s">
        <v>78</v>
      </c>
    </row>
    <row r="1316" customFormat="false" ht="13.8" hidden="false" customHeight="false" outlineLevel="0" collapsed="false">
      <c r="A1316" s="8" t="n">
        <v>45740</v>
      </c>
      <c r="B1316" s="9" t="n">
        <f aca="false">DAY(A1316)</f>
        <v>24</v>
      </c>
      <c r="C1316" s="9" t="n">
        <f aca="false">MONTH(A1316)</f>
        <v>3</v>
      </c>
      <c r="D1316" s="9" t="n">
        <f aca="false">YEAR(A1316)</f>
        <v>2025</v>
      </c>
      <c r="E1316" s="9" t="n">
        <f aca="false">WEEKDAY(A1316,2)</f>
        <v>1</v>
      </c>
      <c r="F1316" s="10" t="n">
        <f aca="false">WEEKNUM(A1316,2) - WEEKNUM(DATE(YEAR(A1316),MONTH(A1316),1),2) + 1</f>
        <v>5</v>
      </c>
      <c r="G1316" s="10"/>
      <c r="H1316" s="11" t="n">
        <v>1200</v>
      </c>
      <c r="I1316" s="12" t="s">
        <v>20</v>
      </c>
      <c r="J1316" s="12" t="s">
        <v>64</v>
      </c>
      <c r="K1316" s="12"/>
      <c r="L1316" s="9" t="n">
        <f aca="false">L1315+H1316</f>
        <v>46064.81</v>
      </c>
      <c r="M1316" s="10" t="str">
        <f aca="false">VLOOKUP(J1316,RECATALOGANDO!A:C,2,0)</f>
        <v>HONORARIOS QUIRURGICOS</v>
      </c>
      <c r="N1316" s="12" t="str">
        <f aca="false">VLOOKUP(M1316,RECATALOGANDO!B:C,2,0)</f>
        <v>VENTA DE SERVICIO</v>
      </c>
      <c r="O1316" s="2" t="s">
        <v>78</v>
      </c>
    </row>
    <row r="1317" customFormat="false" ht="13.8" hidden="false" customHeight="false" outlineLevel="0" collapsed="false">
      <c r="A1317" s="8" t="n">
        <v>45740</v>
      </c>
      <c r="B1317" s="9" t="n">
        <f aca="false">DAY(A1317)</f>
        <v>24</v>
      </c>
      <c r="C1317" s="9" t="n">
        <f aca="false">MONTH(A1317)</f>
        <v>3</v>
      </c>
      <c r="D1317" s="9" t="n">
        <f aca="false">YEAR(A1317)</f>
        <v>2025</v>
      </c>
      <c r="E1317" s="9" t="n">
        <f aca="false">WEEKDAY(A1317,2)</f>
        <v>1</v>
      </c>
      <c r="F1317" s="10" t="n">
        <f aca="false">WEEKNUM(A1317,2) - WEEKNUM(DATE(YEAR(A1317),MONTH(A1317),1),2) + 1</f>
        <v>5</v>
      </c>
      <c r="G1317" s="10"/>
      <c r="H1317" s="11" t="n">
        <v>1540</v>
      </c>
      <c r="I1317" s="12" t="s">
        <v>20</v>
      </c>
      <c r="J1317" s="12" t="s">
        <v>54</v>
      </c>
      <c r="K1317" s="12"/>
      <c r="L1317" s="9" t="n">
        <f aca="false">L1316+H1317</f>
        <v>47604.81</v>
      </c>
      <c r="M1317" s="10" t="str">
        <f aca="false">VLOOKUP(J1317,RECATALOGANDO!A:C,2,0)</f>
        <v>SERVICIO DE LABORATORIO</v>
      </c>
      <c r="N1317" s="12" t="str">
        <f aca="false">VLOOKUP(M1317,RECATALOGANDO!B:C,2,0)</f>
        <v>VENTA DE SERVICIO</v>
      </c>
      <c r="O1317" s="2" t="s">
        <v>78</v>
      </c>
    </row>
    <row r="1318" customFormat="false" ht="13.8" hidden="false" customHeight="false" outlineLevel="0" collapsed="false">
      <c r="A1318" s="8" t="n">
        <v>45740</v>
      </c>
      <c r="B1318" s="9" t="n">
        <f aca="false">DAY(A1318)</f>
        <v>24</v>
      </c>
      <c r="C1318" s="9" t="n">
        <f aca="false">MONTH(A1318)</f>
        <v>3</v>
      </c>
      <c r="D1318" s="9" t="n">
        <f aca="false">YEAR(A1318)</f>
        <v>2025</v>
      </c>
      <c r="E1318" s="9" t="n">
        <f aca="false">WEEKDAY(A1318,2)</f>
        <v>1</v>
      </c>
      <c r="F1318" s="10" t="n">
        <f aca="false">WEEKNUM(A1318,2) - WEEKNUM(DATE(YEAR(A1318),MONTH(A1318),1),2) + 1</f>
        <v>5</v>
      </c>
      <c r="G1318" s="10"/>
      <c r="H1318" s="11" t="n">
        <v>1610</v>
      </c>
      <c r="I1318" s="12" t="s">
        <v>20</v>
      </c>
      <c r="J1318" s="12" t="s">
        <v>44</v>
      </c>
      <c r="K1318" s="12"/>
      <c r="L1318" s="9" t="n">
        <f aca="false">L1317+H1318</f>
        <v>49214.81</v>
      </c>
      <c r="M1318" s="10" t="str">
        <f aca="false">VLOOKUP(J1318,RECATALOGANDO!A:C,2,0)</f>
        <v>HONORARIOS MEDICOS</v>
      </c>
      <c r="N1318" s="12" t="str">
        <f aca="false">VLOOKUP(M1318,RECATALOGANDO!B:C,2,0)</f>
        <v>VENTA DE SERVICIO</v>
      </c>
      <c r="O1318" s="2" t="s">
        <v>78</v>
      </c>
    </row>
    <row r="1319" customFormat="false" ht="13.8" hidden="false" customHeight="false" outlineLevel="0" collapsed="false">
      <c r="A1319" s="8" t="n">
        <v>45741</v>
      </c>
      <c r="B1319" s="9" t="n">
        <f aca="false">DAY(A1319)</f>
        <v>25</v>
      </c>
      <c r="C1319" s="9" t="n">
        <f aca="false">MONTH(A1319)</f>
        <v>3</v>
      </c>
      <c r="D1319" s="9" t="n">
        <f aca="false">YEAR(A1319)</f>
        <v>2025</v>
      </c>
      <c r="E1319" s="9" t="n">
        <f aca="false">WEEKDAY(A1319,2)</f>
        <v>2</v>
      </c>
      <c r="F1319" s="10" t="n">
        <f aca="false">WEEKNUM(A1319,2) - WEEKNUM(DATE(YEAR(A1319),MONTH(A1319),1),2) + 1</f>
        <v>5</v>
      </c>
      <c r="G1319" s="10"/>
      <c r="H1319" s="11" t="n">
        <v>100</v>
      </c>
      <c r="I1319" s="12" t="s">
        <v>20</v>
      </c>
      <c r="J1319" s="12" t="s">
        <v>55</v>
      </c>
      <c r="K1319" s="12"/>
      <c r="L1319" s="9" t="n">
        <f aca="false">L1318+H1319</f>
        <v>49314.81</v>
      </c>
      <c r="M1319" s="10" t="str">
        <f aca="false">VLOOKUP(J1319,RECATALOGANDO!A:C,2,0)</f>
        <v>VENTA DE MEDICAMENTO</v>
      </c>
      <c r="N1319" s="12" t="str">
        <f aca="false">VLOOKUP(M1319,RECATALOGANDO!B:C,2,0)</f>
        <v>VENTA DE PRODUCTO</v>
      </c>
      <c r="O1319" s="2" t="s">
        <v>78</v>
      </c>
    </row>
    <row r="1320" customFormat="false" ht="13.8" hidden="false" customHeight="false" outlineLevel="0" collapsed="false">
      <c r="A1320" s="8" t="n">
        <v>45741</v>
      </c>
      <c r="B1320" s="9" t="n">
        <f aca="false">DAY(A1320)</f>
        <v>25</v>
      </c>
      <c r="C1320" s="9" t="n">
        <f aca="false">MONTH(A1320)</f>
        <v>3</v>
      </c>
      <c r="D1320" s="9" t="n">
        <f aca="false">YEAR(A1320)</f>
        <v>2025</v>
      </c>
      <c r="E1320" s="9" t="n">
        <f aca="false">WEEKDAY(A1320,2)</f>
        <v>2</v>
      </c>
      <c r="F1320" s="10" t="n">
        <f aca="false">WEEKNUM(A1320,2) - WEEKNUM(DATE(YEAR(A1320),MONTH(A1320),1),2) + 1</f>
        <v>5</v>
      </c>
      <c r="G1320" s="10"/>
      <c r="H1320" s="11" t="n">
        <v>125</v>
      </c>
      <c r="I1320" s="12" t="s">
        <v>20</v>
      </c>
      <c r="J1320" s="12" t="s">
        <v>55</v>
      </c>
      <c r="K1320" s="12"/>
      <c r="L1320" s="9" t="n">
        <f aca="false">L1319+H1320</f>
        <v>49439.81</v>
      </c>
      <c r="M1320" s="10" t="str">
        <f aca="false">VLOOKUP(J1320,RECATALOGANDO!A:C,2,0)</f>
        <v>VENTA DE MEDICAMENTO</v>
      </c>
      <c r="N1320" s="12" t="str">
        <f aca="false">VLOOKUP(M1320,RECATALOGANDO!B:C,2,0)</f>
        <v>VENTA DE PRODUCTO</v>
      </c>
      <c r="O1320" s="2" t="s">
        <v>78</v>
      </c>
    </row>
    <row r="1321" customFormat="false" ht="13.8" hidden="false" customHeight="false" outlineLevel="0" collapsed="false">
      <c r="A1321" s="8" t="n">
        <v>45741</v>
      </c>
      <c r="B1321" s="9" t="n">
        <f aca="false">DAY(A1321)</f>
        <v>25</v>
      </c>
      <c r="C1321" s="9" t="n">
        <f aca="false">MONTH(A1321)</f>
        <v>3</v>
      </c>
      <c r="D1321" s="9" t="n">
        <f aca="false">YEAR(A1321)</f>
        <v>2025</v>
      </c>
      <c r="E1321" s="9" t="n">
        <f aca="false">WEEKDAY(A1321,2)</f>
        <v>2</v>
      </c>
      <c r="F1321" s="10" t="n">
        <f aca="false">WEEKNUM(A1321,2) - WEEKNUM(DATE(YEAR(A1321),MONTH(A1321),1),2) + 1</f>
        <v>5</v>
      </c>
      <c r="G1321" s="10"/>
      <c r="H1321" s="11" t="n">
        <v>900</v>
      </c>
      <c r="I1321" s="12" t="s">
        <v>20</v>
      </c>
      <c r="J1321" s="12" t="s">
        <v>57</v>
      </c>
      <c r="K1321" s="12"/>
      <c r="L1321" s="9" t="n">
        <f aca="false">L1320+H1321</f>
        <v>50339.81</v>
      </c>
      <c r="M1321" s="10" t="str">
        <f aca="false">VLOOKUP(J1321,RECATALOGANDO!A:C,2,0)</f>
        <v>SERVICIO DE CREMACION</v>
      </c>
      <c r="N1321" s="12" t="str">
        <f aca="false">VLOOKUP(M1321,RECATALOGANDO!B:C,2,0)</f>
        <v>VENTA DE SERVICIO</v>
      </c>
      <c r="O1321" s="2" t="s">
        <v>78</v>
      </c>
    </row>
    <row r="1322" customFormat="false" ht="13.8" hidden="false" customHeight="false" outlineLevel="0" collapsed="false">
      <c r="A1322" s="8" t="n">
        <v>45743</v>
      </c>
      <c r="B1322" s="9" t="n">
        <f aca="false">DAY(A1322)</f>
        <v>27</v>
      </c>
      <c r="C1322" s="9" t="n">
        <f aca="false">MONTH(A1322)</f>
        <v>3</v>
      </c>
      <c r="D1322" s="9" t="n">
        <f aca="false">YEAR(A1322)</f>
        <v>2025</v>
      </c>
      <c r="E1322" s="9" t="n">
        <f aca="false">WEEKDAY(A1322,2)</f>
        <v>4</v>
      </c>
      <c r="F1322" s="10" t="n">
        <f aca="false">WEEKNUM(A1322,2) - WEEKNUM(DATE(YEAR(A1322),MONTH(A1322),1),2) + 1</f>
        <v>5</v>
      </c>
      <c r="G1322" s="10"/>
      <c r="H1322" s="11" t="n">
        <v>200</v>
      </c>
      <c r="I1322" s="12" t="s">
        <v>20</v>
      </c>
      <c r="J1322" s="12" t="s">
        <v>49</v>
      </c>
      <c r="K1322" s="12"/>
      <c r="L1322" s="9" t="n">
        <f aca="false">L1321+H1322</f>
        <v>50539.81</v>
      </c>
      <c r="M1322" s="10" t="str">
        <f aca="false">VLOOKUP(J1322,RECATALOGANDO!A:C,2,0)</f>
        <v>SERVICIO DE GROOMING</v>
      </c>
      <c r="N1322" s="12" t="str">
        <f aca="false">VLOOKUP(M1322,RECATALOGANDO!B:C,2,0)</f>
        <v>VENTA DE SERVICIO</v>
      </c>
      <c r="O1322" s="2" t="s">
        <v>78</v>
      </c>
    </row>
    <row r="1323" customFormat="false" ht="13.8" hidden="false" customHeight="false" outlineLevel="0" collapsed="false">
      <c r="A1323" s="8" t="n">
        <v>45743</v>
      </c>
      <c r="B1323" s="9" t="n">
        <f aca="false">DAY(A1323)</f>
        <v>27</v>
      </c>
      <c r="C1323" s="9" t="n">
        <f aca="false">MONTH(A1323)</f>
        <v>3</v>
      </c>
      <c r="D1323" s="9" t="n">
        <f aca="false">YEAR(A1323)</f>
        <v>2025</v>
      </c>
      <c r="E1323" s="9" t="n">
        <f aca="false">WEEKDAY(A1323,2)</f>
        <v>4</v>
      </c>
      <c r="F1323" s="10" t="n">
        <f aca="false">WEEKNUM(A1323,2) - WEEKNUM(DATE(YEAR(A1323),MONTH(A1323),1),2) + 1</f>
        <v>5</v>
      </c>
      <c r="G1323" s="10"/>
      <c r="H1323" s="11" t="n">
        <v>290</v>
      </c>
      <c r="I1323" s="12" t="s">
        <v>20</v>
      </c>
      <c r="J1323" s="12" t="s">
        <v>49</v>
      </c>
      <c r="K1323" s="12"/>
      <c r="L1323" s="9" t="n">
        <f aca="false">L1322+H1323</f>
        <v>50829.81</v>
      </c>
      <c r="M1323" s="10" t="str">
        <f aca="false">VLOOKUP(J1323,RECATALOGANDO!A:C,2,0)</f>
        <v>SERVICIO DE GROOMING</v>
      </c>
      <c r="N1323" s="12" t="str">
        <f aca="false">VLOOKUP(M1323,RECATALOGANDO!B:C,2,0)</f>
        <v>VENTA DE SERVICIO</v>
      </c>
      <c r="O1323" s="2" t="s">
        <v>78</v>
      </c>
    </row>
    <row r="1324" customFormat="false" ht="13.8" hidden="false" customHeight="false" outlineLevel="0" collapsed="false">
      <c r="A1324" s="8" t="n">
        <v>45743</v>
      </c>
      <c r="B1324" s="9" t="n">
        <f aca="false">DAY(A1324)</f>
        <v>27</v>
      </c>
      <c r="C1324" s="9" t="n">
        <f aca="false">MONTH(A1324)</f>
        <v>3</v>
      </c>
      <c r="D1324" s="9" t="n">
        <f aca="false">YEAR(A1324)</f>
        <v>2025</v>
      </c>
      <c r="E1324" s="9" t="n">
        <f aca="false">WEEKDAY(A1324,2)</f>
        <v>4</v>
      </c>
      <c r="F1324" s="10" t="n">
        <f aca="false">WEEKNUM(A1324,2) - WEEKNUM(DATE(YEAR(A1324),MONTH(A1324),1),2) + 1</f>
        <v>5</v>
      </c>
      <c r="G1324" s="10"/>
      <c r="H1324" s="11" t="n">
        <v>1216.96</v>
      </c>
      <c r="I1324" s="12" t="s">
        <v>15</v>
      </c>
      <c r="J1324" s="12" t="s">
        <v>44</v>
      </c>
      <c r="K1324" s="12"/>
      <c r="L1324" s="9" t="n">
        <f aca="false">L1323+H1324</f>
        <v>52046.77</v>
      </c>
      <c r="M1324" s="10" t="str">
        <f aca="false">VLOOKUP(J1324,RECATALOGANDO!A:C,2,0)</f>
        <v>HONORARIOS MEDICOS</v>
      </c>
      <c r="N1324" s="12" t="str">
        <f aca="false">VLOOKUP(M1324,RECATALOGANDO!B:C,2,0)</f>
        <v>VENTA DE SERVICIO</v>
      </c>
      <c r="O1324" s="2" t="s">
        <v>78</v>
      </c>
    </row>
    <row r="1325" customFormat="false" ht="13.8" hidden="false" customHeight="false" outlineLevel="0" collapsed="false">
      <c r="A1325" s="8" t="n">
        <v>45744</v>
      </c>
      <c r="B1325" s="9" t="n">
        <f aca="false">DAY(A1325)</f>
        <v>28</v>
      </c>
      <c r="C1325" s="9" t="n">
        <f aca="false">MONTH(A1325)</f>
        <v>3</v>
      </c>
      <c r="D1325" s="9" t="n">
        <f aca="false">YEAR(A1325)</f>
        <v>2025</v>
      </c>
      <c r="E1325" s="9" t="n">
        <f aca="false">WEEKDAY(A1325,2)</f>
        <v>5</v>
      </c>
      <c r="F1325" s="10" t="n">
        <f aca="false">WEEKNUM(A1325,2) - WEEKNUM(DATE(YEAR(A1325),MONTH(A1325),1),2) + 1</f>
        <v>5</v>
      </c>
      <c r="G1325" s="10" t="n">
        <v>2</v>
      </c>
      <c r="H1325" s="11" t="n">
        <v>1250</v>
      </c>
      <c r="I1325" s="12" t="s">
        <v>20</v>
      </c>
      <c r="J1325" s="12" t="s">
        <v>51</v>
      </c>
      <c r="K1325" s="12"/>
      <c r="L1325" s="9" t="n">
        <f aca="false">L1324+H1325</f>
        <v>53296.77</v>
      </c>
      <c r="M1325" s="10" t="str">
        <f aca="false">VLOOKUP(J1325,RECATALOGANDO!A:C,2,0)</f>
        <v>VENTA DE ALIMENTO</v>
      </c>
      <c r="N1325" s="12" t="str">
        <f aca="false">VLOOKUP(M1325,RECATALOGANDO!B:C,2,0)</f>
        <v>VENTA DE PRODUCTO</v>
      </c>
      <c r="O1325" s="2" t="s">
        <v>78</v>
      </c>
    </row>
    <row r="1326" customFormat="false" ht="13.8" hidden="false" customHeight="false" outlineLevel="0" collapsed="false">
      <c r="A1326" s="8" t="n">
        <v>45744</v>
      </c>
      <c r="B1326" s="9" t="n">
        <f aca="false">DAY(A1326)</f>
        <v>28</v>
      </c>
      <c r="C1326" s="9" t="n">
        <f aca="false">MONTH(A1326)</f>
        <v>3</v>
      </c>
      <c r="D1326" s="9" t="n">
        <f aca="false">YEAR(A1326)</f>
        <v>2025</v>
      </c>
      <c r="E1326" s="9" t="n">
        <f aca="false">WEEKDAY(A1326,2)</f>
        <v>5</v>
      </c>
      <c r="F1326" s="10" t="n">
        <f aca="false">WEEKNUM(A1326,2) - WEEKNUM(DATE(YEAR(A1326),MONTH(A1326),1),2) + 1</f>
        <v>5</v>
      </c>
      <c r="G1326" s="10" t="n">
        <v>2</v>
      </c>
      <c r="H1326" s="11" t="n">
        <v>1430</v>
      </c>
      <c r="I1326" s="12" t="s">
        <v>20</v>
      </c>
      <c r="J1326" s="12" t="s">
        <v>55</v>
      </c>
      <c r="K1326" s="12"/>
      <c r="L1326" s="9" t="n">
        <f aca="false">L1325+H1326</f>
        <v>54726.77</v>
      </c>
      <c r="M1326" s="10" t="str">
        <f aca="false">VLOOKUP(J1326,RECATALOGANDO!A:C,2,0)</f>
        <v>VENTA DE MEDICAMENTO</v>
      </c>
      <c r="N1326" s="12" t="str">
        <f aca="false">VLOOKUP(M1326,RECATALOGANDO!B:C,2,0)</f>
        <v>VENTA DE PRODUCTO</v>
      </c>
      <c r="O1326" s="2" t="s">
        <v>78</v>
      </c>
    </row>
    <row r="1327" customFormat="false" ht="13.8" hidden="false" customHeight="false" outlineLevel="0" collapsed="false">
      <c r="A1327" s="8" t="n">
        <v>45745</v>
      </c>
      <c r="B1327" s="9" t="n">
        <f aca="false">DAY(A1327)</f>
        <v>29</v>
      </c>
      <c r="C1327" s="9" t="n">
        <f aca="false">MONTH(A1327)</f>
        <v>3</v>
      </c>
      <c r="D1327" s="9" t="n">
        <f aca="false">YEAR(A1327)</f>
        <v>2025</v>
      </c>
      <c r="E1327" s="9" t="n">
        <f aca="false">WEEKDAY(A1327,2)</f>
        <v>6</v>
      </c>
      <c r="F1327" s="10" t="n">
        <f aca="false">WEEKNUM(A1327,2) - WEEKNUM(DATE(YEAR(A1327),MONTH(A1327),1),2) + 1</f>
        <v>5</v>
      </c>
      <c r="G1327" s="10"/>
      <c r="H1327" s="11" t="n">
        <v>1640</v>
      </c>
      <c r="I1327" s="12" t="s">
        <v>15</v>
      </c>
      <c r="J1327" s="12" t="s">
        <v>55</v>
      </c>
      <c r="K1327" s="12"/>
      <c r="L1327" s="9" t="n">
        <f aca="false">L1326+H1327</f>
        <v>56366.77</v>
      </c>
      <c r="M1327" s="10" t="str">
        <f aca="false">VLOOKUP(J1327,RECATALOGANDO!A:C,2,0)</f>
        <v>VENTA DE MEDICAMENTO</v>
      </c>
      <c r="N1327" s="12" t="str">
        <f aca="false">VLOOKUP(M1327,RECATALOGANDO!B:C,2,0)</f>
        <v>VENTA DE PRODUCTO</v>
      </c>
      <c r="O1327" s="2" t="s">
        <v>78</v>
      </c>
    </row>
    <row r="1328" customFormat="false" ht="13.8" hidden="false" customHeight="false" outlineLevel="0" collapsed="false">
      <c r="A1328" s="8" t="n">
        <v>45746</v>
      </c>
      <c r="B1328" s="9" t="n">
        <f aca="false">DAY(A1328)</f>
        <v>30</v>
      </c>
      <c r="C1328" s="9" t="n">
        <f aca="false">MONTH(A1328)</f>
        <v>3</v>
      </c>
      <c r="D1328" s="9" t="n">
        <f aca="false">YEAR(A1328)</f>
        <v>2025</v>
      </c>
      <c r="E1328" s="9" t="n">
        <f aca="false">WEEKDAY(A1328,2)</f>
        <v>7</v>
      </c>
      <c r="F1328" s="10" t="n">
        <f aca="false">WEEKNUM(A1328,2) - WEEKNUM(DATE(YEAR(A1328),MONTH(A1328),1),2) + 1</f>
        <v>5</v>
      </c>
      <c r="G1328" s="10"/>
      <c r="H1328" s="11" t="n">
        <v>14852</v>
      </c>
      <c r="I1328" s="12" t="s">
        <v>15</v>
      </c>
      <c r="J1328" s="12" t="s">
        <v>64</v>
      </c>
      <c r="K1328" s="12"/>
      <c r="L1328" s="9" t="n">
        <f aca="false">L1327+H1328</f>
        <v>71218.77</v>
      </c>
      <c r="M1328" s="10" t="str">
        <f aca="false">VLOOKUP(J1328,RECATALOGANDO!A:C,2,0)</f>
        <v>HONORARIOS QUIRURGICOS</v>
      </c>
      <c r="N1328" s="12" t="str">
        <f aca="false">VLOOKUP(M1328,RECATALOGANDO!B:C,2,0)</f>
        <v>VENTA DE SERVICIO</v>
      </c>
      <c r="O1328" s="2" t="s">
        <v>78</v>
      </c>
    </row>
    <row r="1329" customFormat="false" ht="13.8" hidden="false" customHeight="false" outlineLevel="0" collapsed="false">
      <c r="A1329" s="8" t="n">
        <v>45747</v>
      </c>
      <c r="B1329" s="9" t="n">
        <f aca="false">DAY(A1329)</f>
        <v>31</v>
      </c>
      <c r="C1329" s="9" t="n">
        <f aca="false">MONTH(A1329)</f>
        <v>3</v>
      </c>
      <c r="D1329" s="9" t="n">
        <f aca="false">YEAR(A1329)</f>
        <v>2025</v>
      </c>
      <c r="E1329" s="9" t="n">
        <f aca="false">WEEKDAY(A1329,2)</f>
        <v>1</v>
      </c>
      <c r="F1329" s="10" t="n">
        <f aca="false">WEEKNUM(A1329,2) - WEEKNUM(DATE(YEAR(A1329),MONTH(A1329),1),2) + 1</f>
        <v>6</v>
      </c>
      <c r="G1329" s="10"/>
      <c r="H1329" s="11" t="n">
        <v>3650</v>
      </c>
      <c r="I1329" s="12" t="s">
        <v>20</v>
      </c>
      <c r="J1329" s="12" t="s">
        <v>55</v>
      </c>
      <c r="K1329" s="12"/>
      <c r="L1329" s="9" t="n">
        <f aca="false">L1328+H1329</f>
        <v>74868.77</v>
      </c>
      <c r="M1329" s="10" t="str">
        <f aca="false">VLOOKUP(J1329,RECATALOGANDO!A:C,2,0)</f>
        <v>VENTA DE MEDICAMENTO</v>
      </c>
      <c r="N1329" s="12" t="str">
        <f aca="false">VLOOKUP(M1329,RECATALOGANDO!B:C,2,0)</f>
        <v>VENTA DE PRODUCTO</v>
      </c>
      <c r="O1329" s="2" t="s">
        <v>78</v>
      </c>
    </row>
    <row r="1330" customFormat="false" ht="13.8" hidden="false" customHeight="false" outlineLevel="0" collapsed="false">
      <c r="A1330" s="8" t="n">
        <v>45748</v>
      </c>
      <c r="B1330" s="9" t="n">
        <f aca="false">DAY(A1330)</f>
        <v>1</v>
      </c>
      <c r="C1330" s="9" t="n">
        <f aca="false">MONTH(A1330)</f>
        <v>4</v>
      </c>
      <c r="D1330" s="9" t="n">
        <f aca="false">YEAR(A1330)</f>
        <v>2025</v>
      </c>
      <c r="E1330" s="9" t="n">
        <f aca="false">WEEKDAY(A1330,2)</f>
        <v>2</v>
      </c>
      <c r="F1330" s="10" t="n">
        <f aca="false">WEEKNUM(A1330,2) - WEEKNUM(DATE(YEAR(A1330),MONTH(A1330),1),2) + 1</f>
        <v>1</v>
      </c>
      <c r="G1330" s="10"/>
      <c r="H1330" s="11" t="n">
        <v>290</v>
      </c>
      <c r="I1330" s="12" t="s">
        <v>20</v>
      </c>
      <c r="J1330" s="12" t="s">
        <v>44</v>
      </c>
      <c r="K1330" s="12"/>
      <c r="L1330" s="9" t="n">
        <f aca="false">H1330</f>
        <v>290</v>
      </c>
      <c r="M1330" s="10" t="str">
        <f aca="false">VLOOKUP(J1330,RECATALOGANDO!A:C,2,0)</f>
        <v>HONORARIOS MEDICOS</v>
      </c>
      <c r="N1330" s="12" t="str">
        <f aca="false">VLOOKUP(M1330,RECATALOGANDO!B:C,2,0)</f>
        <v>VENTA DE SERVICIO</v>
      </c>
      <c r="O1330" s="2" t="s">
        <v>78</v>
      </c>
    </row>
    <row r="1331" customFormat="false" ht="13.8" hidden="false" customHeight="false" outlineLevel="0" collapsed="false">
      <c r="A1331" s="8" t="n">
        <v>45749</v>
      </c>
      <c r="B1331" s="9" t="n">
        <f aca="false">DAY(A1331)</f>
        <v>2</v>
      </c>
      <c r="C1331" s="9" t="n">
        <f aca="false">MONTH(A1331)</f>
        <v>4</v>
      </c>
      <c r="D1331" s="9" t="n">
        <f aca="false">YEAR(A1331)</f>
        <v>2025</v>
      </c>
      <c r="E1331" s="9" t="n">
        <f aca="false">WEEKDAY(A1331,2)</f>
        <v>3</v>
      </c>
      <c r="F1331" s="10" t="n">
        <f aca="false">WEEKNUM(A1331,2) - WEEKNUM(DATE(YEAR(A1331),MONTH(A1331),1),2) + 1</f>
        <v>1</v>
      </c>
      <c r="G1331" s="10"/>
      <c r="H1331" s="11" t="n">
        <v>500</v>
      </c>
      <c r="I1331" s="12" t="s">
        <v>20</v>
      </c>
      <c r="J1331" s="12" t="s">
        <v>51</v>
      </c>
      <c r="K1331" s="12"/>
      <c r="L1331" s="9" t="n">
        <f aca="false">L1330+H1331</f>
        <v>790</v>
      </c>
      <c r="M1331" s="10" t="str">
        <f aca="false">VLOOKUP(J1331,RECATALOGANDO!A:C,2,0)</f>
        <v>VENTA DE ALIMENTO</v>
      </c>
      <c r="N1331" s="12" t="str">
        <f aca="false">VLOOKUP(M1331,RECATALOGANDO!B:C,2,0)</f>
        <v>VENTA DE PRODUCTO</v>
      </c>
      <c r="O1331" s="2" t="s">
        <v>78</v>
      </c>
    </row>
    <row r="1332" customFormat="false" ht="13.8" hidden="false" customHeight="false" outlineLevel="0" collapsed="false">
      <c r="A1332" s="8" t="n">
        <v>45750</v>
      </c>
      <c r="B1332" s="9" t="n">
        <f aca="false">DAY(A1332)</f>
        <v>3</v>
      </c>
      <c r="C1332" s="9" t="n">
        <f aca="false">MONTH(A1332)</f>
        <v>4</v>
      </c>
      <c r="D1332" s="9" t="n">
        <f aca="false">YEAR(A1332)</f>
        <v>2025</v>
      </c>
      <c r="E1332" s="9" t="n">
        <f aca="false">WEEKDAY(A1332,2)</f>
        <v>4</v>
      </c>
      <c r="F1332" s="10" t="n">
        <f aca="false">WEEKNUM(A1332,2) - WEEKNUM(DATE(YEAR(A1332),MONTH(A1332),1),2) + 1</f>
        <v>1</v>
      </c>
      <c r="G1332" s="10"/>
      <c r="H1332" s="11" t="n">
        <v>1718</v>
      </c>
      <c r="I1332" s="12" t="s">
        <v>20</v>
      </c>
      <c r="J1332" s="12" t="s">
        <v>55</v>
      </c>
      <c r="K1332" s="12"/>
      <c r="L1332" s="9" t="n">
        <f aca="false">L1331+H1332</f>
        <v>2508</v>
      </c>
      <c r="M1332" s="10" t="str">
        <f aca="false">VLOOKUP(J1332,RECATALOGANDO!A:C,2,0)</f>
        <v>VENTA DE MEDICAMENTO</v>
      </c>
      <c r="N1332" s="12" t="str">
        <f aca="false">VLOOKUP(M1332,RECATALOGANDO!B:C,2,0)</f>
        <v>VENTA DE PRODUCTO</v>
      </c>
      <c r="O1332" s="2" t="s">
        <v>78</v>
      </c>
    </row>
    <row r="1333" customFormat="false" ht="13.8" hidden="false" customHeight="false" outlineLevel="0" collapsed="false">
      <c r="A1333" s="8" t="n">
        <v>45751</v>
      </c>
      <c r="B1333" s="9" t="n">
        <f aca="false">DAY(A1333)</f>
        <v>4</v>
      </c>
      <c r="C1333" s="9" t="n">
        <f aca="false">MONTH(A1333)</f>
        <v>4</v>
      </c>
      <c r="D1333" s="9" t="n">
        <f aca="false">YEAR(A1333)</f>
        <v>2025</v>
      </c>
      <c r="E1333" s="9" t="n">
        <f aca="false">WEEKDAY(A1333,2)</f>
        <v>5</v>
      </c>
      <c r="F1333" s="10" t="n">
        <f aca="false">WEEKNUM(A1333,2) - WEEKNUM(DATE(YEAR(A1333),MONTH(A1333),1),2) + 1</f>
        <v>1</v>
      </c>
      <c r="G1333" s="10"/>
      <c r="H1333" s="11" t="n">
        <v>250</v>
      </c>
      <c r="I1333" s="12" t="s">
        <v>20</v>
      </c>
      <c r="J1333" s="12" t="s">
        <v>74</v>
      </c>
      <c r="K1333" s="12"/>
      <c r="L1333" s="9" t="n">
        <f aca="false">L1332+H1333</f>
        <v>2758</v>
      </c>
      <c r="M1333" s="10" t="str">
        <f aca="false">VLOOKUP(J1333,RECATALOGANDO!A:C,2,0)</f>
        <v>VENTA DE ALIMENTO</v>
      </c>
      <c r="N1333" s="12" t="str">
        <f aca="false">VLOOKUP(M1333,RECATALOGANDO!B:C,2,0)</f>
        <v>VENTA DE PRODUCTO</v>
      </c>
      <c r="O1333" s="2" t="s">
        <v>78</v>
      </c>
    </row>
    <row r="1334" customFormat="false" ht="13.8" hidden="false" customHeight="false" outlineLevel="0" collapsed="false">
      <c r="A1334" s="8" t="n">
        <v>45754</v>
      </c>
      <c r="B1334" s="9" t="n">
        <f aca="false">DAY(A1334)</f>
        <v>7</v>
      </c>
      <c r="C1334" s="9" t="n">
        <f aca="false">MONTH(A1334)</f>
        <v>4</v>
      </c>
      <c r="D1334" s="9" t="n">
        <f aca="false">YEAR(A1334)</f>
        <v>2025</v>
      </c>
      <c r="E1334" s="9" t="n">
        <f aca="false">WEEKDAY(A1334,2)</f>
        <v>1</v>
      </c>
      <c r="F1334" s="10" t="n">
        <f aca="false">WEEKNUM(A1334,2) - WEEKNUM(DATE(YEAR(A1334),MONTH(A1334),1),2) + 1</f>
        <v>2</v>
      </c>
      <c r="G1334" s="10"/>
      <c r="H1334" s="11" t="n">
        <v>2738</v>
      </c>
      <c r="I1334" s="12" t="s">
        <v>20</v>
      </c>
      <c r="J1334" s="12" t="s">
        <v>55</v>
      </c>
      <c r="K1334" s="12"/>
      <c r="L1334" s="9" t="n">
        <f aca="false">L1333+H1334</f>
        <v>5496</v>
      </c>
      <c r="M1334" s="10" t="str">
        <f aca="false">VLOOKUP(J1334,RECATALOGANDO!A:C,2,0)</f>
        <v>VENTA DE MEDICAMENTO</v>
      </c>
      <c r="N1334" s="12" t="str">
        <f aca="false">VLOOKUP(M1334,RECATALOGANDO!B:C,2,0)</f>
        <v>VENTA DE PRODUCTO</v>
      </c>
      <c r="O1334" s="2" t="s">
        <v>78</v>
      </c>
    </row>
    <row r="1335" customFormat="false" ht="13.8" hidden="false" customHeight="false" outlineLevel="0" collapsed="false">
      <c r="A1335" s="8" t="n">
        <v>45754</v>
      </c>
      <c r="B1335" s="9" t="n">
        <f aca="false">DAY(A1335)</f>
        <v>7</v>
      </c>
      <c r="C1335" s="9" t="n">
        <f aca="false">MONTH(A1335)</f>
        <v>4</v>
      </c>
      <c r="D1335" s="9" t="n">
        <f aca="false">YEAR(A1335)</f>
        <v>2025</v>
      </c>
      <c r="E1335" s="9" t="n">
        <f aca="false">WEEKDAY(A1335,2)</f>
        <v>1</v>
      </c>
      <c r="F1335" s="10" t="n">
        <f aca="false">WEEKNUM(A1335,2) - WEEKNUM(DATE(YEAR(A1335),MONTH(A1335),1),2) + 1</f>
        <v>2</v>
      </c>
      <c r="G1335" s="10"/>
      <c r="H1335" s="11" t="n">
        <v>2890</v>
      </c>
      <c r="I1335" s="12" t="s">
        <v>20</v>
      </c>
      <c r="J1335" s="12" t="s">
        <v>51</v>
      </c>
      <c r="K1335" s="12"/>
      <c r="L1335" s="9" t="n">
        <f aca="false">L1334+H1335</f>
        <v>8386</v>
      </c>
      <c r="M1335" s="10" t="str">
        <f aca="false">VLOOKUP(J1335,RECATALOGANDO!A:C,2,0)</f>
        <v>VENTA DE ALIMENTO</v>
      </c>
      <c r="N1335" s="12" t="str">
        <f aca="false">VLOOKUP(M1335,RECATALOGANDO!B:C,2,0)</f>
        <v>VENTA DE PRODUCTO</v>
      </c>
      <c r="O1335" s="2" t="s">
        <v>78</v>
      </c>
    </row>
    <row r="1336" customFormat="false" ht="13.8" hidden="false" customHeight="false" outlineLevel="0" collapsed="false">
      <c r="A1336" s="8" t="n">
        <v>45754</v>
      </c>
      <c r="B1336" s="9" t="n">
        <f aca="false">DAY(A1336)</f>
        <v>7</v>
      </c>
      <c r="C1336" s="9" t="n">
        <f aca="false">MONTH(A1336)</f>
        <v>4</v>
      </c>
      <c r="D1336" s="9" t="n">
        <f aca="false">YEAR(A1336)</f>
        <v>2025</v>
      </c>
      <c r="E1336" s="9" t="n">
        <f aca="false">WEEKDAY(A1336,2)</f>
        <v>1</v>
      </c>
      <c r="F1336" s="10" t="n">
        <f aca="false">WEEKNUM(A1336,2) - WEEKNUM(DATE(YEAR(A1336),MONTH(A1336),1),2) + 1</f>
        <v>2</v>
      </c>
      <c r="G1336" s="10"/>
      <c r="H1336" s="11" t="n">
        <v>290</v>
      </c>
      <c r="I1336" s="12" t="s">
        <v>20</v>
      </c>
      <c r="J1336" s="12" t="s">
        <v>59</v>
      </c>
      <c r="K1336" s="12"/>
      <c r="L1336" s="9" t="n">
        <f aca="false">L1335+H1336</f>
        <v>8676</v>
      </c>
      <c r="M1336" s="10" t="str">
        <f aca="false">VLOOKUP(J1336,RECATALOGANDO!A:C,2,0)</f>
        <v>SERVICIO DE PENSION</v>
      </c>
      <c r="N1336" s="12" t="str">
        <f aca="false">VLOOKUP(M1336,RECATALOGANDO!B:C,2,0)</f>
        <v>VENTA DE SERVICIO</v>
      </c>
      <c r="O1336" s="2" t="s">
        <v>78</v>
      </c>
    </row>
    <row r="1337" customFormat="false" ht="13.8" hidden="false" customHeight="false" outlineLevel="0" collapsed="false">
      <c r="A1337" s="8" t="n">
        <v>45754</v>
      </c>
      <c r="B1337" s="9" t="n">
        <f aca="false">DAY(A1337)</f>
        <v>7</v>
      </c>
      <c r="C1337" s="9" t="n">
        <f aca="false">MONTH(A1337)</f>
        <v>4</v>
      </c>
      <c r="D1337" s="9" t="n">
        <f aca="false">YEAR(A1337)</f>
        <v>2025</v>
      </c>
      <c r="E1337" s="9" t="n">
        <f aca="false">WEEKDAY(A1337,2)</f>
        <v>1</v>
      </c>
      <c r="F1337" s="10" t="n">
        <f aca="false">WEEKNUM(A1337,2) - WEEKNUM(DATE(YEAR(A1337),MONTH(A1337),1),2) + 1</f>
        <v>2</v>
      </c>
      <c r="G1337" s="10"/>
      <c r="H1337" s="11" t="n">
        <v>975</v>
      </c>
      <c r="I1337" s="12" t="s">
        <v>20</v>
      </c>
      <c r="J1337" s="12" t="s">
        <v>57</v>
      </c>
      <c r="K1337" s="12"/>
      <c r="L1337" s="9" t="n">
        <f aca="false">L1336+H1337</f>
        <v>9651</v>
      </c>
      <c r="M1337" s="10" t="str">
        <f aca="false">VLOOKUP(J1337,RECATALOGANDO!A:C,2,0)</f>
        <v>SERVICIO DE CREMACION</v>
      </c>
      <c r="N1337" s="12" t="str">
        <f aca="false">VLOOKUP(M1337,RECATALOGANDO!B:C,2,0)</f>
        <v>VENTA DE SERVICIO</v>
      </c>
      <c r="O1337" s="2" t="s">
        <v>78</v>
      </c>
    </row>
    <row r="1338" customFormat="false" ht="13.8" hidden="false" customHeight="false" outlineLevel="0" collapsed="false">
      <c r="A1338" s="8" t="n">
        <v>45754</v>
      </c>
      <c r="B1338" s="9" t="n">
        <f aca="false">DAY(A1338)</f>
        <v>7</v>
      </c>
      <c r="C1338" s="9" t="n">
        <f aca="false">MONTH(A1338)</f>
        <v>4</v>
      </c>
      <c r="D1338" s="9" t="n">
        <f aca="false">YEAR(A1338)</f>
        <v>2025</v>
      </c>
      <c r="E1338" s="9" t="n">
        <f aca="false">WEEKDAY(A1338,2)</f>
        <v>1</v>
      </c>
      <c r="F1338" s="10" t="n">
        <f aca="false">WEEKNUM(A1338,2) - WEEKNUM(DATE(YEAR(A1338),MONTH(A1338),1),2) + 1</f>
        <v>2</v>
      </c>
      <c r="G1338" s="10"/>
      <c r="H1338" s="11" t="n">
        <v>3040</v>
      </c>
      <c r="I1338" s="12" t="s">
        <v>20</v>
      </c>
      <c r="J1338" s="12" t="s">
        <v>54</v>
      </c>
      <c r="K1338" s="12"/>
      <c r="L1338" s="9" t="n">
        <f aca="false">L1337+H1338</f>
        <v>12691</v>
      </c>
      <c r="M1338" s="10" t="str">
        <f aca="false">VLOOKUP(J1338,RECATALOGANDO!A:C,2,0)</f>
        <v>SERVICIO DE LABORATORIO</v>
      </c>
      <c r="N1338" s="12" t="str">
        <f aca="false">VLOOKUP(M1338,RECATALOGANDO!B:C,2,0)</f>
        <v>VENTA DE SERVICIO</v>
      </c>
      <c r="O1338" s="2" t="s">
        <v>78</v>
      </c>
    </row>
    <row r="1339" customFormat="false" ht="13.8" hidden="false" customHeight="false" outlineLevel="0" collapsed="false">
      <c r="A1339" s="8" t="n">
        <v>45756</v>
      </c>
      <c r="B1339" s="9" t="n">
        <f aca="false">DAY(A1339)</f>
        <v>9</v>
      </c>
      <c r="C1339" s="9" t="n">
        <f aca="false">MONTH(A1339)</f>
        <v>4</v>
      </c>
      <c r="D1339" s="9" t="n">
        <f aca="false">YEAR(A1339)</f>
        <v>2025</v>
      </c>
      <c r="E1339" s="9" t="n">
        <f aca="false">WEEKDAY(A1339,2)</f>
        <v>3</v>
      </c>
      <c r="F1339" s="10" t="n">
        <f aca="false">WEEKNUM(A1339,2) - WEEKNUM(DATE(YEAR(A1339),MONTH(A1339),1),2) + 1</f>
        <v>2</v>
      </c>
      <c r="G1339" s="10"/>
      <c r="H1339" s="11" t="n">
        <v>495</v>
      </c>
      <c r="I1339" s="12" t="s">
        <v>20</v>
      </c>
      <c r="J1339" s="12" t="s">
        <v>55</v>
      </c>
      <c r="K1339" s="12"/>
      <c r="L1339" s="9" t="n">
        <f aca="false">L1338+H1339</f>
        <v>13186</v>
      </c>
      <c r="M1339" s="10" t="str">
        <f aca="false">VLOOKUP(J1339,RECATALOGANDO!A:C,2,0)</f>
        <v>VENTA DE MEDICAMENTO</v>
      </c>
      <c r="N1339" s="12" t="str">
        <f aca="false">VLOOKUP(M1339,RECATALOGANDO!B:C,2,0)</f>
        <v>VENTA DE PRODUCTO</v>
      </c>
      <c r="O1339" s="2" t="s">
        <v>78</v>
      </c>
    </row>
    <row r="1340" customFormat="false" ht="13.8" hidden="false" customHeight="false" outlineLevel="0" collapsed="false">
      <c r="A1340" s="8" t="n">
        <v>45756</v>
      </c>
      <c r="B1340" s="9" t="n">
        <f aca="false">DAY(A1340)</f>
        <v>9</v>
      </c>
      <c r="C1340" s="9" t="n">
        <f aca="false">MONTH(A1340)</f>
        <v>4</v>
      </c>
      <c r="D1340" s="9" t="n">
        <f aca="false">YEAR(A1340)</f>
        <v>2025</v>
      </c>
      <c r="E1340" s="9" t="n">
        <f aca="false">WEEKDAY(A1340,2)</f>
        <v>3</v>
      </c>
      <c r="F1340" s="10" t="n">
        <f aca="false">WEEKNUM(A1340,2) - WEEKNUM(DATE(YEAR(A1340),MONTH(A1340),1),2) + 1</f>
        <v>2</v>
      </c>
      <c r="G1340" s="10"/>
      <c r="H1340" s="11" t="n">
        <v>710</v>
      </c>
      <c r="I1340" s="12" t="s">
        <v>20</v>
      </c>
      <c r="J1340" s="12" t="s">
        <v>49</v>
      </c>
      <c r="K1340" s="12"/>
      <c r="L1340" s="9" t="n">
        <f aca="false">L1339+H1340</f>
        <v>13896</v>
      </c>
      <c r="M1340" s="10" t="str">
        <f aca="false">VLOOKUP(J1340,RECATALOGANDO!A:C,2,0)</f>
        <v>SERVICIO DE GROOMING</v>
      </c>
      <c r="N1340" s="12" t="str">
        <f aca="false">VLOOKUP(M1340,RECATALOGANDO!B:C,2,0)</f>
        <v>VENTA DE SERVICIO</v>
      </c>
      <c r="O1340" s="2" t="s">
        <v>78</v>
      </c>
    </row>
    <row r="1341" customFormat="false" ht="13.8" hidden="false" customHeight="false" outlineLevel="0" collapsed="false">
      <c r="A1341" s="8" t="n">
        <v>45757</v>
      </c>
      <c r="B1341" s="9" t="n">
        <f aca="false">DAY(A1341)</f>
        <v>10</v>
      </c>
      <c r="C1341" s="9" t="n">
        <f aca="false">MONTH(A1341)</f>
        <v>4</v>
      </c>
      <c r="D1341" s="9" t="n">
        <f aca="false">YEAR(A1341)</f>
        <v>2025</v>
      </c>
      <c r="E1341" s="9" t="n">
        <f aca="false">WEEKDAY(A1341,2)</f>
        <v>4</v>
      </c>
      <c r="F1341" s="10" t="n">
        <f aca="false">WEEKNUM(A1341,2) - WEEKNUM(DATE(YEAR(A1341),MONTH(A1341),1),2) + 1</f>
        <v>2</v>
      </c>
      <c r="G1341" s="10"/>
      <c r="H1341" s="11" t="n">
        <v>300</v>
      </c>
      <c r="I1341" s="12" t="s">
        <v>20</v>
      </c>
      <c r="J1341" s="12" t="s">
        <v>55</v>
      </c>
      <c r="K1341" s="12"/>
      <c r="L1341" s="9" t="n">
        <f aca="false">L1340+H1341</f>
        <v>14196</v>
      </c>
      <c r="M1341" s="10" t="str">
        <f aca="false">VLOOKUP(J1341,RECATALOGANDO!A:C,2,0)</f>
        <v>VENTA DE MEDICAMENTO</v>
      </c>
      <c r="N1341" s="12" t="str">
        <f aca="false">VLOOKUP(M1341,RECATALOGANDO!B:C,2,0)</f>
        <v>VENTA DE PRODUCTO</v>
      </c>
      <c r="O1341" s="2" t="s">
        <v>78</v>
      </c>
    </row>
    <row r="1342" customFormat="false" ht="13.8" hidden="false" customHeight="false" outlineLevel="0" collapsed="false">
      <c r="A1342" s="8" t="n">
        <v>45758</v>
      </c>
      <c r="B1342" s="9" t="n">
        <f aca="false">DAY(A1342)</f>
        <v>11</v>
      </c>
      <c r="C1342" s="9" t="n">
        <f aca="false">MONTH(A1342)</f>
        <v>4</v>
      </c>
      <c r="D1342" s="9" t="n">
        <f aca="false">YEAR(A1342)</f>
        <v>2025</v>
      </c>
      <c r="E1342" s="9" t="n">
        <f aca="false">WEEKDAY(A1342,2)</f>
        <v>5</v>
      </c>
      <c r="F1342" s="10" t="n">
        <f aca="false">WEEKNUM(A1342,2) - WEEKNUM(DATE(YEAR(A1342),MONTH(A1342),1),2) + 1</f>
        <v>2</v>
      </c>
      <c r="G1342" s="10"/>
      <c r="H1342" s="11" t="n">
        <v>640</v>
      </c>
      <c r="I1342" s="12" t="s">
        <v>20</v>
      </c>
      <c r="J1342" s="12" t="s">
        <v>44</v>
      </c>
      <c r="K1342" s="12"/>
      <c r="L1342" s="9" t="n">
        <f aca="false">L1341+H1342</f>
        <v>14836</v>
      </c>
      <c r="M1342" s="10" t="str">
        <f aca="false">VLOOKUP(J1342,RECATALOGANDO!A:C,2,0)</f>
        <v>HONORARIOS MEDICOS</v>
      </c>
      <c r="N1342" s="12" t="str">
        <f aca="false">VLOOKUP(M1342,RECATALOGANDO!B:C,2,0)</f>
        <v>VENTA DE SERVICIO</v>
      </c>
      <c r="O1342" s="2" t="s">
        <v>78</v>
      </c>
    </row>
    <row r="1343" customFormat="false" ht="13.8" hidden="false" customHeight="false" outlineLevel="0" collapsed="false">
      <c r="A1343" s="8" t="n">
        <v>45761</v>
      </c>
      <c r="B1343" s="9" t="n">
        <f aca="false">DAY(A1343)</f>
        <v>14</v>
      </c>
      <c r="C1343" s="9" t="n">
        <f aca="false">MONTH(A1343)</f>
        <v>4</v>
      </c>
      <c r="D1343" s="9" t="n">
        <f aca="false">YEAR(A1343)</f>
        <v>2025</v>
      </c>
      <c r="E1343" s="9" t="n">
        <f aca="false">WEEKDAY(A1343,2)</f>
        <v>1</v>
      </c>
      <c r="F1343" s="10" t="n">
        <f aca="false">WEEKNUM(A1343,2) - WEEKNUM(DATE(YEAR(A1343),MONTH(A1343),1),2) + 1</f>
        <v>3</v>
      </c>
      <c r="G1343" s="10"/>
      <c r="H1343" s="11" t="n">
        <v>200</v>
      </c>
      <c r="I1343" s="12" t="s">
        <v>20</v>
      </c>
      <c r="J1343" s="12" t="s">
        <v>49</v>
      </c>
      <c r="K1343" s="12"/>
      <c r="L1343" s="9" t="n">
        <f aca="false">L1342+H1343</f>
        <v>15036</v>
      </c>
      <c r="M1343" s="10" t="str">
        <f aca="false">VLOOKUP(J1343,RECATALOGANDO!A:C,2,0)</f>
        <v>SERVICIO DE GROOMING</v>
      </c>
      <c r="N1343" s="12" t="str">
        <f aca="false">VLOOKUP(M1343,RECATALOGANDO!B:C,2,0)</f>
        <v>VENTA DE SERVICIO</v>
      </c>
      <c r="O1343" s="2" t="s">
        <v>78</v>
      </c>
    </row>
    <row r="1344" customFormat="false" ht="13.8" hidden="false" customHeight="false" outlineLevel="0" collapsed="false">
      <c r="A1344" s="8" t="n">
        <v>45761</v>
      </c>
      <c r="B1344" s="9" t="n">
        <f aca="false">DAY(A1344)</f>
        <v>14</v>
      </c>
      <c r="C1344" s="9" t="n">
        <f aca="false">MONTH(A1344)</f>
        <v>4</v>
      </c>
      <c r="D1344" s="9" t="n">
        <f aca="false">YEAR(A1344)</f>
        <v>2025</v>
      </c>
      <c r="E1344" s="9" t="n">
        <f aca="false">WEEKDAY(A1344,2)</f>
        <v>1</v>
      </c>
      <c r="F1344" s="10" t="n">
        <f aca="false">WEEKNUM(A1344,2) - WEEKNUM(DATE(YEAR(A1344),MONTH(A1344),1),2) + 1</f>
        <v>3</v>
      </c>
      <c r="G1344" s="10"/>
      <c r="H1344" s="11" t="n">
        <v>368</v>
      </c>
      <c r="I1344" s="12" t="s">
        <v>20</v>
      </c>
      <c r="J1344" s="12" t="s">
        <v>44</v>
      </c>
      <c r="K1344" s="12"/>
      <c r="L1344" s="9" t="n">
        <f aca="false">L1343+H1344</f>
        <v>15404</v>
      </c>
      <c r="M1344" s="10" t="str">
        <f aca="false">VLOOKUP(J1344,RECATALOGANDO!A:C,2,0)</f>
        <v>HONORARIOS MEDICOS</v>
      </c>
      <c r="N1344" s="12" t="str">
        <f aca="false">VLOOKUP(M1344,RECATALOGANDO!B:C,2,0)</f>
        <v>VENTA DE SERVICIO</v>
      </c>
      <c r="O1344" s="2" t="s">
        <v>78</v>
      </c>
    </row>
    <row r="1345" customFormat="false" ht="13.8" hidden="false" customHeight="false" outlineLevel="0" collapsed="false">
      <c r="A1345" s="8" t="n">
        <v>45761</v>
      </c>
      <c r="B1345" s="9" t="n">
        <f aca="false">DAY(A1345)</f>
        <v>14</v>
      </c>
      <c r="C1345" s="9" t="n">
        <f aca="false">MONTH(A1345)</f>
        <v>4</v>
      </c>
      <c r="D1345" s="9" t="n">
        <f aca="false">YEAR(A1345)</f>
        <v>2025</v>
      </c>
      <c r="E1345" s="9" t="n">
        <f aca="false">WEEKDAY(A1345,2)</f>
        <v>1</v>
      </c>
      <c r="F1345" s="10" t="n">
        <f aca="false">WEEKNUM(A1345,2) - WEEKNUM(DATE(YEAR(A1345),MONTH(A1345),1),2) + 1</f>
        <v>3</v>
      </c>
      <c r="G1345" s="10"/>
      <c r="H1345" s="11" t="n">
        <v>3620</v>
      </c>
      <c r="I1345" s="12" t="s">
        <v>20</v>
      </c>
      <c r="J1345" s="12" t="s">
        <v>44</v>
      </c>
      <c r="K1345" s="12"/>
      <c r="L1345" s="9" t="n">
        <f aca="false">L1344+H1345</f>
        <v>19024</v>
      </c>
      <c r="M1345" s="10" t="str">
        <f aca="false">VLOOKUP(J1345,RECATALOGANDO!A:C,2,0)</f>
        <v>HONORARIOS MEDICOS</v>
      </c>
      <c r="N1345" s="12" t="str">
        <f aca="false">VLOOKUP(M1345,RECATALOGANDO!B:C,2,0)</f>
        <v>VENTA DE SERVICIO</v>
      </c>
      <c r="O1345" s="2" t="s">
        <v>78</v>
      </c>
    </row>
    <row r="1346" customFormat="false" ht="13.8" hidden="false" customHeight="false" outlineLevel="0" collapsed="false">
      <c r="A1346" s="8" t="n">
        <v>45762</v>
      </c>
      <c r="B1346" s="9" t="n">
        <f aca="false">DAY(A1346)</f>
        <v>15</v>
      </c>
      <c r="C1346" s="9" t="n">
        <f aca="false">MONTH(A1346)</f>
        <v>4</v>
      </c>
      <c r="D1346" s="9" t="n">
        <f aca="false">YEAR(A1346)</f>
        <v>2025</v>
      </c>
      <c r="E1346" s="9" t="n">
        <f aca="false">WEEKDAY(A1346,2)</f>
        <v>2</v>
      </c>
      <c r="F1346" s="10" t="n">
        <f aca="false">WEEKNUM(A1346,2) - WEEKNUM(DATE(YEAR(A1346),MONTH(A1346),1),2) + 1</f>
        <v>3</v>
      </c>
      <c r="G1346" s="10" t="n">
        <v>1</v>
      </c>
      <c r="H1346" s="11" t="n">
        <v>100</v>
      </c>
      <c r="I1346" s="12" t="s">
        <v>20</v>
      </c>
      <c r="J1346" s="12" t="s">
        <v>49</v>
      </c>
      <c r="K1346" s="12"/>
      <c r="L1346" s="9" t="n">
        <f aca="false">L1345+H1346</f>
        <v>19124</v>
      </c>
      <c r="M1346" s="10" t="str">
        <f aca="false">VLOOKUP(J1346,RECATALOGANDO!A:C,2,0)</f>
        <v>SERVICIO DE GROOMING</v>
      </c>
      <c r="N1346" s="12" t="str">
        <f aca="false">VLOOKUP(M1346,RECATALOGANDO!B:C,2,0)</f>
        <v>VENTA DE SERVICIO</v>
      </c>
      <c r="O1346" s="2" t="s">
        <v>78</v>
      </c>
    </row>
    <row r="1347" customFormat="false" ht="13.8" hidden="false" customHeight="false" outlineLevel="0" collapsed="false">
      <c r="A1347" s="8" t="n">
        <v>45762</v>
      </c>
      <c r="B1347" s="9" t="n">
        <f aca="false">DAY(A1347)</f>
        <v>15</v>
      </c>
      <c r="C1347" s="9" t="n">
        <f aca="false">MONTH(A1347)</f>
        <v>4</v>
      </c>
      <c r="D1347" s="9" t="n">
        <f aca="false">YEAR(A1347)</f>
        <v>2025</v>
      </c>
      <c r="E1347" s="9" t="n">
        <f aca="false">WEEKDAY(A1347,2)</f>
        <v>2</v>
      </c>
      <c r="F1347" s="10" t="n">
        <f aca="false">WEEKNUM(A1347,2) - WEEKNUM(DATE(YEAR(A1347),MONTH(A1347),1),2) + 1</f>
        <v>3</v>
      </c>
      <c r="G1347" s="10" t="n">
        <v>1</v>
      </c>
      <c r="H1347" s="11" t="n">
        <v>330</v>
      </c>
      <c r="I1347" s="12" t="s">
        <v>20</v>
      </c>
      <c r="J1347" s="12" t="s">
        <v>49</v>
      </c>
      <c r="K1347" s="12"/>
      <c r="L1347" s="9" t="n">
        <f aca="false">L1346+H1347</f>
        <v>19454</v>
      </c>
      <c r="M1347" s="10" t="str">
        <f aca="false">VLOOKUP(J1347,RECATALOGANDO!A:C,2,0)</f>
        <v>SERVICIO DE GROOMING</v>
      </c>
      <c r="N1347" s="12" t="str">
        <f aca="false">VLOOKUP(M1347,RECATALOGANDO!B:C,2,0)</f>
        <v>VENTA DE SERVICIO</v>
      </c>
      <c r="O1347" s="2" t="s">
        <v>78</v>
      </c>
    </row>
    <row r="1348" customFormat="false" ht="13.8" hidden="false" customHeight="false" outlineLevel="0" collapsed="false">
      <c r="A1348" s="8" t="n">
        <v>45762</v>
      </c>
      <c r="B1348" s="9" t="n">
        <f aca="false">DAY(A1348)</f>
        <v>15</v>
      </c>
      <c r="C1348" s="9" t="n">
        <f aca="false">MONTH(A1348)</f>
        <v>4</v>
      </c>
      <c r="D1348" s="9" t="n">
        <f aca="false">YEAR(A1348)</f>
        <v>2025</v>
      </c>
      <c r="E1348" s="9" t="n">
        <f aca="false">WEEKDAY(A1348,2)</f>
        <v>2</v>
      </c>
      <c r="F1348" s="10" t="n">
        <f aca="false">WEEKNUM(A1348,2) - WEEKNUM(DATE(YEAR(A1348),MONTH(A1348),1),2) + 1</f>
        <v>3</v>
      </c>
      <c r="G1348" s="10" t="n">
        <v>1</v>
      </c>
      <c r="H1348" s="11" t="n">
        <v>700</v>
      </c>
      <c r="I1348" s="12" t="s">
        <v>20</v>
      </c>
      <c r="J1348" s="12" t="s">
        <v>49</v>
      </c>
      <c r="K1348" s="12"/>
      <c r="L1348" s="9" t="n">
        <f aca="false">L1347+H1348</f>
        <v>20154</v>
      </c>
      <c r="M1348" s="10" t="str">
        <f aca="false">VLOOKUP(J1348,RECATALOGANDO!A:C,2,0)</f>
        <v>SERVICIO DE GROOMING</v>
      </c>
      <c r="N1348" s="12" t="str">
        <f aca="false">VLOOKUP(M1348,RECATALOGANDO!B:C,2,0)</f>
        <v>VENTA DE SERVICIO</v>
      </c>
      <c r="O1348" s="2" t="s">
        <v>78</v>
      </c>
    </row>
    <row r="1349" customFormat="false" ht="13.8" hidden="false" customHeight="false" outlineLevel="0" collapsed="false">
      <c r="A1349" s="8" t="n">
        <v>45762</v>
      </c>
      <c r="B1349" s="9" t="n">
        <f aca="false">DAY(A1349)</f>
        <v>15</v>
      </c>
      <c r="C1349" s="9" t="n">
        <f aca="false">MONTH(A1349)</f>
        <v>4</v>
      </c>
      <c r="D1349" s="9" t="n">
        <f aca="false">YEAR(A1349)</f>
        <v>2025</v>
      </c>
      <c r="E1349" s="9" t="n">
        <f aca="false">WEEKDAY(A1349,2)</f>
        <v>2</v>
      </c>
      <c r="F1349" s="10" t="n">
        <f aca="false">WEEKNUM(A1349,2) - WEEKNUM(DATE(YEAR(A1349),MONTH(A1349),1),2) + 1</f>
        <v>3</v>
      </c>
      <c r="G1349" s="10" t="n">
        <v>1</v>
      </c>
      <c r="H1349" s="11" t="n">
        <v>2528</v>
      </c>
      <c r="I1349" s="12" t="s">
        <v>20</v>
      </c>
      <c r="J1349" s="12" t="s">
        <v>64</v>
      </c>
      <c r="K1349" s="12"/>
      <c r="L1349" s="9" t="n">
        <f aca="false">L1348+H1349</f>
        <v>22682</v>
      </c>
      <c r="M1349" s="10" t="str">
        <f aca="false">VLOOKUP(J1349,RECATALOGANDO!A:C,2,0)</f>
        <v>HONORARIOS QUIRURGICOS</v>
      </c>
      <c r="N1349" s="12" t="str">
        <f aca="false">VLOOKUP(M1349,RECATALOGANDO!B:C,2,0)</f>
        <v>VENTA DE SERVICIO</v>
      </c>
      <c r="O1349" s="2" t="s">
        <v>78</v>
      </c>
    </row>
    <row r="1350" customFormat="false" ht="13.8" hidden="false" customHeight="false" outlineLevel="0" collapsed="false">
      <c r="A1350" s="8" t="n">
        <v>45763</v>
      </c>
      <c r="B1350" s="9" t="n">
        <f aca="false">DAY(A1350)</f>
        <v>16</v>
      </c>
      <c r="C1350" s="9" t="n">
        <f aca="false">MONTH(A1350)</f>
        <v>4</v>
      </c>
      <c r="D1350" s="9" t="n">
        <f aca="false">YEAR(A1350)</f>
        <v>2025</v>
      </c>
      <c r="E1350" s="9" t="n">
        <f aca="false">WEEKDAY(A1350,2)</f>
        <v>3</v>
      </c>
      <c r="F1350" s="10" t="n">
        <f aca="false">WEEKNUM(A1350,2) - WEEKNUM(DATE(YEAR(A1350),MONTH(A1350),1),2) + 1</f>
        <v>3</v>
      </c>
      <c r="G1350" s="10"/>
      <c r="H1350" s="11" t="n">
        <v>460</v>
      </c>
      <c r="I1350" s="12" t="s">
        <v>20</v>
      </c>
      <c r="J1350" s="12" t="s">
        <v>55</v>
      </c>
      <c r="K1350" s="12"/>
      <c r="L1350" s="9" t="n">
        <f aca="false">L1349+H1350</f>
        <v>23142</v>
      </c>
      <c r="M1350" s="10" t="str">
        <f aca="false">VLOOKUP(J1350,RECATALOGANDO!A:C,2,0)</f>
        <v>VENTA DE MEDICAMENTO</v>
      </c>
      <c r="N1350" s="12" t="str">
        <f aca="false">VLOOKUP(M1350,RECATALOGANDO!B:C,2,0)</f>
        <v>VENTA DE PRODUCTO</v>
      </c>
      <c r="O1350" s="2" t="s">
        <v>78</v>
      </c>
    </row>
    <row r="1351" customFormat="false" ht="13.8" hidden="false" customHeight="false" outlineLevel="0" collapsed="false">
      <c r="A1351" s="8" t="n">
        <v>45763</v>
      </c>
      <c r="B1351" s="9" t="n">
        <f aca="false">DAY(A1351)</f>
        <v>16</v>
      </c>
      <c r="C1351" s="9" t="n">
        <f aca="false">MONTH(A1351)</f>
        <v>4</v>
      </c>
      <c r="D1351" s="9" t="n">
        <f aca="false">YEAR(A1351)</f>
        <v>2025</v>
      </c>
      <c r="E1351" s="9" t="n">
        <f aca="false">WEEKDAY(A1351,2)</f>
        <v>3</v>
      </c>
      <c r="F1351" s="10" t="n">
        <f aca="false">WEEKNUM(A1351,2) - WEEKNUM(DATE(YEAR(A1351),MONTH(A1351),1),2) + 1</f>
        <v>3</v>
      </c>
      <c r="G1351" s="10"/>
      <c r="H1351" s="11" t="n">
        <v>5430</v>
      </c>
      <c r="I1351" s="12" t="s">
        <v>20</v>
      </c>
      <c r="J1351" s="12" t="s">
        <v>55</v>
      </c>
      <c r="K1351" s="12"/>
      <c r="L1351" s="9" t="n">
        <f aca="false">L1350+H1351</f>
        <v>28572</v>
      </c>
      <c r="M1351" s="10" t="str">
        <f aca="false">VLOOKUP(J1351,RECATALOGANDO!A:C,2,0)</f>
        <v>VENTA DE MEDICAMENTO</v>
      </c>
      <c r="N1351" s="12" t="str">
        <f aca="false">VLOOKUP(M1351,RECATALOGANDO!B:C,2,0)</f>
        <v>VENTA DE PRODUCTO</v>
      </c>
      <c r="O1351" s="2" t="s">
        <v>78</v>
      </c>
    </row>
    <row r="1352" customFormat="false" ht="13.8" hidden="false" customHeight="false" outlineLevel="0" collapsed="false">
      <c r="A1352" s="8" t="n">
        <v>45763</v>
      </c>
      <c r="B1352" s="9" t="n">
        <f aca="false">DAY(A1352)</f>
        <v>16</v>
      </c>
      <c r="C1352" s="9" t="n">
        <f aca="false">MONTH(A1352)</f>
        <v>4</v>
      </c>
      <c r="D1352" s="9" t="n">
        <f aca="false">YEAR(A1352)</f>
        <v>2025</v>
      </c>
      <c r="E1352" s="9" t="n">
        <f aca="false">WEEKDAY(A1352,2)</f>
        <v>3</v>
      </c>
      <c r="F1352" s="10" t="n">
        <f aca="false">WEEKNUM(A1352,2) - WEEKNUM(DATE(YEAR(A1352),MONTH(A1352),1),2) + 1</f>
        <v>3</v>
      </c>
      <c r="G1352" s="10"/>
      <c r="H1352" s="11" t="n">
        <v>960</v>
      </c>
      <c r="I1352" s="12" t="s">
        <v>20</v>
      </c>
      <c r="J1352" s="12" t="s">
        <v>54</v>
      </c>
      <c r="K1352" s="12"/>
      <c r="L1352" s="9" t="n">
        <f aca="false">L1351+H1352</f>
        <v>29532</v>
      </c>
      <c r="M1352" s="10" t="str">
        <f aca="false">VLOOKUP(J1352,RECATALOGANDO!A:C,2,0)</f>
        <v>SERVICIO DE LABORATORIO</v>
      </c>
      <c r="N1352" s="12" t="str">
        <f aca="false">VLOOKUP(M1352,RECATALOGANDO!B:C,2,0)</f>
        <v>VENTA DE SERVICIO</v>
      </c>
      <c r="O1352" s="2" t="s">
        <v>78</v>
      </c>
    </row>
    <row r="1353" customFormat="false" ht="13.8" hidden="false" customHeight="false" outlineLevel="0" collapsed="false">
      <c r="A1353" s="8" t="n">
        <v>45763</v>
      </c>
      <c r="B1353" s="9" t="n">
        <f aca="false">DAY(A1353)</f>
        <v>16</v>
      </c>
      <c r="C1353" s="9" t="n">
        <f aca="false">MONTH(A1353)</f>
        <v>4</v>
      </c>
      <c r="D1353" s="9" t="n">
        <f aca="false">YEAR(A1353)</f>
        <v>2025</v>
      </c>
      <c r="E1353" s="9" t="n">
        <f aca="false">WEEKDAY(A1353,2)</f>
        <v>3</v>
      </c>
      <c r="F1353" s="10" t="n">
        <f aca="false">WEEKNUM(A1353,2) - WEEKNUM(DATE(YEAR(A1353),MONTH(A1353),1),2) + 1</f>
        <v>3</v>
      </c>
      <c r="G1353" s="10"/>
      <c r="H1353" s="11" t="n">
        <v>1920</v>
      </c>
      <c r="I1353" s="12" t="s">
        <v>20</v>
      </c>
      <c r="J1353" s="12" t="s">
        <v>64</v>
      </c>
      <c r="K1353" s="12"/>
      <c r="L1353" s="9" t="n">
        <f aca="false">L1352+H1353</f>
        <v>31452</v>
      </c>
      <c r="M1353" s="10" t="str">
        <f aca="false">VLOOKUP(J1353,RECATALOGANDO!A:C,2,0)</f>
        <v>HONORARIOS QUIRURGICOS</v>
      </c>
      <c r="N1353" s="12" t="str">
        <f aca="false">VLOOKUP(M1353,RECATALOGANDO!B:C,2,0)</f>
        <v>VENTA DE SERVICIO</v>
      </c>
      <c r="O1353" s="2" t="s">
        <v>78</v>
      </c>
    </row>
    <row r="1354" customFormat="false" ht="13.8" hidden="false" customHeight="false" outlineLevel="0" collapsed="false">
      <c r="A1354" s="8" t="n">
        <v>45768</v>
      </c>
      <c r="B1354" s="9" t="n">
        <f aca="false">DAY(A1354)</f>
        <v>21</v>
      </c>
      <c r="C1354" s="9" t="n">
        <f aca="false">MONTH(A1354)</f>
        <v>4</v>
      </c>
      <c r="D1354" s="9" t="n">
        <f aca="false">YEAR(A1354)</f>
        <v>2025</v>
      </c>
      <c r="E1354" s="9" t="n">
        <f aca="false">WEEKDAY(A1354,2)</f>
        <v>1</v>
      </c>
      <c r="F1354" s="10" t="n">
        <f aca="false">WEEKNUM(A1354,2) - WEEKNUM(DATE(YEAR(A1354),MONTH(A1354),1),2) + 1</f>
        <v>4</v>
      </c>
      <c r="G1354" s="10"/>
      <c r="H1354" s="11" t="n">
        <v>333</v>
      </c>
      <c r="I1354" s="12" t="s">
        <v>20</v>
      </c>
      <c r="J1354" s="12" t="s">
        <v>51</v>
      </c>
      <c r="K1354" s="12"/>
      <c r="L1354" s="9" t="n">
        <f aca="false">L1353+H1354</f>
        <v>31785</v>
      </c>
      <c r="M1354" s="10" t="str">
        <f aca="false">VLOOKUP(J1354,RECATALOGANDO!A:C,2,0)</f>
        <v>VENTA DE ALIMENTO</v>
      </c>
      <c r="N1354" s="12" t="str">
        <f aca="false">VLOOKUP(M1354,RECATALOGANDO!B:C,2,0)</f>
        <v>VENTA DE PRODUCTO</v>
      </c>
      <c r="O1354" s="2" t="s">
        <v>78</v>
      </c>
    </row>
    <row r="1355" customFormat="false" ht="13.8" hidden="false" customHeight="false" outlineLevel="0" collapsed="false">
      <c r="A1355" s="8" t="n">
        <v>45768</v>
      </c>
      <c r="B1355" s="9" t="n">
        <f aca="false">DAY(A1355)</f>
        <v>21</v>
      </c>
      <c r="C1355" s="9" t="n">
        <f aca="false">MONTH(A1355)</f>
        <v>4</v>
      </c>
      <c r="D1355" s="9" t="n">
        <f aca="false">YEAR(A1355)</f>
        <v>2025</v>
      </c>
      <c r="E1355" s="9" t="n">
        <f aca="false">WEEKDAY(A1355,2)</f>
        <v>1</v>
      </c>
      <c r="F1355" s="10" t="n">
        <f aca="false">WEEKNUM(A1355,2) - WEEKNUM(DATE(YEAR(A1355),MONTH(A1355),1),2) + 1</f>
        <v>4</v>
      </c>
      <c r="G1355" s="10"/>
      <c r="H1355" s="11" t="n">
        <v>1735</v>
      </c>
      <c r="I1355" s="12" t="s">
        <v>20</v>
      </c>
      <c r="J1355" s="12" t="s">
        <v>75</v>
      </c>
      <c r="K1355" s="12"/>
      <c r="L1355" s="9" t="n">
        <f aca="false">L1354+H1355</f>
        <v>33520</v>
      </c>
      <c r="M1355" s="10" t="str">
        <f aca="false">VLOOKUP(J1355,RECATALOGANDO!A:C,2,0)</f>
        <v>SERVICIO DE PENSION</v>
      </c>
      <c r="N1355" s="12" t="str">
        <f aca="false">VLOOKUP(M1355,RECATALOGANDO!B:C,2,0)</f>
        <v>VENTA DE SERVICIO</v>
      </c>
      <c r="O1355" s="2" t="s">
        <v>78</v>
      </c>
    </row>
    <row r="1356" customFormat="false" ht="13.8" hidden="false" customHeight="false" outlineLevel="0" collapsed="false">
      <c r="A1356" s="8" t="n">
        <v>45769</v>
      </c>
      <c r="B1356" s="9" t="n">
        <f aca="false">DAY(A1356)</f>
        <v>22</v>
      </c>
      <c r="C1356" s="9" t="n">
        <f aca="false">MONTH(A1356)</f>
        <v>4</v>
      </c>
      <c r="D1356" s="9" t="n">
        <f aca="false">YEAR(A1356)</f>
        <v>2025</v>
      </c>
      <c r="E1356" s="9" t="n">
        <f aca="false">WEEKDAY(A1356,2)</f>
        <v>2</v>
      </c>
      <c r="F1356" s="10" t="n">
        <f aca="false">WEEKNUM(A1356,2) - WEEKNUM(DATE(YEAR(A1356),MONTH(A1356),1),2) + 1</f>
        <v>4</v>
      </c>
      <c r="G1356" s="10"/>
      <c r="H1356" s="11" t="n">
        <v>350</v>
      </c>
      <c r="I1356" s="12" t="s">
        <v>20</v>
      </c>
      <c r="J1356" s="12" t="s">
        <v>51</v>
      </c>
      <c r="K1356" s="12"/>
      <c r="L1356" s="9" t="n">
        <f aca="false">L1355+H1356</f>
        <v>33870</v>
      </c>
      <c r="M1356" s="10" t="str">
        <f aca="false">VLOOKUP(J1356,RECATALOGANDO!A:C,2,0)</f>
        <v>VENTA DE ALIMENTO</v>
      </c>
      <c r="N1356" s="12" t="str">
        <f aca="false">VLOOKUP(M1356,RECATALOGANDO!B:C,2,0)</f>
        <v>VENTA DE PRODUCTO</v>
      </c>
      <c r="O1356" s="2" t="s">
        <v>78</v>
      </c>
    </row>
    <row r="1357" customFormat="false" ht="13.8" hidden="false" customHeight="false" outlineLevel="0" collapsed="false">
      <c r="A1357" s="8" t="n">
        <v>45769</v>
      </c>
      <c r="B1357" s="9" t="n">
        <f aca="false">DAY(A1357)</f>
        <v>22</v>
      </c>
      <c r="C1357" s="9" t="n">
        <f aca="false">MONTH(A1357)</f>
        <v>4</v>
      </c>
      <c r="D1357" s="9" t="n">
        <f aca="false">YEAR(A1357)</f>
        <v>2025</v>
      </c>
      <c r="E1357" s="9" t="n">
        <f aca="false">WEEKDAY(A1357,2)</f>
        <v>2</v>
      </c>
      <c r="F1357" s="10" t="n">
        <f aca="false">WEEKNUM(A1357,2) - WEEKNUM(DATE(YEAR(A1357),MONTH(A1357),1),2) + 1</f>
        <v>4</v>
      </c>
      <c r="G1357" s="10"/>
      <c r="H1357" s="11" t="n">
        <v>1003</v>
      </c>
      <c r="I1357" s="12" t="s">
        <v>20</v>
      </c>
      <c r="J1357" s="12" t="s">
        <v>55</v>
      </c>
      <c r="K1357" s="12"/>
      <c r="L1357" s="9" t="n">
        <f aca="false">L1356+H1357</f>
        <v>34873</v>
      </c>
      <c r="M1357" s="10" t="str">
        <f aca="false">VLOOKUP(J1357,RECATALOGANDO!A:C,2,0)</f>
        <v>VENTA DE MEDICAMENTO</v>
      </c>
      <c r="N1357" s="12" t="str">
        <f aca="false">VLOOKUP(M1357,RECATALOGANDO!B:C,2,0)</f>
        <v>VENTA DE PRODUCTO</v>
      </c>
      <c r="O1357" s="2" t="s">
        <v>78</v>
      </c>
    </row>
    <row r="1358" customFormat="false" ht="13.8" hidden="false" customHeight="false" outlineLevel="0" collapsed="false">
      <c r="A1358" s="8" t="n">
        <v>45769</v>
      </c>
      <c r="B1358" s="9" t="n">
        <f aca="false">DAY(A1358)</f>
        <v>22</v>
      </c>
      <c r="C1358" s="9" t="n">
        <f aca="false">MONTH(A1358)</f>
        <v>4</v>
      </c>
      <c r="D1358" s="9" t="n">
        <f aca="false">YEAR(A1358)</f>
        <v>2025</v>
      </c>
      <c r="E1358" s="9" t="n">
        <f aca="false">WEEKDAY(A1358,2)</f>
        <v>2</v>
      </c>
      <c r="F1358" s="10" t="n">
        <f aca="false">WEEKNUM(A1358,2) - WEEKNUM(DATE(YEAR(A1358),MONTH(A1358),1),2) + 1</f>
        <v>4</v>
      </c>
      <c r="G1358" s="10"/>
      <c r="H1358" s="11" t="n">
        <v>290</v>
      </c>
      <c r="I1358" s="12" t="s">
        <v>20</v>
      </c>
      <c r="J1358" s="12" t="s">
        <v>49</v>
      </c>
      <c r="K1358" s="12"/>
      <c r="L1358" s="9" t="n">
        <f aca="false">L1357+H1358</f>
        <v>35163</v>
      </c>
      <c r="M1358" s="10" t="str">
        <f aca="false">VLOOKUP(J1358,RECATALOGANDO!A:C,2,0)</f>
        <v>SERVICIO DE GROOMING</v>
      </c>
      <c r="N1358" s="12" t="str">
        <f aca="false">VLOOKUP(M1358,RECATALOGANDO!B:C,2,0)</f>
        <v>VENTA DE SERVICIO</v>
      </c>
      <c r="O1358" s="2" t="s">
        <v>78</v>
      </c>
    </row>
    <row r="1359" customFormat="false" ht="13.8" hidden="false" customHeight="false" outlineLevel="0" collapsed="false">
      <c r="A1359" s="8" t="n">
        <v>45769</v>
      </c>
      <c r="B1359" s="9" t="n">
        <f aca="false">DAY(A1359)</f>
        <v>22</v>
      </c>
      <c r="C1359" s="9" t="n">
        <f aca="false">MONTH(A1359)</f>
        <v>4</v>
      </c>
      <c r="D1359" s="9" t="n">
        <f aca="false">YEAR(A1359)</f>
        <v>2025</v>
      </c>
      <c r="E1359" s="9" t="n">
        <f aca="false">WEEKDAY(A1359,2)</f>
        <v>2</v>
      </c>
      <c r="F1359" s="10" t="n">
        <f aca="false">WEEKNUM(A1359,2) - WEEKNUM(DATE(YEAR(A1359),MONTH(A1359),1),2) + 1</f>
        <v>4</v>
      </c>
      <c r="G1359" s="10"/>
      <c r="H1359" s="11" t="n">
        <v>3210</v>
      </c>
      <c r="I1359" s="12" t="s">
        <v>20</v>
      </c>
      <c r="J1359" s="12" t="s">
        <v>59</v>
      </c>
      <c r="K1359" s="12"/>
      <c r="L1359" s="9" t="n">
        <f aca="false">L1358+H1359</f>
        <v>38373</v>
      </c>
      <c r="M1359" s="10" t="str">
        <f aca="false">VLOOKUP(J1359,RECATALOGANDO!A:C,2,0)</f>
        <v>SERVICIO DE PENSION</v>
      </c>
      <c r="N1359" s="12" t="str">
        <f aca="false">VLOOKUP(M1359,RECATALOGANDO!B:C,2,0)</f>
        <v>VENTA DE SERVICIO</v>
      </c>
      <c r="O1359" s="2" t="s">
        <v>78</v>
      </c>
    </row>
    <row r="1360" customFormat="false" ht="13.8" hidden="false" customHeight="false" outlineLevel="0" collapsed="false">
      <c r="A1360" s="8" t="n">
        <v>45770</v>
      </c>
      <c r="B1360" s="9" t="n">
        <f aca="false">DAY(A1360)</f>
        <v>23</v>
      </c>
      <c r="C1360" s="9" t="n">
        <f aca="false">MONTH(A1360)</f>
        <v>4</v>
      </c>
      <c r="D1360" s="9" t="n">
        <f aca="false">YEAR(A1360)</f>
        <v>2025</v>
      </c>
      <c r="E1360" s="9" t="n">
        <f aca="false">WEEKDAY(A1360,2)</f>
        <v>3</v>
      </c>
      <c r="F1360" s="10" t="n">
        <f aca="false">WEEKNUM(A1360,2) - WEEKNUM(DATE(YEAR(A1360),MONTH(A1360),1),2) + 1</f>
        <v>4</v>
      </c>
      <c r="G1360" s="10"/>
      <c r="H1360" s="11" t="n">
        <v>380</v>
      </c>
      <c r="I1360" s="12" t="s">
        <v>20</v>
      </c>
      <c r="J1360" s="12" t="s">
        <v>54</v>
      </c>
      <c r="K1360" s="12"/>
      <c r="L1360" s="9" t="n">
        <f aca="false">L1359+H1360</f>
        <v>38753</v>
      </c>
      <c r="M1360" s="10" t="str">
        <f aca="false">VLOOKUP(J1360,RECATALOGANDO!A:C,2,0)</f>
        <v>SERVICIO DE LABORATORIO</v>
      </c>
      <c r="N1360" s="12" t="str">
        <f aca="false">VLOOKUP(M1360,RECATALOGANDO!B:C,2,0)</f>
        <v>VENTA DE SERVICIO</v>
      </c>
      <c r="O1360" s="2" t="s">
        <v>78</v>
      </c>
    </row>
    <row r="1361" customFormat="false" ht="13.8" hidden="false" customHeight="false" outlineLevel="0" collapsed="false">
      <c r="A1361" s="8" t="n">
        <v>45770</v>
      </c>
      <c r="B1361" s="9" t="n">
        <f aca="false">DAY(A1361)</f>
        <v>23</v>
      </c>
      <c r="C1361" s="9" t="n">
        <f aca="false">MONTH(A1361)</f>
        <v>4</v>
      </c>
      <c r="D1361" s="9" t="n">
        <f aca="false">YEAR(A1361)</f>
        <v>2025</v>
      </c>
      <c r="E1361" s="9" t="n">
        <f aca="false">WEEKDAY(A1361,2)</f>
        <v>3</v>
      </c>
      <c r="F1361" s="10" t="n">
        <f aca="false">WEEKNUM(A1361,2) - WEEKNUM(DATE(YEAR(A1361),MONTH(A1361),1),2) + 1</f>
        <v>4</v>
      </c>
      <c r="G1361" s="10"/>
      <c r="H1361" s="11" t="n">
        <v>4660</v>
      </c>
      <c r="I1361" s="12" t="s">
        <v>20</v>
      </c>
      <c r="J1361" s="12" t="s">
        <v>59</v>
      </c>
      <c r="K1361" s="12"/>
      <c r="L1361" s="9" t="n">
        <f aca="false">L1360+H1361</f>
        <v>43413</v>
      </c>
      <c r="M1361" s="10" t="str">
        <f aca="false">VLOOKUP(J1361,RECATALOGANDO!A:C,2,0)</f>
        <v>SERVICIO DE PENSION</v>
      </c>
      <c r="N1361" s="12" t="str">
        <f aca="false">VLOOKUP(M1361,RECATALOGANDO!B:C,2,0)</f>
        <v>VENTA DE SERVICIO</v>
      </c>
      <c r="O1361" s="2" t="s">
        <v>78</v>
      </c>
    </row>
    <row r="1362" customFormat="false" ht="13.8" hidden="false" customHeight="false" outlineLevel="0" collapsed="false">
      <c r="A1362" s="8" t="n">
        <v>45772</v>
      </c>
      <c r="B1362" s="9" t="n">
        <f aca="false">DAY(A1362)</f>
        <v>25</v>
      </c>
      <c r="C1362" s="9" t="n">
        <f aca="false">MONTH(A1362)</f>
        <v>4</v>
      </c>
      <c r="D1362" s="9" t="n">
        <f aca="false">YEAR(A1362)</f>
        <v>2025</v>
      </c>
      <c r="E1362" s="9" t="n">
        <f aca="false">WEEKDAY(A1362,2)</f>
        <v>5</v>
      </c>
      <c r="F1362" s="10" t="n">
        <f aca="false">WEEKNUM(A1362,2) - WEEKNUM(DATE(YEAR(A1362),MONTH(A1362),1),2) + 1</f>
        <v>4</v>
      </c>
      <c r="G1362" s="10"/>
      <c r="H1362" s="11" t="n">
        <v>699</v>
      </c>
      <c r="I1362" s="12" t="s">
        <v>20</v>
      </c>
      <c r="J1362" s="12" t="s">
        <v>55</v>
      </c>
      <c r="K1362" s="12"/>
      <c r="L1362" s="9" t="n">
        <f aca="false">L1361+H1362</f>
        <v>44112</v>
      </c>
      <c r="M1362" s="10" t="str">
        <f aca="false">VLOOKUP(J1362,RECATALOGANDO!A:C,2,0)</f>
        <v>VENTA DE MEDICAMENTO</v>
      </c>
      <c r="N1362" s="12" t="str">
        <f aca="false">VLOOKUP(M1362,RECATALOGANDO!B:C,2,0)</f>
        <v>VENTA DE PRODUCTO</v>
      </c>
      <c r="O1362" s="2" t="s">
        <v>78</v>
      </c>
    </row>
    <row r="1363" customFormat="false" ht="13.8" hidden="false" customHeight="false" outlineLevel="0" collapsed="false">
      <c r="A1363" s="8" t="n">
        <v>45772</v>
      </c>
      <c r="B1363" s="9" t="n">
        <f aca="false">DAY(A1363)</f>
        <v>25</v>
      </c>
      <c r="C1363" s="9" t="n">
        <f aca="false">MONTH(A1363)</f>
        <v>4</v>
      </c>
      <c r="D1363" s="9" t="n">
        <f aca="false">YEAR(A1363)</f>
        <v>2025</v>
      </c>
      <c r="E1363" s="9" t="n">
        <f aca="false">WEEKDAY(A1363,2)</f>
        <v>5</v>
      </c>
      <c r="F1363" s="10" t="n">
        <f aca="false">WEEKNUM(A1363,2) - WEEKNUM(DATE(YEAR(A1363),MONTH(A1363),1),2) + 1</f>
        <v>4</v>
      </c>
      <c r="G1363" s="10"/>
      <c r="H1363" s="11" t="n">
        <v>180</v>
      </c>
      <c r="I1363" s="12" t="s">
        <v>20</v>
      </c>
      <c r="J1363" s="12" t="s">
        <v>49</v>
      </c>
      <c r="K1363" s="12"/>
      <c r="L1363" s="9" t="n">
        <f aca="false">L1362+H1363</f>
        <v>44292</v>
      </c>
      <c r="M1363" s="10" t="str">
        <f aca="false">VLOOKUP(J1363,RECATALOGANDO!A:C,2,0)</f>
        <v>SERVICIO DE GROOMING</v>
      </c>
      <c r="N1363" s="12" t="str">
        <f aca="false">VLOOKUP(M1363,RECATALOGANDO!B:C,2,0)</f>
        <v>VENTA DE SERVICIO</v>
      </c>
      <c r="O1363" s="2" t="s">
        <v>78</v>
      </c>
    </row>
    <row r="1364" customFormat="false" ht="13.8" hidden="false" customHeight="false" outlineLevel="0" collapsed="false">
      <c r="A1364" s="8" t="n">
        <v>45772</v>
      </c>
      <c r="B1364" s="9" t="n">
        <f aca="false">DAY(A1364)</f>
        <v>25</v>
      </c>
      <c r="C1364" s="9" t="n">
        <f aca="false">MONTH(A1364)</f>
        <v>4</v>
      </c>
      <c r="D1364" s="9" t="n">
        <f aca="false">YEAR(A1364)</f>
        <v>2025</v>
      </c>
      <c r="E1364" s="9" t="n">
        <f aca="false">WEEKDAY(A1364,2)</f>
        <v>5</v>
      </c>
      <c r="F1364" s="10" t="n">
        <f aca="false">WEEKNUM(A1364,2) - WEEKNUM(DATE(YEAR(A1364),MONTH(A1364),1),2) + 1</f>
        <v>4</v>
      </c>
      <c r="G1364" s="10"/>
      <c r="H1364" s="11" t="n">
        <v>290</v>
      </c>
      <c r="I1364" s="12" t="s">
        <v>20</v>
      </c>
      <c r="J1364" s="12" t="s">
        <v>44</v>
      </c>
      <c r="K1364" s="12"/>
      <c r="L1364" s="9" t="n">
        <f aca="false">L1363+H1364</f>
        <v>44582</v>
      </c>
      <c r="M1364" s="10" t="str">
        <f aca="false">VLOOKUP(J1364,RECATALOGANDO!A:C,2,0)</f>
        <v>HONORARIOS MEDICOS</v>
      </c>
      <c r="N1364" s="12" t="str">
        <f aca="false">VLOOKUP(M1364,RECATALOGANDO!B:C,2,0)</f>
        <v>VENTA DE SERVICIO</v>
      </c>
      <c r="O1364" s="2" t="s">
        <v>78</v>
      </c>
    </row>
    <row r="1365" customFormat="false" ht="13.8" hidden="false" customHeight="false" outlineLevel="0" collapsed="false">
      <c r="A1365" s="8" t="n">
        <v>45779</v>
      </c>
      <c r="B1365" s="9" t="n">
        <f aca="false">DAY(A1365)</f>
        <v>2</v>
      </c>
      <c r="C1365" s="9" t="n">
        <f aca="false">MONTH(A1365)</f>
        <v>5</v>
      </c>
      <c r="D1365" s="9" t="n">
        <f aca="false">YEAR(A1365)</f>
        <v>2025</v>
      </c>
      <c r="E1365" s="9" t="n">
        <f aca="false">WEEKDAY(A1365,2)</f>
        <v>5</v>
      </c>
      <c r="F1365" s="10" t="n">
        <f aca="false">WEEKNUM(A1365,2) - WEEKNUM(DATE(YEAR(A1365),MONTH(A1365),1),2) + 1</f>
        <v>1</v>
      </c>
      <c r="G1365" s="10"/>
      <c r="H1365" s="11" t="n">
        <v>290</v>
      </c>
      <c r="I1365" s="12" t="s">
        <v>20</v>
      </c>
      <c r="J1365" s="12" t="s">
        <v>45</v>
      </c>
      <c r="K1365" s="12"/>
      <c r="L1365" s="9" t="n">
        <f aca="false">H1365</f>
        <v>290</v>
      </c>
      <c r="M1365" s="10" t="str">
        <f aca="false">VLOOKUP(J1365,RECATALOGANDO!A:C,2,0)</f>
        <v>VENTA DE MEDICAMENTO</v>
      </c>
      <c r="N1365" s="12" t="str">
        <f aca="false">VLOOKUP(M1365,RECATALOGANDO!B:C,2,0)</f>
        <v>VENTA DE PRODUCTO</v>
      </c>
      <c r="O1365" s="2" t="s">
        <v>78</v>
      </c>
    </row>
    <row r="1366" customFormat="false" ht="13.8" hidden="false" customHeight="false" outlineLevel="0" collapsed="false">
      <c r="A1366" s="8" t="n">
        <v>45779</v>
      </c>
      <c r="B1366" s="9" t="n">
        <f aca="false">DAY(A1366)</f>
        <v>2</v>
      </c>
      <c r="C1366" s="9" t="n">
        <f aca="false">MONTH(A1366)</f>
        <v>5</v>
      </c>
      <c r="D1366" s="9" t="n">
        <f aca="false">YEAR(A1366)</f>
        <v>2025</v>
      </c>
      <c r="E1366" s="9" t="n">
        <f aca="false">WEEKDAY(A1366,2)</f>
        <v>5</v>
      </c>
      <c r="F1366" s="10" t="n">
        <f aca="false">WEEKNUM(A1366,2) - WEEKNUM(DATE(YEAR(A1366),MONTH(A1366),1),2) + 1</f>
        <v>1</v>
      </c>
      <c r="G1366" s="10"/>
      <c r="H1366" s="11" t="n">
        <v>674.61</v>
      </c>
      <c r="I1366" s="12" t="s">
        <v>15</v>
      </c>
      <c r="J1366" s="12" t="s">
        <v>44</v>
      </c>
      <c r="K1366" s="12"/>
      <c r="L1366" s="9" t="n">
        <f aca="false">L1365+H1366</f>
        <v>964.61</v>
      </c>
      <c r="M1366" s="10" t="str">
        <f aca="false">VLOOKUP(J1366,RECATALOGANDO!A:C,2,0)</f>
        <v>HONORARIOS MEDICOS</v>
      </c>
      <c r="N1366" s="12" t="str">
        <f aca="false">VLOOKUP(M1366,RECATALOGANDO!B:C,2,0)</f>
        <v>VENTA DE SERVICIO</v>
      </c>
      <c r="O1366" s="2" t="s">
        <v>78</v>
      </c>
    </row>
    <row r="1367" customFormat="false" ht="13.8" hidden="false" customHeight="false" outlineLevel="0" collapsed="false">
      <c r="A1367" s="8" t="n">
        <v>45782</v>
      </c>
      <c r="B1367" s="9" t="n">
        <f aca="false">DAY(A1367)</f>
        <v>5</v>
      </c>
      <c r="C1367" s="9" t="n">
        <f aca="false">MONTH(A1367)</f>
        <v>5</v>
      </c>
      <c r="D1367" s="9" t="n">
        <f aca="false">YEAR(A1367)</f>
        <v>2025</v>
      </c>
      <c r="E1367" s="9" t="n">
        <f aca="false">WEEKDAY(A1367,2)</f>
        <v>1</v>
      </c>
      <c r="F1367" s="10" t="n">
        <f aca="false">WEEKNUM(A1367,2) - WEEKNUM(DATE(YEAR(A1367),MONTH(A1367),1),2) + 1</f>
        <v>2</v>
      </c>
      <c r="G1367" s="10"/>
      <c r="H1367" s="11" t="n">
        <v>270</v>
      </c>
      <c r="I1367" s="12" t="s">
        <v>20</v>
      </c>
      <c r="J1367" s="12" t="s">
        <v>45</v>
      </c>
      <c r="K1367" s="12"/>
      <c r="L1367" s="9" t="n">
        <f aca="false">L1366+H1367</f>
        <v>1234.61</v>
      </c>
      <c r="M1367" s="10" t="str">
        <f aca="false">VLOOKUP(J1367,RECATALOGANDO!A:C,2,0)</f>
        <v>VENTA DE MEDICAMENTO</v>
      </c>
      <c r="N1367" s="12" t="str">
        <f aca="false">VLOOKUP(M1367,RECATALOGANDO!B:C,2,0)</f>
        <v>VENTA DE PRODUCTO</v>
      </c>
      <c r="O1367" s="2" t="s">
        <v>78</v>
      </c>
    </row>
    <row r="1368" customFormat="false" ht="13.8" hidden="false" customHeight="false" outlineLevel="0" collapsed="false">
      <c r="A1368" s="8" t="n">
        <v>45782</v>
      </c>
      <c r="B1368" s="9" t="n">
        <f aca="false">DAY(A1368)</f>
        <v>5</v>
      </c>
      <c r="C1368" s="9" t="n">
        <f aca="false">MONTH(A1368)</f>
        <v>5</v>
      </c>
      <c r="D1368" s="9" t="n">
        <f aca="false">YEAR(A1368)</f>
        <v>2025</v>
      </c>
      <c r="E1368" s="9" t="n">
        <f aca="false">WEEKDAY(A1368,2)</f>
        <v>1</v>
      </c>
      <c r="F1368" s="10" t="n">
        <f aca="false">WEEKNUM(A1368,2) - WEEKNUM(DATE(YEAR(A1368),MONTH(A1368),1),2) + 1</f>
        <v>2</v>
      </c>
      <c r="G1368" s="10"/>
      <c r="H1368" s="11" t="n">
        <v>619</v>
      </c>
      <c r="I1368" s="12" t="s">
        <v>20</v>
      </c>
      <c r="J1368" s="12" t="s">
        <v>51</v>
      </c>
      <c r="K1368" s="12"/>
      <c r="L1368" s="9" t="n">
        <f aca="false">L1367+H1368</f>
        <v>1853.61</v>
      </c>
      <c r="M1368" s="10" t="str">
        <f aca="false">VLOOKUP(J1368,RECATALOGANDO!A:C,2,0)</f>
        <v>VENTA DE ALIMENTO</v>
      </c>
      <c r="N1368" s="12" t="str">
        <f aca="false">VLOOKUP(M1368,RECATALOGANDO!B:C,2,0)</f>
        <v>VENTA DE PRODUCTO</v>
      </c>
      <c r="O1368" s="2" t="s">
        <v>78</v>
      </c>
    </row>
    <row r="1369" customFormat="false" ht="13.8" hidden="false" customHeight="false" outlineLevel="0" collapsed="false">
      <c r="A1369" s="8" t="n">
        <v>45782</v>
      </c>
      <c r="B1369" s="9" t="n">
        <f aca="false">DAY(A1369)</f>
        <v>5</v>
      </c>
      <c r="C1369" s="9" t="n">
        <f aca="false">MONTH(A1369)</f>
        <v>5</v>
      </c>
      <c r="D1369" s="9" t="n">
        <f aca="false">YEAR(A1369)</f>
        <v>2025</v>
      </c>
      <c r="E1369" s="9" t="n">
        <f aca="false">WEEKDAY(A1369,2)</f>
        <v>1</v>
      </c>
      <c r="F1369" s="10" t="n">
        <f aca="false">WEEKNUM(A1369,2) - WEEKNUM(DATE(YEAR(A1369),MONTH(A1369),1),2) + 1</f>
        <v>2</v>
      </c>
      <c r="G1369" s="10"/>
      <c r="H1369" s="11" t="n">
        <v>1030</v>
      </c>
      <c r="I1369" s="12" t="s">
        <v>20</v>
      </c>
      <c r="J1369" s="12" t="s">
        <v>45</v>
      </c>
      <c r="K1369" s="12"/>
      <c r="L1369" s="9" t="n">
        <f aca="false">L1368+H1369</f>
        <v>2883.61</v>
      </c>
      <c r="M1369" s="10" t="str">
        <f aca="false">VLOOKUP(J1369,RECATALOGANDO!A:C,2,0)</f>
        <v>VENTA DE MEDICAMENTO</v>
      </c>
      <c r="N1369" s="12" t="str">
        <f aca="false">VLOOKUP(M1369,RECATALOGANDO!B:C,2,0)</f>
        <v>VENTA DE PRODUCTO</v>
      </c>
      <c r="O1369" s="2" t="s">
        <v>78</v>
      </c>
    </row>
    <row r="1370" customFormat="false" ht="13.8" hidden="false" customHeight="false" outlineLevel="0" collapsed="false">
      <c r="A1370" s="8" t="n">
        <v>45782</v>
      </c>
      <c r="B1370" s="9" t="n">
        <f aca="false">DAY(A1370)</f>
        <v>5</v>
      </c>
      <c r="C1370" s="9" t="n">
        <f aca="false">MONTH(A1370)</f>
        <v>5</v>
      </c>
      <c r="D1370" s="9" t="n">
        <f aca="false">YEAR(A1370)</f>
        <v>2025</v>
      </c>
      <c r="E1370" s="9" t="n">
        <f aca="false">WEEKDAY(A1370,2)</f>
        <v>1</v>
      </c>
      <c r="F1370" s="10" t="n">
        <f aca="false">WEEKNUM(A1370,2) - WEEKNUM(DATE(YEAR(A1370),MONTH(A1370),1),2) + 1</f>
        <v>2</v>
      </c>
      <c r="G1370" s="10"/>
      <c r="H1370" s="11" t="n">
        <v>971</v>
      </c>
      <c r="I1370" s="12" t="s">
        <v>20</v>
      </c>
      <c r="J1370" s="12" t="s">
        <v>54</v>
      </c>
      <c r="K1370" s="12"/>
      <c r="L1370" s="9" t="n">
        <f aca="false">L1369+H1370</f>
        <v>3854.61</v>
      </c>
      <c r="M1370" s="10" t="str">
        <f aca="false">VLOOKUP(J1370,RECATALOGANDO!A:C,2,0)</f>
        <v>SERVICIO DE LABORATORIO</v>
      </c>
      <c r="N1370" s="12" t="str">
        <f aca="false">VLOOKUP(M1370,RECATALOGANDO!B:C,2,0)</f>
        <v>VENTA DE SERVICIO</v>
      </c>
      <c r="O1370" s="2" t="s">
        <v>78</v>
      </c>
    </row>
    <row r="1371" customFormat="false" ht="13.8" hidden="false" customHeight="false" outlineLevel="0" collapsed="false">
      <c r="A1371" s="8" t="n">
        <v>45782</v>
      </c>
      <c r="B1371" s="9" t="n">
        <f aca="false">DAY(A1371)</f>
        <v>5</v>
      </c>
      <c r="C1371" s="9" t="n">
        <f aca="false">MONTH(A1371)</f>
        <v>5</v>
      </c>
      <c r="D1371" s="9" t="n">
        <f aca="false">YEAR(A1371)</f>
        <v>2025</v>
      </c>
      <c r="E1371" s="9" t="n">
        <f aca="false">WEEKDAY(A1371,2)</f>
        <v>1</v>
      </c>
      <c r="F1371" s="10" t="n">
        <f aca="false">WEEKNUM(A1371,2) - WEEKNUM(DATE(YEAR(A1371),MONTH(A1371),1),2) + 1</f>
        <v>2</v>
      </c>
      <c r="G1371" s="10"/>
      <c r="H1371" s="11" t="n">
        <v>2350</v>
      </c>
      <c r="I1371" s="12" t="s">
        <v>20</v>
      </c>
      <c r="J1371" s="12" t="s">
        <v>64</v>
      </c>
      <c r="K1371" s="12"/>
      <c r="L1371" s="9" t="n">
        <f aca="false">L1370+H1371</f>
        <v>6204.61</v>
      </c>
      <c r="M1371" s="10" t="str">
        <f aca="false">VLOOKUP(J1371,RECATALOGANDO!A:C,2,0)</f>
        <v>HONORARIOS QUIRURGICOS</v>
      </c>
      <c r="N1371" s="12" t="str">
        <f aca="false">VLOOKUP(M1371,RECATALOGANDO!B:C,2,0)</f>
        <v>VENTA DE SERVICIO</v>
      </c>
      <c r="O1371" s="2" t="s">
        <v>78</v>
      </c>
    </row>
    <row r="1372" customFormat="false" ht="13.8" hidden="false" customHeight="false" outlineLevel="0" collapsed="false">
      <c r="A1372" s="8" t="n">
        <v>45784</v>
      </c>
      <c r="B1372" s="9" t="n">
        <f aca="false">DAY(A1372)</f>
        <v>7</v>
      </c>
      <c r="C1372" s="9" t="n">
        <f aca="false">MONTH(A1372)</f>
        <v>5</v>
      </c>
      <c r="D1372" s="9" t="n">
        <f aca="false">YEAR(A1372)</f>
        <v>2025</v>
      </c>
      <c r="E1372" s="9" t="n">
        <f aca="false">WEEKDAY(A1372,2)</f>
        <v>3</v>
      </c>
      <c r="F1372" s="10" t="n">
        <f aca="false">WEEKNUM(A1372,2) - WEEKNUM(DATE(YEAR(A1372),MONTH(A1372),1),2) + 1</f>
        <v>2</v>
      </c>
      <c r="G1372" s="10"/>
      <c r="H1372" s="11" t="n">
        <v>390</v>
      </c>
      <c r="I1372" s="12" t="s">
        <v>20</v>
      </c>
      <c r="J1372" s="12" t="s">
        <v>49</v>
      </c>
      <c r="K1372" s="12"/>
      <c r="L1372" s="9" t="n">
        <f aca="false">L1371+H1372</f>
        <v>6594.61</v>
      </c>
      <c r="M1372" s="10" t="str">
        <f aca="false">VLOOKUP(J1372,RECATALOGANDO!A:C,2,0)</f>
        <v>SERVICIO DE GROOMING</v>
      </c>
      <c r="N1372" s="12" t="str">
        <f aca="false">VLOOKUP(M1372,RECATALOGANDO!B:C,2,0)</f>
        <v>VENTA DE SERVICIO</v>
      </c>
      <c r="O1372" s="2" t="s">
        <v>78</v>
      </c>
    </row>
    <row r="1373" customFormat="false" ht="13.8" hidden="false" customHeight="false" outlineLevel="0" collapsed="false">
      <c r="A1373" s="8" t="n">
        <v>45784</v>
      </c>
      <c r="B1373" s="9" t="n">
        <f aca="false">DAY(A1373)</f>
        <v>7</v>
      </c>
      <c r="C1373" s="9" t="n">
        <f aca="false">MONTH(A1373)</f>
        <v>5</v>
      </c>
      <c r="D1373" s="9" t="n">
        <f aca="false">YEAR(A1373)</f>
        <v>2025</v>
      </c>
      <c r="E1373" s="9" t="n">
        <f aca="false">WEEKDAY(A1373,2)</f>
        <v>3</v>
      </c>
      <c r="F1373" s="10" t="n">
        <f aca="false">WEEKNUM(A1373,2) - WEEKNUM(DATE(YEAR(A1373),MONTH(A1373),1),2) + 1</f>
        <v>2</v>
      </c>
      <c r="G1373" s="10"/>
      <c r="H1373" s="11" t="n">
        <v>400</v>
      </c>
      <c r="I1373" s="12" t="s">
        <v>20</v>
      </c>
      <c r="J1373" s="12" t="s">
        <v>49</v>
      </c>
      <c r="K1373" s="12"/>
      <c r="L1373" s="9" t="n">
        <f aca="false">L1372+H1373</f>
        <v>6994.61</v>
      </c>
      <c r="M1373" s="10" t="str">
        <f aca="false">VLOOKUP(J1373,RECATALOGANDO!A:C,2,0)</f>
        <v>SERVICIO DE GROOMING</v>
      </c>
      <c r="N1373" s="12" t="str">
        <f aca="false">VLOOKUP(M1373,RECATALOGANDO!B:C,2,0)</f>
        <v>VENTA DE SERVICIO</v>
      </c>
      <c r="O1373" s="2" t="s">
        <v>78</v>
      </c>
    </row>
    <row r="1374" customFormat="false" ht="13.8" hidden="false" customHeight="false" outlineLevel="0" collapsed="false">
      <c r="A1374" s="8" t="n">
        <v>45784</v>
      </c>
      <c r="B1374" s="9" t="n">
        <f aca="false">DAY(A1374)</f>
        <v>7</v>
      </c>
      <c r="C1374" s="9" t="n">
        <f aca="false">MONTH(A1374)</f>
        <v>5</v>
      </c>
      <c r="D1374" s="9" t="n">
        <f aca="false">YEAR(A1374)</f>
        <v>2025</v>
      </c>
      <c r="E1374" s="9" t="n">
        <f aca="false">WEEKDAY(A1374,2)</f>
        <v>3</v>
      </c>
      <c r="F1374" s="10" t="n">
        <f aca="false">WEEKNUM(A1374,2) - WEEKNUM(DATE(YEAR(A1374),MONTH(A1374),1),2) + 1</f>
        <v>2</v>
      </c>
      <c r="G1374" s="10"/>
      <c r="H1374" s="11" t="n">
        <v>650</v>
      </c>
      <c r="I1374" s="12" t="s">
        <v>20</v>
      </c>
      <c r="J1374" s="12" t="s">
        <v>44</v>
      </c>
      <c r="K1374" s="12"/>
      <c r="L1374" s="9" t="n">
        <f aca="false">L1373+H1374</f>
        <v>7644.61</v>
      </c>
      <c r="M1374" s="10" t="str">
        <f aca="false">VLOOKUP(J1374,RECATALOGANDO!A:C,2,0)</f>
        <v>HONORARIOS MEDICOS</v>
      </c>
      <c r="N1374" s="12" t="str">
        <f aca="false">VLOOKUP(M1374,RECATALOGANDO!B:C,2,0)</f>
        <v>VENTA DE SERVICIO</v>
      </c>
      <c r="O1374" s="2" t="s">
        <v>78</v>
      </c>
    </row>
    <row r="1375" customFormat="false" ht="13.8" hidden="false" customHeight="false" outlineLevel="0" collapsed="false">
      <c r="A1375" s="8" t="n">
        <v>45785</v>
      </c>
      <c r="B1375" s="9" t="n">
        <f aca="false">DAY(A1375)</f>
        <v>8</v>
      </c>
      <c r="C1375" s="9" t="n">
        <f aca="false">MONTH(A1375)</f>
        <v>5</v>
      </c>
      <c r="D1375" s="9" t="n">
        <f aca="false">YEAR(A1375)</f>
        <v>2025</v>
      </c>
      <c r="E1375" s="9" t="n">
        <f aca="false">WEEKDAY(A1375,2)</f>
        <v>4</v>
      </c>
      <c r="F1375" s="10" t="n">
        <f aca="false">WEEKNUM(A1375,2) - WEEKNUM(DATE(YEAR(A1375),MONTH(A1375),1),2) + 1</f>
        <v>2</v>
      </c>
      <c r="G1375" s="10"/>
      <c r="H1375" s="11" t="n">
        <v>389</v>
      </c>
      <c r="I1375" s="12" t="s">
        <v>20</v>
      </c>
      <c r="J1375" s="12" t="s">
        <v>51</v>
      </c>
      <c r="K1375" s="12"/>
      <c r="L1375" s="9" t="n">
        <f aca="false">L1374+H1375</f>
        <v>8033.61</v>
      </c>
      <c r="M1375" s="10" t="str">
        <f aca="false">VLOOKUP(J1375,RECATALOGANDO!A:C,2,0)</f>
        <v>VENTA DE ALIMENTO</v>
      </c>
      <c r="N1375" s="12" t="str">
        <f aca="false">VLOOKUP(M1375,RECATALOGANDO!B:C,2,0)</f>
        <v>VENTA DE PRODUCTO</v>
      </c>
      <c r="O1375" s="2" t="s">
        <v>78</v>
      </c>
    </row>
    <row r="1376" customFormat="false" ht="13.8" hidden="false" customHeight="false" outlineLevel="0" collapsed="false">
      <c r="A1376" s="8" t="n">
        <v>45785</v>
      </c>
      <c r="B1376" s="9" t="n">
        <f aca="false">DAY(A1376)</f>
        <v>8</v>
      </c>
      <c r="C1376" s="9" t="n">
        <f aca="false">MONTH(A1376)</f>
        <v>5</v>
      </c>
      <c r="D1376" s="9" t="n">
        <f aca="false">YEAR(A1376)</f>
        <v>2025</v>
      </c>
      <c r="E1376" s="9" t="n">
        <f aca="false">WEEKDAY(A1376,2)</f>
        <v>4</v>
      </c>
      <c r="F1376" s="10" t="n">
        <f aca="false">WEEKNUM(A1376,2) - WEEKNUM(DATE(YEAR(A1376),MONTH(A1376),1),2) + 1</f>
        <v>2</v>
      </c>
      <c r="G1376" s="10"/>
      <c r="H1376" s="11" t="n">
        <v>1393</v>
      </c>
      <c r="I1376" s="12" t="s">
        <v>20</v>
      </c>
      <c r="J1376" s="12" t="s">
        <v>45</v>
      </c>
      <c r="K1376" s="12"/>
      <c r="L1376" s="9" t="n">
        <f aca="false">L1375+H1376</f>
        <v>9426.61</v>
      </c>
      <c r="M1376" s="10" t="str">
        <f aca="false">VLOOKUP(J1376,RECATALOGANDO!A:C,2,0)</f>
        <v>VENTA DE MEDICAMENTO</v>
      </c>
      <c r="N1376" s="12" t="str">
        <f aca="false">VLOOKUP(M1376,RECATALOGANDO!B:C,2,0)</f>
        <v>VENTA DE PRODUCTO</v>
      </c>
      <c r="O1376" s="2" t="s">
        <v>78</v>
      </c>
    </row>
    <row r="1377" customFormat="false" ht="13.8" hidden="false" customHeight="false" outlineLevel="0" collapsed="false">
      <c r="A1377" s="8" t="n">
        <v>45786</v>
      </c>
      <c r="B1377" s="9" t="n">
        <f aca="false">DAY(A1377)</f>
        <v>9</v>
      </c>
      <c r="C1377" s="9" t="n">
        <f aca="false">MONTH(A1377)</f>
        <v>5</v>
      </c>
      <c r="D1377" s="9" t="n">
        <f aca="false">YEAR(A1377)</f>
        <v>2025</v>
      </c>
      <c r="E1377" s="9" t="n">
        <f aca="false">WEEKDAY(A1377,2)</f>
        <v>5</v>
      </c>
      <c r="F1377" s="10" t="n">
        <f aca="false">WEEKNUM(A1377,2) - WEEKNUM(DATE(YEAR(A1377),MONTH(A1377),1),2) + 1</f>
        <v>2</v>
      </c>
      <c r="G1377" s="10"/>
      <c r="H1377" s="11" t="n">
        <v>1885.81</v>
      </c>
      <c r="I1377" s="12" t="s">
        <v>15</v>
      </c>
      <c r="J1377" s="12" t="s">
        <v>45</v>
      </c>
      <c r="K1377" s="12"/>
      <c r="L1377" s="9" t="n">
        <f aca="false">L1376+H1377</f>
        <v>11312.42</v>
      </c>
      <c r="M1377" s="10" t="str">
        <f aca="false">VLOOKUP(J1377,RECATALOGANDO!A:C,2,0)</f>
        <v>VENTA DE MEDICAMENTO</v>
      </c>
      <c r="N1377" s="12" t="str">
        <f aca="false">VLOOKUP(M1377,RECATALOGANDO!B:C,2,0)</f>
        <v>VENTA DE PRODUCTO</v>
      </c>
      <c r="O1377" s="2" t="s">
        <v>78</v>
      </c>
    </row>
    <row r="1378" customFormat="false" ht="13.8" hidden="false" customHeight="false" outlineLevel="0" collapsed="false">
      <c r="A1378" s="8" t="n">
        <v>45786</v>
      </c>
      <c r="B1378" s="9" t="n">
        <f aca="false">DAY(A1378)</f>
        <v>9</v>
      </c>
      <c r="C1378" s="9" t="n">
        <f aca="false">MONTH(A1378)</f>
        <v>5</v>
      </c>
      <c r="D1378" s="9" t="n">
        <f aca="false">YEAR(A1378)</f>
        <v>2025</v>
      </c>
      <c r="E1378" s="9" t="n">
        <f aca="false">WEEKDAY(A1378,2)</f>
        <v>5</v>
      </c>
      <c r="F1378" s="10" t="n">
        <f aca="false">WEEKNUM(A1378,2) - WEEKNUM(DATE(YEAR(A1378),MONTH(A1378),1),2) + 1</f>
        <v>2</v>
      </c>
      <c r="G1378" s="10"/>
      <c r="H1378" s="11" t="n">
        <v>800</v>
      </c>
      <c r="I1378" s="12" t="s">
        <v>20</v>
      </c>
      <c r="J1378" s="12" t="s">
        <v>44</v>
      </c>
      <c r="K1378" s="12"/>
      <c r="L1378" s="9" t="n">
        <f aca="false">L1377+H1378</f>
        <v>12112.42</v>
      </c>
      <c r="M1378" s="10" t="str">
        <f aca="false">VLOOKUP(J1378,RECATALOGANDO!A:C,2,0)</f>
        <v>HONORARIOS MEDICOS</v>
      </c>
      <c r="N1378" s="12" t="str">
        <f aca="false">VLOOKUP(M1378,RECATALOGANDO!B:C,2,0)</f>
        <v>VENTA DE SERVICIO</v>
      </c>
      <c r="O1378" s="2" t="s">
        <v>78</v>
      </c>
    </row>
    <row r="1379" customFormat="false" ht="13.8" hidden="false" customHeight="false" outlineLevel="0" collapsed="false">
      <c r="A1379" s="8" t="n">
        <v>45788</v>
      </c>
      <c r="B1379" s="9" t="n">
        <f aca="false">DAY(A1379)</f>
        <v>11</v>
      </c>
      <c r="C1379" s="9" t="n">
        <f aca="false">MONTH(A1379)</f>
        <v>5</v>
      </c>
      <c r="D1379" s="9" t="n">
        <f aca="false">YEAR(A1379)</f>
        <v>2025</v>
      </c>
      <c r="E1379" s="9" t="n">
        <f aca="false">WEEKDAY(A1379,2)</f>
        <v>7</v>
      </c>
      <c r="F1379" s="10" t="n">
        <f aca="false">WEEKNUM(A1379,2) - WEEKNUM(DATE(YEAR(A1379),MONTH(A1379),1),2) + 1</f>
        <v>2</v>
      </c>
      <c r="G1379" s="10"/>
      <c r="H1379" s="11" t="n">
        <v>200</v>
      </c>
      <c r="I1379" s="12" t="s">
        <v>20</v>
      </c>
      <c r="J1379" s="12" t="s">
        <v>49</v>
      </c>
      <c r="K1379" s="12"/>
      <c r="L1379" s="9" t="n">
        <f aca="false">L1378+H1379</f>
        <v>12312.42</v>
      </c>
      <c r="M1379" s="10" t="str">
        <f aca="false">VLOOKUP(J1379,RECATALOGANDO!A:C,2,0)</f>
        <v>SERVICIO DE GROOMING</v>
      </c>
      <c r="N1379" s="12" t="str">
        <f aca="false">VLOOKUP(M1379,RECATALOGANDO!B:C,2,0)</f>
        <v>VENTA DE SERVICIO</v>
      </c>
      <c r="O1379" s="2" t="s">
        <v>78</v>
      </c>
    </row>
    <row r="1380" customFormat="false" ht="13.8" hidden="false" customHeight="false" outlineLevel="0" collapsed="false">
      <c r="A1380" s="8" t="n">
        <v>45789</v>
      </c>
      <c r="B1380" s="9" t="n">
        <f aca="false">DAY(A1380)</f>
        <v>12</v>
      </c>
      <c r="C1380" s="9" t="n">
        <f aca="false">MONTH(A1380)</f>
        <v>5</v>
      </c>
      <c r="D1380" s="9" t="n">
        <f aca="false">YEAR(A1380)</f>
        <v>2025</v>
      </c>
      <c r="E1380" s="9" t="n">
        <f aca="false">WEEKDAY(A1380,2)</f>
        <v>1</v>
      </c>
      <c r="F1380" s="10" t="n">
        <f aca="false">WEEKNUM(A1380,2) - WEEKNUM(DATE(YEAR(A1380),MONTH(A1380),1),2) + 1</f>
        <v>3</v>
      </c>
      <c r="G1380" s="10"/>
      <c r="H1380" s="11" t="n">
        <v>1560</v>
      </c>
      <c r="I1380" s="12" t="s">
        <v>20</v>
      </c>
      <c r="J1380" s="12" t="s">
        <v>51</v>
      </c>
      <c r="K1380" s="12"/>
      <c r="L1380" s="9" t="n">
        <f aca="false">L1379+H1380</f>
        <v>13872.42</v>
      </c>
      <c r="M1380" s="10" t="str">
        <f aca="false">VLOOKUP(J1380,RECATALOGANDO!A:C,2,0)</f>
        <v>VENTA DE ALIMENTO</v>
      </c>
      <c r="N1380" s="12" t="str">
        <f aca="false">VLOOKUP(M1380,RECATALOGANDO!B:C,2,0)</f>
        <v>VENTA DE PRODUCTO</v>
      </c>
      <c r="O1380" s="2" t="s">
        <v>78</v>
      </c>
    </row>
    <row r="1381" customFormat="false" ht="13.8" hidden="false" customHeight="false" outlineLevel="0" collapsed="false">
      <c r="A1381" s="8" t="n">
        <v>45789</v>
      </c>
      <c r="B1381" s="9" t="n">
        <f aca="false">DAY(A1381)</f>
        <v>12</v>
      </c>
      <c r="C1381" s="9" t="n">
        <f aca="false">MONTH(A1381)</f>
        <v>5</v>
      </c>
      <c r="D1381" s="9" t="n">
        <f aca="false">YEAR(A1381)</f>
        <v>2025</v>
      </c>
      <c r="E1381" s="9" t="n">
        <f aca="false">WEEKDAY(A1381,2)</f>
        <v>1</v>
      </c>
      <c r="F1381" s="10" t="n">
        <f aca="false">WEEKNUM(A1381,2) - WEEKNUM(DATE(YEAR(A1381),MONTH(A1381),1),2) + 1</f>
        <v>3</v>
      </c>
      <c r="G1381" s="10"/>
      <c r="H1381" s="11" t="n">
        <v>170</v>
      </c>
      <c r="I1381" s="12" t="s">
        <v>20</v>
      </c>
      <c r="J1381" s="12" t="s">
        <v>49</v>
      </c>
      <c r="K1381" s="12"/>
      <c r="L1381" s="9" t="n">
        <f aca="false">L1380+H1381</f>
        <v>14042.42</v>
      </c>
      <c r="M1381" s="10" t="str">
        <f aca="false">VLOOKUP(J1381,RECATALOGANDO!A:C,2,0)</f>
        <v>SERVICIO DE GROOMING</v>
      </c>
      <c r="N1381" s="12" t="str">
        <f aca="false">VLOOKUP(M1381,RECATALOGANDO!B:C,2,0)</f>
        <v>VENTA DE SERVICIO</v>
      </c>
      <c r="O1381" s="2" t="s">
        <v>78</v>
      </c>
    </row>
    <row r="1382" customFormat="false" ht="13.8" hidden="false" customHeight="false" outlineLevel="0" collapsed="false">
      <c r="A1382" s="8" t="n">
        <v>45789</v>
      </c>
      <c r="B1382" s="9" t="n">
        <f aca="false">DAY(A1382)</f>
        <v>12</v>
      </c>
      <c r="C1382" s="9" t="n">
        <f aca="false">MONTH(A1382)</f>
        <v>5</v>
      </c>
      <c r="D1382" s="9" t="n">
        <f aca="false">YEAR(A1382)</f>
        <v>2025</v>
      </c>
      <c r="E1382" s="9" t="n">
        <f aca="false">WEEKDAY(A1382,2)</f>
        <v>1</v>
      </c>
      <c r="F1382" s="10" t="n">
        <f aca="false">WEEKNUM(A1382,2) - WEEKNUM(DATE(YEAR(A1382),MONTH(A1382),1),2) + 1</f>
        <v>3</v>
      </c>
      <c r="G1382" s="10"/>
      <c r="H1382" s="11" t="n">
        <v>335</v>
      </c>
      <c r="I1382" s="12" t="s">
        <v>15</v>
      </c>
      <c r="J1382" s="12" t="s">
        <v>44</v>
      </c>
      <c r="K1382" s="12"/>
      <c r="L1382" s="9" t="n">
        <f aca="false">L1381+H1382</f>
        <v>14377.42</v>
      </c>
      <c r="M1382" s="10" t="str">
        <f aca="false">VLOOKUP(J1382,RECATALOGANDO!A:C,2,0)</f>
        <v>HONORARIOS MEDICOS</v>
      </c>
      <c r="N1382" s="12" t="str">
        <f aca="false">VLOOKUP(M1382,RECATALOGANDO!B:C,2,0)</f>
        <v>VENTA DE SERVICIO</v>
      </c>
      <c r="O1382" s="2" t="s">
        <v>78</v>
      </c>
    </row>
    <row r="1383" customFormat="false" ht="13.8" hidden="false" customHeight="false" outlineLevel="0" collapsed="false">
      <c r="A1383" s="8" t="n">
        <v>45793</v>
      </c>
      <c r="B1383" s="9" t="n">
        <f aca="false">DAY(A1383)</f>
        <v>16</v>
      </c>
      <c r="C1383" s="9" t="n">
        <f aca="false">MONTH(A1383)</f>
        <v>5</v>
      </c>
      <c r="D1383" s="9" t="n">
        <f aca="false">YEAR(A1383)</f>
        <v>2025</v>
      </c>
      <c r="E1383" s="9" t="n">
        <f aca="false">WEEKDAY(A1383,2)</f>
        <v>5</v>
      </c>
      <c r="F1383" s="10" t="n">
        <f aca="false">WEEKNUM(A1383,2) - WEEKNUM(DATE(YEAR(A1383),MONTH(A1383),1),2) + 1</f>
        <v>3</v>
      </c>
      <c r="G1383" s="10"/>
      <c r="H1383" s="11" t="n">
        <v>400</v>
      </c>
      <c r="I1383" s="12" t="s">
        <v>15</v>
      </c>
      <c r="J1383" s="12" t="s">
        <v>51</v>
      </c>
      <c r="K1383" s="12"/>
      <c r="L1383" s="9" t="n">
        <f aca="false">L1382+H1383</f>
        <v>14777.42</v>
      </c>
      <c r="M1383" s="10" t="str">
        <f aca="false">VLOOKUP(J1383,RECATALOGANDO!A:C,2,0)</f>
        <v>VENTA DE ALIMENTO</v>
      </c>
      <c r="N1383" s="12" t="str">
        <f aca="false">VLOOKUP(M1383,RECATALOGANDO!B:C,2,0)</f>
        <v>VENTA DE PRODUCTO</v>
      </c>
      <c r="O1383" s="2" t="s">
        <v>78</v>
      </c>
    </row>
    <row r="1384" customFormat="false" ht="13.8" hidden="false" customHeight="false" outlineLevel="0" collapsed="false">
      <c r="A1384" s="8" t="n">
        <v>45793</v>
      </c>
      <c r="B1384" s="9" t="n">
        <f aca="false">DAY(A1384)</f>
        <v>16</v>
      </c>
      <c r="C1384" s="9" t="n">
        <f aca="false">MONTH(A1384)</f>
        <v>5</v>
      </c>
      <c r="D1384" s="9" t="n">
        <f aca="false">YEAR(A1384)</f>
        <v>2025</v>
      </c>
      <c r="E1384" s="9" t="n">
        <f aca="false">WEEKDAY(A1384,2)</f>
        <v>5</v>
      </c>
      <c r="F1384" s="10" t="n">
        <f aca="false">WEEKNUM(A1384,2) - WEEKNUM(DATE(YEAR(A1384),MONTH(A1384),1),2) + 1</f>
        <v>3</v>
      </c>
      <c r="G1384" s="10"/>
      <c r="H1384" s="11" t="n">
        <v>590</v>
      </c>
      <c r="I1384" s="12" t="s">
        <v>20</v>
      </c>
      <c r="J1384" s="12" t="s">
        <v>45</v>
      </c>
      <c r="K1384" s="12"/>
      <c r="L1384" s="9" t="n">
        <f aca="false">L1383+H1384</f>
        <v>15367.42</v>
      </c>
      <c r="M1384" s="10" t="str">
        <f aca="false">VLOOKUP(J1384,RECATALOGANDO!A:C,2,0)</f>
        <v>VENTA DE MEDICAMENTO</v>
      </c>
      <c r="N1384" s="12" t="str">
        <f aca="false">VLOOKUP(M1384,RECATALOGANDO!B:C,2,0)</f>
        <v>VENTA DE PRODUCTO</v>
      </c>
      <c r="O1384" s="2" t="s">
        <v>78</v>
      </c>
    </row>
    <row r="1385" customFormat="false" ht="13.8" hidden="false" customHeight="false" outlineLevel="0" collapsed="false">
      <c r="A1385" s="8" t="n">
        <v>45793</v>
      </c>
      <c r="B1385" s="9" t="n">
        <f aca="false">DAY(A1385)</f>
        <v>16</v>
      </c>
      <c r="C1385" s="9" t="n">
        <f aca="false">MONTH(A1385)</f>
        <v>5</v>
      </c>
      <c r="D1385" s="9" t="n">
        <f aca="false">YEAR(A1385)</f>
        <v>2025</v>
      </c>
      <c r="E1385" s="9" t="n">
        <f aca="false">WEEKDAY(A1385,2)</f>
        <v>5</v>
      </c>
      <c r="F1385" s="10" t="n">
        <f aca="false">WEEKNUM(A1385,2) - WEEKNUM(DATE(YEAR(A1385),MONTH(A1385),1),2) + 1</f>
        <v>3</v>
      </c>
      <c r="G1385" s="10"/>
      <c r="H1385" s="11" t="n">
        <v>1818</v>
      </c>
      <c r="I1385" s="12" t="s">
        <v>20</v>
      </c>
      <c r="J1385" s="12" t="s">
        <v>51</v>
      </c>
      <c r="K1385" s="12"/>
      <c r="L1385" s="9" t="n">
        <f aca="false">L1384+H1385</f>
        <v>17185.42</v>
      </c>
      <c r="M1385" s="10" t="str">
        <f aca="false">VLOOKUP(J1385,RECATALOGANDO!A:C,2,0)</f>
        <v>VENTA DE ALIMENTO</v>
      </c>
      <c r="N1385" s="12" t="str">
        <f aca="false">VLOOKUP(M1385,RECATALOGANDO!B:C,2,0)</f>
        <v>VENTA DE PRODUCTO</v>
      </c>
      <c r="O1385" s="2" t="s">
        <v>78</v>
      </c>
    </row>
    <row r="1386" customFormat="false" ht="13.8" hidden="false" customHeight="false" outlineLevel="0" collapsed="false">
      <c r="A1386" s="8" t="n">
        <v>45793</v>
      </c>
      <c r="B1386" s="9" t="n">
        <f aca="false">DAY(A1386)</f>
        <v>16</v>
      </c>
      <c r="C1386" s="9" t="n">
        <f aca="false">MONTH(A1386)</f>
        <v>5</v>
      </c>
      <c r="D1386" s="9" t="n">
        <f aca="false">YEAR(A1386)</f>
        <v>2025</v>
      </c>
      <c r="E1386" s="9" t="n">
        <f aca="false">WEEKDAY(A1386,2)</f>
        <v>5</v>
      </c>
      <c r="F1386" s="10" t="n">
        <f aca="false">WEEKNUM(A1386,2) - WEEKNUM(DATE(YEAR(A1386),MONTH(A1386),1),2) + 1</f>
        <v>3</v>
      </c>
      <c r="G1386" s="10"/>
      <c r="H1386" s="11" t="n">
        <v>200</v>
      </c>
      <c r="I1386" s="12" t="s">
        <v>15</v>
      </c>
      <c r="J1386" s="12" t="s">
        <v>49</v>
      </c>
      <c r="K1386" s="12"/>
      <c r="L1386" s="9" t="n">
        <f aca="false">L1385+H1386</f>
        <v>17385.42</v>
      </c>
      <c r="M1386" s="10" t="str">
        <f aca="false">VLOOKUP(J1386,RECATALOGANDO!A:C,2,0)</f>
        <v>SERVICIO DE GROOMING</v>
      </c>
      <c r="N1386" s="12" t="str">
        <f aca="false">VLOOKUP(M1386,RECATALOGANDO!B:C,2,0)</f>
        <v>VENTA DE SERVICIO</v>
      </c>
      <c r="O1386" s="2" t="s">
        <v>78</v>
      </c>
    </row>
    <row r="1387" customFormat="false" ht="13.8" hidden="false" customHeight="false" outlineLevel="0" collapsed="false">
      <c r="A1387" s="8" t="n">
        <v>45793</v>
      </c>
      <c r="B1387" s="9" t="n">
        <f aca="false">DAY(A1387)</f>
        <v>16</v>
      </c>
      <c r="C1387" s="9" t="n">
        <f aca="false">MONTH(A1387)</f>
        <v>5</v>
      </c>
      <c r="D1387" s="9" t="n">
        <f aca="false">YEAR(A1387)</f>
        <v>2025</v>
      </c>
      <c r="E1387" s="9" t="n">
        <f aca="false">WEEKDAY(A1387,2)</f>
        <v>5</v>
      </c>
      <c r="F1387" s="10" t="n">
        <f aca="false">WEEKNUM(A1387,2) - WEEKNUM(DATE(YEAR(A1387),MONTH(A1387),1),2) + 1</f>
        <v>3</v>
      </c>
      <c r="G1387" s="10"/>
      <c r="H1387" s="11" t="n">
        <v>240</v>
      </c>
      <c r="I1387" s="12" t="s">
        <v>20</v>
      </c>
      <c r="J1387" s="12" t="s">
        <v>44</v>
      </c>
      <c r="K1387" s="12"/>
      <c r="L1387" s="9" t="n">
        <f aca="false">L1386+H1387</f>
        <v>17625.42</v>
      </c>
      <c r="M1387" s="10" t="str">
        <f aca="false">VLOOKUP(J1387,RECATALOGANDO!A:C,2,0)</f>
        <v>HONORARIOS MEDICOS</v>
      </c>
      <c r="N1387" s="12" t="str">
        <f aca="false">VLOOKUP(M1387,RECATALOGANDO!B:C,2,0)</f>
        <v>VENTA DE SERVICIO</v>
      </c>
      <c r="O1387" s="2" t="s">
        <v>78</v>
      </c>
    </row>
    <row r="1388" customFormat="false" ht="13.8" hidden="false" customHeight="false" outlineLevel="0" collapsed="false">
      <c r="A1388" s="8" t="n">
        <v>45793</v>
      </c>
      <c r="B1388" s="9" t="n">
        <f aca="false">DAY(A1388)</f>
        <v>16</v>
      </c>
      <c r="C1388" s="9" t="n">
        <f aca="false">MONTH(A1388)</f>
        <v>5</v>
      </c>
      <c r="D1388" s="9" t="n">
        <f aca="false">YEAR(A1388)</f>
        <v>2025</v>
      </c>
      <c r="E1388" s="9" t="n">
        <f aca="false">WEEKDAY(A1388,2)</f>
        <v>5</v>
      </c>
      <c r="F1388" s="10" t="n">
        <f aca="false">WEEKNUM(A1388,2) - WEEKNUM(DATE(YEAR(A1388),MONTH(A1388),1),2) + 1</f>
        <v>3</v>
      </c>
      <c r="G1388" s="10"/>
      <c r="H1388" s="11" t="n">
        <v>2200</v>
      </c>
      <c r="I1388" s="12" t="s">
        <v>20</v>
      </c>
      <c r="J1388" s="12" t="s">
        <v>54</v>
      </c>
      <c r="K1388" s="12"/>
      <c r="L1388" s="9" t="n">
        <f aca="false">L1387+H1388</f>
        <v>19825.42</v>
      </c>
      <c r="M1388" s="10" t="str">
        <f aca="false">VLOOKUP(J1388,RECATALOGANDO!A:C,2,0)</f>
        <v>SERVICIO DE LABORATORIO</v>
      </c>
      <c r="N1388" s="12" t="str">
        <f aca="false">VLOOKUP(M1388,RECATALOGANDO!B:C,2,0)</f>
        <v>VENTA DE SERVICIO</v>
      </c>
      <c r="O1388" s="2" t="s">
        <v>78</v>
      </c>
    </row>
    <row r="1389" customFormat="false" ht="13.8" hidden="false" customHeight="false" outlineLevel="0" collapsed="false">
      <c r="A1389" s="8" t="n">
        <v>45796</v>
      </c>
      <c r="B1389" s="9" t="n">
        <f aca="false">DAY(A1389)</f>
        <v>19</v>
      </c>
      <c r="C1389" s="9" t="n">
        <f aca="false">MONTH(A1389)</f>
        <v>5</v>
      </c>
      <c r="D1389" s="9" t="n">
        <f aca="false">YEAR(A1389)</f>
        <v>2025</v>
      </c>
      <c r="E1389" s="9" t="n">
        <f aca="false">WEEKDAY(A1389,2)</f>
        <v>1</v>
      </c>
      <c r="F1389" s="10" t="n">
        <f aca="false">WEEKNUM(A1389,2) - WEEKNUM(DATE(YEAR(A1389),MONTH(A1389),1),2) + 1</f>
        <v>4</v>
      </c>
      <c r="G1389" s="10"/>
      <c r="H1389" s="11" t="n">
        <v>406.3</v>
      </c>
      <c r="I1389" s="12" t="s">
        <v>15</v>
      </c>
      <c r="J1389" s="12" t="s">
        <v>45</v>
      </c>
      <c r="K1389" s="12"/>
      <c r="L1389" s="9" t="n">
        <f aca="false">L1388+H1389</f>
        <v>20231.72</v>
      </c>
      <c r="M1389" s="10" t="str">
        <f aca="false">VLOOKUP(J1389,RECATALOGANDO!A:C,2,0)</f>
        <v>VENTA DE MEDICAMENTO</v>
      </c>
      <c r="N1389" s="12" t="str">
        <f aca="false">VLOOKUP(M1389,RECATALOGANDO!B:C,2,0)</f>
        <v>VENTA DE PRODUCTO</v>
      </c>
      <c r="O1389" s="2" t="s">
        <v>78</v>
      </c>
    </row>
    <row r="1390" customFormat="false" ht="13.8" hidden="false" customHeight="false" outlineLevel="0" collapsed="false">
      <c r="A1390" s="8" t="n">
        <v>45796</v>
      </c>
      <c r="B1390" s="9" t="n">
        <f aca="false">DAY(A1390)</f>
        <v>19</v>
      </c>
      <c r="C1390" s="9" t="n">
        <f aca="false">MONTH(A1390)</f>
        <v>5</v>
      </c>
      <c r="D1390" s="9" t="n">
        <f aca="false">YEAR(A1390)</f>
        <v>2025</v>
      </c>
      <c r="E1390" s="9" t="n">
        <f aca="false">WEEKDAY(A1390,2)</f>
        <v>1</v>
      </c>
      <c r="F1390" s="10" t="n">
        <f aca="false">WEEKNUM(A1390,2) - WEEKNUM(DATE(YEAR(A1390),MONTH(A1390),1),2) + 1</f>
        <v>4</v>
      </c>
      <c r="G1390" s="10"/>
      <c r="H1390" s="11" t="n">
        <v>3840</v>
      </c>
      <c r="I1390" s="12" t="s">
        <v>20</v>
      </c>
      <c r="J1390" s="12" t="s">
        <v>45</v>
      </c>
      <c r="K1390" s="12"/>
      <c r="L1390" s="9" t="n">
        <f aca="false">L1389+H1390</f>
        <v>24071.72</v>
      </c>
      <c r="M1390" s="10" t="str">
        <f aca="false">VLOOKUP(J1390,RECATALOGANDO!A:C,2,0)</f>
        <v>VENTA DE MEDICAMENTO</v>
      </c>
      <c r="N1390" s="12" t="str">
        <f aca="false">VLOOKUP(M1390,RECATALOGANDO!B:C,2,0)</f>
        <v>VENTA DE PRODUCTO</v>
      </c>
      <c r="O1390" s="2" t="s">
        <v>78</v>
      </c>
    </row>
    <row r="1391" customFormat="false" ht="13.8" hidden="false" customHeight="false" outlineLevel="0" collapsed="false">
      <c r="A1391" s="8" t="n">
        <v>45796</v>
      </c>
      <c r="B1391" s="9" t="n">
        <f aca="false">DAY(A1391)</f>
        <v>19</v>
      </c>
      <c r="C1391" s="9" t="n">
        <f aca="false">MONTH(A1391)</f>
        <v>5</v>
      </c>
      <c r="D1391" s="9" t="n">
        <f aca="false">YEAR(A1391)</f>
        <v>2025</v>
      </c>
      <c r="E1391" s="9" t="n">
        <f aca="false">WEEKDAY(A1391,2)</f>
        <v>1</v>
      </c>
      <c r="F1391" s="10" t="n">
        <f aca="false">WEEKNUM(A1391,2) - WEEKNUM(DATE(YEAR(A1391),MONTH(A1391),1),2) + 1</f>
        <v>4</v>
      </c>
      <c r="G1391" s="10"/>
      <c r="H1391" s="11" t="n">
        <v>140</v>
      </c>
      <c r="I1391" s="12" t="s">
        <v>15</v>
      </c>
      <c r="J1391" s="12" t="s">
        <v>44</v>
      </c>
      <c r="K1391" s="12"/>
      <c r="L1391" s="9" t="n">
        <f aca="false">L1390+H1391</f>
        <v>24211.72</v>
      </c>
      <c r="M1391" s="10" t="str">
        <f aca="false">VLOOKUP(J1391,RECATALOGANDO!A:C,2,0)</f>
        <v>HONORARIOS MEDICOS</v>
      </c>
      <c r="N1391" s="12" t="str">
        <f aca="false">VLOOKUP(M1391,RECATALOGANDO!B:C,2,0)</f>
        <v>VENTA DE SERVICIO</v>
      </c>
      <c r="O1391" s="2" t="s">
        <v>78</v>
      </c>
    </row>
    <row r="1392" customFormat="false" ht="13.8" hidden="false" customHeight="false" outlineLevel="0" collapsed="false">
      <c r="A1392" s="8" t="n">
        <v>45796</v>
      </c>
      <c r="B1392" s="9" t="n">
        <f aca="false">DAY(A1392)</f>
        <v>19</v>
      </c>
      <c r="C1392" s="9" t="n">
        <f aca="false">MONTH(A1392)</f>
        <v>5</v>
      </c>
      <c r="D1392" s="9" t="n">
        <f aca="false">YEAR(A1392)</f>
        <v>2025</v>
      </c>
      <c r="E1392" s="9" t="n">
        <f aca="false">WEEKDAY(A1392,2)</f>
        <v>1</v>
      </c>
      <c r="F1392" s="10" t="n">
        <f aca="false">WEEKNUM(A1392,2) - WEEKNUM(DATE(YEAR(A1392),MONTH(A1392),1),2) + 1</f>
        <v>4</v>
      </c>
      <c r="G1392" s="10"/>
      <c r="H1392" s="11" t="n">
        <v>300</v>
      </c>
      <c r="I1392" s="12" t="s">
        <v>15</v>
      </c>
      <c r="J1392" s="12" t="s">
        <v>44</v>
      </c>
      <c r="K1392" s="12"/>
      <c r="L1392" s="9" t="n">
        <f aca="false">L1391+H1392</f>
        <v>24511.72</v>
      </c>
      <c r="M1392" s="10" t="str">
        <f aca="false">VLOOKUP(J1392,RECATALOGANDO!A:C,2,0)</f>
        <v>HONORARIOS MEDICOS</v>
      </c>
      <c r="N1392" s="12" t="str">
        <f aca="false">VLOOKUP(M1392,RECATALOGANDO!B:C,2,0)</f>
        <v>VENTA DE SERVICIO</v>
      </c>
      <c r="O1392" s="2" t="s">
        <v>78</v>
      </c>
    </row>
    <row r="1393" customFormat="false" ht="13.8" hidden="false" customHeight="false" outlineLevel="0" collapsed="false">
      <c r="A1393" s="8" t="n">
        <v>45796</v>
      </c>
      <c r="B1393" s="9" t="n">
        <f aca="false">DAY(A1393)</f>
        <v>19</v>
      </c>
      <c r="C1393" s="9" t="n">
        <f aca="false">MONTH(A1393)</f>
        <v>5</v>
      </c>
      <c r="D1393" s="9" t="n">
        <f aca="false">YEAR(A1393)</f>
        <v>2025</v>
      </c>
      <c r="E1393" s="9" t="n">
        <f aca="false">WEEKDAY(A1393,2)</f>
        <v>1</v>
      </c>
      <c r="F1393" s="10" t="n">
        <f aca="false">WEEKNUM(A1393,2) - WEEKNUM(DATE(YEAR(A1393),MONTH(A1393),1),2) + 1</f>
        <v>4</v>
      </c>
      <c r="G1393" s="10"/>
      <c r="H1393" s="11" t="n">
        <v>1038</v>
      </c>
      <c r="I1393" s="12" t="s">
        <v>20</v>
      </c>
      <c r="J1393" s="12" t="s">
        <v>54</v>
      </c>
      <c r="K1393" s="12"/>
      <c r="L1393" s="9" t="n">
        <f aca="false">L1392+H1393</f>
        <v>25549.72</v>
      </c>
      <c r="M1393" s="10" t="str">
        <f aca="false">VLOOKUP(J1393,RECATALOGANDO!A:C,2,0)</f>
        <v>SERVICIO DE LABORATORIO</v>
      </c>
      <c r="N1393" s="12" t="str">
        <f aca="false">VLOOKUP(M1393,RECATALOGANDO!B:C,2,0)</f>
        <v>VENTA DE SERVICIO</v>
      </c>
      <c r="O1393" s="2" t="s">
        <v>78</v>
      </c>
    </row>
    <row r="1394" customFormat="false" ht="13.8" hidden="false" customHeight="false" outlineLevel="0" collapsed="false">
      <c r="A1394" s="8" t="n">
        <v>45796</v>
      </c>
      <c r="B1394" s="9" t="n">
        <f aca="false">DAY(A1394)</f>
        <v>19</v>
      </c>
      <c r="C1394" s="9" t="n">
        <f aca="false">MONTH(A1394)</f>
        <v>5</v>
      </c>
      <c r="D1394" s="9" t="n">
        <f aca="false">YEAR(A1394)</f>
        <v>2025</v>
      </c>
      <c r="E1394" s="9" t="n">
        <f aca="false">WEEKDAY(A1394,2)</f>
        <v>1</v>
      </c>
      <c r="F1394" s="10" t="n">
        <f aca="false">WEEKNUM(A1394,2) - WEEKNUM(DATE(YEAR(A1394),MONTH(A1394),1),2) + 1</f>
        <v>4</v>
      </c>
      <c r="G1394" s="10"/>
      <c r="H1394" s="11" t="n">
        <v>2130</v>
      </c>
      <c r="I1394" s="12" t="s">
        <v>15</v>
      </c>
      <c r="J1394" s="12" t="s">
        <v>59</v>
      </c>
      <c r="K1394" s="12"/>
      <c r="L1394" s="9" t="n">
        <f aca="false">L1393+H1394</f>
        <v>27679.72</v>
      </c>
      <c r="M1394" s="10" t="str">
        <f aca="false">VLOOKUP(J1394,RECATALOGANDO!A:C,2,0)</f>
        <v>SERVICIO DE PENSION</v>
      </c>
      <c r="N1394" s="12" t="str">
        <f aca="false">VLOOKUP(M1394,RECATALOGANDO!B:C,2,0)</f>
        <v>VENTA DE SERVICIO</v>
      </c>
      <c r="O1394" s="2" t="s">
        <v>78</v>
      </c>
    </row>
    <row r="1395" customFormat="false" ht="13.8" hidden="false" customHeight="false" outlineLevel="0" collapsed="false">
      <c r="A1395" s="8" t="n">
        <v>45797</v>
      </c>
      <c r="B1395" s="9" t="n">
        <f aca="false">DAY(A1395)</f>
        <v>20</v>
      </c>
      <c r="C1395" s="9" t="n">
        <f aca="false">MONTH(A1395)</f>
        <v>5</v>
      </c>
      <c r="D1395" s="9" t="n">
        <f aca="false">YEAR(A1395)</f>
        <v>2025</v>
      </c>
      <c r="E1395" s="9" t="n">
        <f aca="false">WEEKDAY(A1395,2)</f>
        <v>2</v>
      </c>
      <c r="F1395" s="10" t="n">
        <f aca="false">WEEKNUM(A1395,2) - WEEKNUM(DATE(YEAR(A1395),MONTH(A1395),1),2) + 1</f>
        <v>4</v>
      </c>
      <c r="G1395" s="10"/>
      <c r="H1395" s="11" t="n">
        <v>2800</v>
      </c>
      <c r="I1395" s="12" t="s">
        <v>20</v>
      </c>
      <c r="J1395" s="12" t="s">
        <v>45</v>
      </c>
      <c r="K1395" s="12"/>
      <c r="L1395" s="9" t="n">
        <f aca="false">L1394+H1395</f>
        <v>30479.72</v>
      </c>
      <c r="M1395" s="10" t="str">
        <f aca="false">VLOOKUP(J1395,RECATALOGANDO!A:C,2,0)</f>
        <v>VENTA DE MEDICAMENTO</v>
      </c>
      <c r="N1395" s="12" t="str">
        <f aca="false">VLOOKUP(M1395,RECATALOGANDO!B:C,2,0)</f>
        <v>VENTA DE PRODUCTO</v>
      </c>
      <c r="O1395" s="2" t="s">
        <v>78</v>
      </c>
    </row>
    <row r="1396" customFormat="false" ht="13.8" hidden="false" customHeight="false" outlineLevel="0" collapsed="false">
      <c r="A1396" s="8" t="n">
        <v>45797</v>
      </c>
      <c r="B1396" s="9" t="n">
        <f aca="false">DAY(A1396)</f>
        <v>20</v>
      </c>
      <c r="C1396" s="9" t="n">
        <f aca="false">MONTH(A1396)</f>
        <v>5</v>
      </c>
      <c r="D1396" s="9" t="n">
        <f aca="false">YEAR(A1396)</f>
        <v>2025</v>
      </c>
      <c r="E1396" s="9" t="n">
        <f aca="false">WEEKDAY(A1396,2)</f>
        <v>2</v>
      </c>
      <c r="F1396" s="10" t="n">
        <f aca="false">WEEKNUM(A1396,2) - WEEKNUM(DATE(YEAR(A1396),MONTH(A1396),1),2) + 1</f>
        <v>4</v>
      </c>
      <c r="G1396" s="10"/>
      <c r="H1396" s="11" t="n">
        <v>1150</v>
      </c>
      <c r="I1396" s="12" t="s">
        <v>20</v>
      </c>
      <c r="J1396" s="12" t="s">
        <v>57</v>
      </c>
      <c r="K1396" s="12"/>
      <c r="L1396" s="9" t="n">
        <f aca="false">L1395+H1396</f>
        <v>31629.72</v>
      </c>
      <c r="M1396" s="10" t="str">
        <f aca="false">VLOOKUP(J1396,RECATALOGANDO!A:C,2,0)</f>
        <v>SERVICIO DE CREMACION</v>
      </c>
      <c r="N1396" s="12" t="str">
        <f aca="false">VLOOKUP(M1396,RECATALOGANDO!B:C,2,0)</f>
        <v>VENTA DE SERVICIO</v>
      </c>
      <c r="O1396" s="2" t="s">
        <v>78</v>
      </c>
    </row>
    <row r="1397" customFormat="false" ht="13.8" hidden="false" customHeight="false" outlineLevel="0" collapsed="false">
      <c r="A1397" s="8" t="n">
        <v>45798</v>
      </c>
      <c r="B1397" s="9" t="n">
        <f aca="false">DAY(A1397)</f>
        <v>21</v>
      </c>
      <c r="C1397" s="9" t="n">
        <f aca="false">MONTH(A1397)</f>
        <v>5</v>
      </c>
      <c r="D1397" s="9" t="n">
        <f aca="false">YEAR(A1397)</f>
        <v>2025</v>
      </c>
      <c r="E1397" s="9" t="n">
        <f aca="false">WEEKDAY(A1397,2)</f>
        <v>3</v>
      </c>
      <c r="F1397" s="10" t="n">
        <f aca="false">WEEKNUM(A1397,2) - WEEKNUM(DATE(YEAR(A1397),MONTH(A1397),1),2) + 1</f>
        <v>4</v>
      </c>
      <c r="G1397" s="10"/>
      <c r="H1397" s="11" t="n">
        <v>297.05</v>
      </c>
      <c r="I1397" s="12" t="s">
        <v>15</v>
      </c>
      <c r="J1397" s="12" t="s">
        <v>51</v>
      </c>
      <c r="K1397" s="12"/>
      <c r="L1397" s="9" t="n">
        <f aca="false">L1396+H1397</f>
        <v>31926.77</v>
      </c>
      <c r="M1397" s="10" t="str">
        <f aca="false">VLOOKUP(J1397,RECATALOGANDO!A:C,2,0)</f>
        <v>VENTA DE ALIMENTO</v>
      </c>
      <c r="N1397" s="12" t="str">
        <f aca="false">VLOOKUP(M1397,RECATALOGANDO!B:C,2,0)</f>
        <v>VENTA DE PRODUCTO</v>
      </c>
      <c r="O1397" s="2" t="s">
        <v>78</v>
      </c>
    </row>
    <row r="1398" customFormat="false" ht="13.8" hidden="false" customHeight="false" outlineLevel="0" collapsed="false">
      <c r="A1398" s="8" t="n">
        <v>45798</v>
      </c>
      <c r="B1398" s="9" t="n">
        <f aca="false">DAY(A1398)</f>
        <v>21</v>
      </c>
      <c r="C1398" s="9" t="n">
        <f aca="false">MONTH(A1398)</f>
        <v>5</v>
      </c>
      <c r="D1398" s="9" t="n">
        <f aca="false">YEAR(A1398)</f>
        <v>2025</v>
      </c>
      <c r="E1398" s="9" t="n">
        <f aca="false">WEEKDAY(A1398,2)</f>
        <v>3</v>
      </c>
      <c r="F1398" s="10" t="n">
        <f aca="false">WEEKNUM(A1398,2) - WEEKNUM(DATE(YEAR(A1398),MONTH(A1398),1),2) + 1</f>
        <v>4</v>
      </c>
      <c r="G1398" s="10"/>
      <c r="H1398" s="11" t="n">
        <v>750</v>
      </c>
      <c r="I1398" s="12" t="s">
        <v>20</v>
      </c>
      <c r="J1398" s="12" t="s">
        <v>44</v>
      </c>
      <c r="K1398" s="12"/>
      <c r="L1398" s="9" t="n">
        <f aca="false">L1397+H1398</f>
        <v>32676.77</v>
      </c>
      <c r="M1398" s="10" t="str">
        <f aca="false">VLOOKUP(J1398,RECATALOGANDO!A:C,2,0)</f>
        <v>HONORARIOS MEDICOS</v>
      </c>
      <c r="N1398" s="12" t="str">
        <f aca="false">VLOOKUP(M1398,RECATALOGANDO!B:C,2,0)</f>
        <v>VENTA DE SERVICIO</v>
      </c>
      <c r="O1398" s="2" t="s">
        <v>78</v>
      </c>
    </row>
    <row r="1399" customFormat="false" ht="13.8" hidden="false" customHeight="false" outlineLevel="0" collapsed="false">
      <c r="A1399" s="8" t="n">
        <v>45799</v>
      </c>
      <c r="B1399" s="9" t="n">
        <f aca="false">DAY(A1399)</f>
        <v>22</v>
      </c>
      <c r="C1399" s="9" t="n">
        <f aca="false">MONTH(A1399)</f>
        <v>5</v>
      </c>
      <c r="D1399" s="9" t="n">
        <f aca="false">YEAR(A1399)</f>
        <v>2025</v>
      </c>
      <c r="E1399" s="9" t="n">
        <f aca="false">WEEKDAY(A1399,2)</f>
        <v>4</v>
      </c>
      <c r="F1399" s="10" t="n">
        <f aca="false">WEEKNUM(A1399,2) - WEEKNUM(DATE(YEAR(A1399),MONTH(A1399),1),2) + 1</f>
        <v>4</v>
      </c>
      <c r="G1399" s="10"/>
      <c r="H1399" s="11" t="n">
        <v>1135</v>
      </c>
      <c r="I1399" s="12" t="s">
        <v>20</v>
      </c>
      <c r="J1399" s="12" t="s">
        <v>45</v>
      </c>
      <c r="K1399" s="12"/>
      <c r="L1399" s="9" t="n">
        <f aca="false">L1398+H1399</f>
        <v>33811.77</v>
      </c>
      <c r="M1399" s="10" t="str">
        <f aca="false">VLOOKUP(J1399,RECATALOGANDO!A:C,2,0)</f>
        <v>VENTA DE MEDICAMENTO</v>
      </c>
      <c r="N1399" s="12" t="str">
        <f aca="false">VLOOKUP(M1399,RECATALOGANDO!B:C,2,0)</f>
        <v>VENTA DE PRODUCTO</v>
      </c>
      <c r="O1399" s="2" t="s">
        <v>78</v>
      </c>
    </row>
    <row r="1400" customFormat="false" ht="13.8" hidden="false" customHeight="false" outlineLevel="0" collapsed="false">
      <c r="A1400" s="8" t="n">
        <v>45799</v>
      </c>
      <c r="B1400" s="9" t="n">
        <f aca="false">DAY(A1400)</f>
        <v>22</v>
      </c>
      <c r="C1400" s="9" t="n">
        <f aca="false">MONTH(A1400)</f>
        <v>5</v>
      </c>
      <c r="D1400" s="9" t="n">
        <f aca="false">YEAR(A1400)</f>
        <v>2025</v>
      </c>
      <c r="E1400" s="9" t="n">
        <f aca="false">WEEKDAY(A1400,2)</f>
        <v>4</v>
      </c>
      <c r="F1400" s="10" t="n">
        <f aca="false">WEEKNUM(A1400,2) - WEEKNUM(DATE(YEAR(A1400),MONTH(A1400),1),2) + 1</f>
        <v>4</v>
      </c>
      <c r="G1400" s="10"/>
      <c r="H1400" s="11" t="n">
        <v>3452.5</v>
      </c>
      <c r="I1400" s="12" t="s">
        <v>20</v>
      </c>
      <c r="J1400" s="12" t="s">
        <v>45</v>
      </c>
      <c r="K1400" s="12"/>
      <c r="L1400" s="9" t="n">
        <f aca="false">L1399+H1400</f>
        <v>37264.27</v>
      </c>
      <c r="M1400" s="10" t="str">
        <f aca="false">VLOOKUP(J1400,RECATALOGANDO!A:C,2,0)</f>
        <v>VENTA DE MEDICAMENTO</v>
      </c>
      <c r="N1400" s="12" t="str">
        <f aca="false">VLOOKUP(M1400,RECATALOGANDO!B:C,2,0)</f>
        <v>VENTA DE PRODUCTO</v>
      </c>
      <c r="O1400" s="2" t="s">
        <v>78</v>
      </c>
    </row>
    <row r="1401" customFormat="false" ht="13.8" hidden="false" customHeight="false" outlineLevel="0" collapsed="false">
      <c r="A1401" s="8" t="n">
        <v>45799</v>
      </c>
      <c r="B1401" s="9" t="n">
        <f aca="false">DAY(A1401)</f>
        <v>22</v>
      </c>
      <c r="C1401" s="9" t="n">
        <f aca="false">MONTH(A1401)</f>
        <v>5</v>
      </c>
      <c r="D1401" s="9" t="n">
        <f aca="false">YEAR(A1401)</f>
        <v>2025</v>
      </c>
      <c r="E1401" s="9" t="n">
        <f aca="false">WEEKDAY(A1401,2)</f>
        <v>4</v>
      </c>
      <c r="F1401" s="10" t="n">
        <f aca="false">WEEKNUM(A1401,2) - WEEKNUM(DATE(YEAR(A1401),MONTH(A1401),1),2) + 1</f>
        <v>4</v>
      </c>
      <c r="G1401" s="10"/>
      <c r="H1401" s="11" t="n">
        <v>790</v>
      </c>
      <c r="I1401" s="12" t="s">
        <v>20</v>
      </c>
      <c r="J1401" s="12" t="s">
        <v>59</v>
      </c>
      <c r="K1401" s="12"/>
      <c r="L1401" s="9" t="n">
        <f aca="false">L1400+H1401</f>
        <v>38054.27</v>
      </c>
      <c r="M1401" s="10" t="str">
        <f aca="false">VLOOKUP(J1401,RECATALOGANDO!A:C,2,0)</f>
        <v>SERVICIO DE PENSION</v>
      </c>
      <c r="N1401" s="12" t="str">
        <f aca="false">VLOOKUP(M1401,RECATALOGANDO!B:C,2,0)</f>
        <v>VENTA DE SERVICIO</v>
      </c>
      <c r="O1401" s="2" t="s">
        <v>78</v>
      </c>
    </row>
    <row r="1402" customFormat="false" ht="13.8" hidden="false" customHeight="false" outlineLevel="0" collapsed="false">
      <c r="A1402" s="8" t="n">
        <v>45800</v>
      </c>
      <c r="B1402" s="9" t="n">
        <f aca="false">DAY(A1402)</f>
        <v>23</v>
      </c>
      <c r="C1402" s="9" t="n">
        <f aca="false">MONTH(A1402)</f>
        <v>5</v>
      </c>
      <c r="D1402" s="9" t="n">
        <f aca="false">YEAR(A1402)</f>
        <v>2025</v>
      </c>
      <c r="E1402" s="9" t="n">
        <f aca="false">WEEKDAY(A1402,2)</f>
        <v>5</v>
      </c>
      <c r="F1402" s="10" t="n">
        <f aca="false">WEEKNUM(A1402,2) - WEEKNUM(DATE(YEAR(A1402),MONTH(A1402),1),2) + 1</f>
        <v>4</v>
      </c>
      <c r="G1402" s="10"/>
      <c r="H1402" s="11" t="n">
        <v>700</v>
      </c>
      <c r="I1402" s="12" t="s">
        <v>20</v>
      </c>
      <c r="J1402" s="12" t="s">
        <v>45</v>
      </c>
      <c r="K1402" s="12"/>
      <c r="L1402" s="9" t="n">
        <f aca="false">L1401+H1402</f>
        <v>38754.27</v>
      </c>
      <c r="M1402" s="10" t="str">
        <f aca="false">VLOOKUP(J1402,RECATALOGANDO!A:C,2,0)</f>
        <v>VENTA DE MEDICAMENTO</v>
      </c>
      <c r="N1402" s="12" t="str">
        <f aca="false">VLOOKUP(M1402,RECATALOGANDO!B:C,2,0)</f>
        <v>VENTA DE PRODUCTO</v>
      </c>
      <c r="O1402" s="2" t="s">
        <v>78</v>
      </c>
    </row>
    <row r="1403" customFormat="false" ht="13.8" hidden="false" customHeight="false" outlineLevel="0" collapsed="false">
      <c r="A1403" s="8" t="n">
        <v>45800</v>
      </c>
      <c r="B1403" s="9" t="n">
        <f aca="false">DAY(A1403)</f>
        <v>23</v>
      </c>
      <c r="C1403" s="9" t="n">
        <f aca="false">MONTH(A1403)</f>
        <v>5</v>
      </c>
      <c r="D1403" s="9" t="n">
        <f aca="false">YEAR(A1403)</f>
        <v>2025</v>
      </c>
      <c r="E1403" s="9" t="n">
        <f aca="false">WEEKDAY(A1403,2)</f>
        <v>5</v>
      </c>
      <c r="F1403" s="10" t="n">
        <f aca="false">WEEKNUM(A1403,2) - WEEKNUM(DATE(YEAR(A1403),MONTH(A1403),1),2) + 1</f>
        <v>4</v>
      </c>
      <c r="G1403" s="10"/>
      <c r="H1403" s="11" t="n">
        <v>1070</v>
      </c>
      <c r="I1403" s="12" t="s">
        <v>20</v>
      </c>
      <c r="J1403" s="12" t="s">
        <v>45</v>
      </c>
      <c r="K1403" s="12"/>
      <c r="L1403" s="9" t="n">
        <f aca="false">L1402+H1403</f>
        <v>39824.27</v>
      </c>
      <c r="M1403" s="10" t="str">
        <f aca="false">VLOOKUP(J1403,RECATALOGANDO!A:C,2,0)</f>
        <v>VENTA DE MEDICAMENTO</v>
      </c>
      <c r="N1403" s="12" t="str">
        <f aca="false">VLOOKUP(M1403,RECATALOGANDO!B:C,2,0)</f>
        <v>VENTA DE PRODUCTO</v>
      </c>
      <c r="O1403" s="2" t="s">
        <v>78</v>
      </c>
    </row>
    <row r="1404" customFormat="false" ht="13.8" hidden="false" customHeight="false" outlineLevel="0" collapsed="false">
      <c r="A1404" s="8" t="n">
        <v>45800</v>
      </c>
      <c r="B1404" s="9" t="n">
        <f aca="false">DAY(A1404)</f>
        <v>23</v>
      </c>
      <c r="C1404" s="9" t="n">
        <f aca="false">MONTH(A1404)</f>
        <v>5</v>
      </c>
      <c r="D1404" s="9" t="n">
        <f aca="false">YEAR(A1404)</f>
        <v>2025</v>
      </c>
      <c r="E1404" s="9" t="n">
        <f aca="false">WEEKDAY(A1404,2)</f>
        <v>5</v>
      </c>
      <c r="F1404" s="10" t="n">
        <f aca="false">WEEKNUM(A1404,2) - WEEKNUM(DATE(YEAR(A1404),MONTH(A1404),1),2) + 1</f>
        <v>4</v>
      </c>
      <c r="G1404" s="10"/>
      <c r="H1404" s="11" t="n">
        <v>1508</v>
      </c>
      <c r="I1404" s="12" t="s">
        <v>20</v>
      </c>
      <c r="J1404" s="12" t="s">
        <v>57</v>
      </c>
      <c r="K1404" s="12"/>
      <c r="L1404" s="9" t="n">
        <f aca="false">L1403+H1404</f>
        <v>41332.27</v>
      </c>
      <c r="M1404" s="10" t="str">
        <f aca="false">VLOOKUP(J1404,RECATALOGANDO!A:C,2,0)</f>
        <v>SERVICIO DE CREMACION</v>
      </c>
      <c r="N1404" s="12" t="str">
        <f aca="false">VLOOKUP(M1404,RECATALOGANDO!B:C,2,0)</f>
        <v>VENTA DE SERVICIO</v>
      </c>
      <c r="O1404" s="2" t="s">
        <v>78</v>
      </c>
    </row>
    <row r="1405" customFormat="false" ht="13.8" hidden="false" customHeight="false" outlineLevel="0" collapsed="false">
      <c r="A1405" s="8" t="n">
        <v>45803</v>
      </c>
      <c r="B1405" s="9" t="n">
        <f aca="false">DAY(A1405)</f>
        <v>26</v>
      </c>
      <c r="C1405" s="9" t="n">
        <f aca="false">MONTH(A1405)</f>
        <v>5</v>
      </c>
      <c r="D1405" s="9" t="n">
        <f aca="false">YEAR(A1405)</f>
        <v>2025</v>
      </c>
      <c r="E1405" s="9" t="n">
        <f aca="false">WEEKDAY(A1405,2)</f>
        <v>1</v>
      </c>
      <c r="F1405" s="10" t="n">
        <f aca="false">WEEKNUM(A1405,2) - WEEKNUM(DATE(YEAR(A1405),MONTH(A1405),1),2) + 1</f>
        <v>5</v>
      </c>
      <c r="G1405" s="10"/>
      <c r="H1405" s="11" t="n">
        <v>850</v>
      </c>
      <c r="I1405" s="12" t="s">
        <v>15</v>
      </c>
      <c r="J1405" s="12" t="s">
        <v>51</v>
      </c>
      <c r="K1405" s="12"/>
      <c r="L1405" s="9" t="n">
        <f aca="false">L1404+H1405</f>
        <v>42182.27</v>
      </c>
      <c r="M1405" s="10" t="str">
        <f aca="false">VLOOKUP(J1405,RECATALOGANDO!A:C,2,0)</f>
        <v>VENTA DE ALIMENTO</v>
      </c>
      <c r="N1405" s="12" t="str">
        <f aca="false">VLOOKUP(M1405,RECATALOGANDO!B:C,2,0)</f>
        <v>VENTA DE PRODUCTO</v>
      </c>
      <c r="O1405" s="2" t="s">
        <v>78</v>
      </c>
    </row>
    <row r="1406" customFormat="false" ht="13.8" hidden="false" customHeight="false" outlineLevel="0" collapsed="false">
      <c r="A1406" s="8" t="n">
        <v>45803</v>
      </c>
      <c r="B1406" s="9" t="n">
        <f aca="false">DAY(A1406)</f>
        <v>26</v>
      </c>
      <c r="C1406" s="9" t="n">
        <f aca="false">MONTH(A1406)</f>
        <v>5</v>
      </c>
      <c r="D1406" s="9" t="n">
        <f aca="false">YEAR(A1406)</f>
        <v>2025</v>
      </c>
      <c r="E1406" s="9" t="n">
        <f aca="false">WEEKDAY(A1406,2)</f>
        <v>1</v>
      </c>
      <c r="F1406" s="10" t="n">
        <f aca="false">WEEKNUM(A1406,2) - WEEKNUM(DATE(YEAR(A1406),MONTH(A1406),1),2) + 1</f>
        <v>5</v>
      </c>
      <c r="G1406" s="10"/>
      <c r="H1406" s="11" t="n">
        <v>2400</v>
      </c>
      <c r="I1406" s="12" t="s">
        <v>20</v>
      </c>
      <c r="J1406" s="12" t="s">
        <v>57</v>
      </c>
      <c r="K1406" s="12"/>
      <c r="L1406" s="9" t="n">
        <f aca="false">L1405+H1406</f>
        <v>44582.27</v>
      </c>
      <c r="M1406" s="10" t="str">
        <f aca="false">VLOOKUP(J1406,RECATALOGANDO!A:C,2,0)</f>
        <v>SERVICIO DE CREMACION</v>
      </c>
      <c r="N1406" s="12" t="str">
        <f aca="false">VLOOKUP(M1406,RECATALOGANDO!B:C,2,0)</f>
        <v>VENTA DE SERVICIO</v>
      </c>
      <c r="O1406" s="2" t="s">
        <v>78</v>
      </c>
    </row>
    <row r="1407" customFormat="false" ht="13.8" hidden="false" customHeight="false" outlineLevel="0" collapsed="false">
      <c r="A1407" s="8" t="n">
        <v>45803</v>
      </c>
      <c r="B1407" s="9" t="n">
        <f aca="false">DAY(A1407)</f>
        <v>26</v>
      </c>
      <c r="C1407" s="9" t="n">
        <f aca="false">MONTH(A1407)</f>
        <v>5</v>
      </c>
      <c r="D1407" s="9" t="n">
        <f aca="false">YEAR(A1407)</f>
        <v>2025</v>
      </c>
      <c r="E1407" s="9" t="n">
        <f aca="false">WEEKDAY(A1407,2)</f>
        <v>1</v>
      </c>
      <c r="F1407" s="10" t="n">
        <f aca="false">WEEKNUM(A1407,2) - WEEKNUM(DATE(YEAR(A1407),MONTH(A1407),1),2) + 1</f>
        <v>5</v>
      </c>
      <c r="G1407" s="10"/>
      <c r="H1407" s="11" t="n">
        <v>3025</v>
      </c>
      <c r="I1407" s="12" t="s">
        <v>15</v>
      </c>
      <c r="J1407" s="12" t="s">
        <v>44</v>
      </c>
      <c r="K1407" s="12"/>
      <c r="L1407" s="9" t="n">
        <f aca="false">L1406+H1407</f>
        <v>47607.27</v>
      </c>
      <c r="M1407" s="10" t="str">
        <f aca="false">VLOOKUP(J1407,RECATALOGANDO!A:C,2,0)</f>
        <v>HONORARIOS MEDICOS</v>
      </c>
      <c r="N1407" s="12" t="str">
        <f aca="false">VLOOKUP(M1407,RECATALOGANDO!B:C,2,0)</f>
        <v>VENTA DE SERVICIO</v>
      </c>
      <c r="O1407" s="2" t="s">
        <v>78</v>
      </c>
    </row>
    <row r="1408" customFormat="false" ht="13.8" hidden="false" customHeight="false" outlineLevel="0" collapsed="false">
      <c r="A1408" s="8" t="n">
        <v>45805</v>
      </c>
      <c r="B1408" s="9" t="n">
        <f aca="false">DAY(A1408)</f>
        <v>28</v>
      </c>
      <c r="C1408" s="9" t="n">
        <f aca="false">MONTH(A1408)</f>
        <v>5</v>
      </c>
      <c r="D1408" s="9" t="n">
        <f aca="false">YEAR(A1408)</f>
        <v>2025</v>
      </c>
      <c r="E1408" s="9" t="n">
        <f aca="false">WEEKDAY(A1408,2)</f>
        <v>3</v>
      </c>
      <c r="F1408" s="10" t="n">
        <f aca="false">WEEKNUM(A1408,2) - WEEKNUM(DATE(YEAR(A1408),MONTH(A1408),1),2) + 1</f>
        <v>5</v>
      </c>
      <c r="G1408" s="10"/>
      <c r="H1408" s="11" t="n">
        <v>1800</v>
      </c>
      <c r="I1408" s="12" t="s">
        <v>20</v>
      </c>
      <c r="J1408" s="12" t="s">
        <v>44</v>
      </c>
      <c r="K1408" s="12"/>
      <c r="L1408" s="9" t="n">
        <f aca="false">L1407+H1408</f>
        <v>49407.27</v>
      </c>
      <c r="M1408" s="10" t="str">
        <f aca="false">VLOOKUP(J1408,RECATALOGANDO!A:C,2,0)</f>
        <v>HONORARIOS MEDICOS</v>
      </c>
      <c r="N1408" s="12" t="str">
        <f aca="false">VLOOKUP(M1408,RECATALOGANDO!B:C,2,0)</f>
        <v>VENTA DE SERVICIO</v>
      </c>
      <c r="O1408" s="2" t="s">
        <v>78</v>
      </c>
    </row>
    <row r="1409" customFormat="false" ht="13.8" hidden="false" customHeight="false" outlineLevel="0" collapsed="false">
      <c r="A1409" s="8" t="n">
        <v>45806</v>
      </c>
      <c r="B1409" s="9" t="n">
        <f aca="false">DAY(A1409)</f>
        <v>29</v>
      </c>
      <c r="C1409" s="9" t="n">
        <f aca="false">MONTH(A1409)</f>
        <v>5</v>
      </c>
      <c r="D1409" s="9" t="n">
        <f aca="false">YEAR(A1409)</f>
        <v>2025</v>
      </c>
      <c r="E1409" s="9" t="n">
        <f aca="false">WEEKDAY(A1409,2)</f>
        <v>4</v>
      </c>
      <c r="F1409" s="10" t="n">
        <f aca="false">WEEKNUM(A1409,2) - WEEKNUM(DATE(YEAR(A1409),MONTH(A1409),1),2) + 1</f>
        <v>5</v>
      </c>
      <c r="G1409" s="10"/>
      <c r="H1409" s="11" t="n">
        <v>190</v>
      </c>
      <c r="I1409" s="12" t="s">
        <v>20</v>
      </c>
      <c r="J1409" s="12" t="s">
        <v>45</v>
      </c>
      <c r="K1409" s="12"/>
      <c r="L1409" s="9" t="n">
        <f aca="false">L1408+H1409</f>
        <v>49597.27</v>
      </c>
      <c r="M1409" s="10" t="str">
        <f aca="false">VLOOKUP(J1409,RECATALOGANDO!A:C,2,0)</f>
        <v>VENTA DE MEDICAMENTO</v>
      </c>
      <c r="N1409" s="12" t="str">
        <f aca="false">VLOOKUP(M1409,RECATALOGANDO!B:C,2,0)</f>
        <v>VENTA DE PRODUCTO</v>
      </c>
      <c r="O1409" s="2" t="s">
        <v>78</v>
      </c>
    </row>
    <row r="1410" customFormat="false" ht="13.8" hidden="false" customHeight="false" outlineLevel="0" collapsed="false">
      <c r="A1410" s="8" t="n">
        <v>45806</v>
      </c>
      <c r="B1410" s="9" t="n">
        <f aca="false">DAY(A1410)</f>
        <v>29</v>
      </c>
      <c r="C1410" s="9" t="n">
        <f aca="false">MONTH(A1410)</f>
        <v>5</v>
      </c>
      <c r="D1410" s="9" t="n">
        <f aca="false">YEAR(A1410)</f>
        <v>2025</v>
      </c>
      <c r="E1410" s="9" t="n">
        <f aca="false">WEEKDAY(A1410,2)</f>
        <v>4</v>
      </c>
      <c r="F1410" s="10" t="n">
        <f aca="false">WEEKNUM(A1410,2) - WEEKNUM(DATE(YEAR(A1410),MONTH(A1410),1),2) + 1</f>
        <v>5</v>
      </c>
      <c r="G1410" s="10"/>
      <c r="H1410" s="11" t="n">
        <v>478</v>
      </c>
      <c r="I1410" s="12" t="s">
        <v>20</v>
      </c>
      <c r="J1410" s="12" t="s">
        <v>45</v>
      </c>
      <c r="K1410" s="12"/>
      <c r="L1410" s="9" t="n">
        <f aca="false">L1409+H1410</f>
        <v>50075.27</v>
      </c>
      <c r="M1410" s="10" t="str">
        <f aca="false">VLOOKUP(J1410,RECATALOGANDO!A:C,2,0)</f>
        <v>VENTA DE MEDICAMENTO</v>
      </c>
      <c r="N1410" s="12" t="str">
        <f aca="false">VLOOKUP(M1410,RECATALOGANDO!B:C,2,0)</f>
        <v>VENTA DE PRODUCTO</v>
      </c>
      <c r="O1410" s="2" t="s">
        <v>78</v>
      </c>
    </row>
    <row r="1411" customFormat="false" ht="13.8" hidden="false" customHeight="false" outlineLevel="0" collapsed="false">
      <c r="A1411" s="8" t="n">
        <v>45807</v>
      </c>
      <c r="B1411" s="9" t="n">
        <f aca="false">DAY(A1411)</f>
        <v>30</v>
      </c>
      <c r="C1411" s="9" t="n">
        <f aca="false">MONTH(A1411)</f>
        <v>5</v>
      </c>
      <c r="D1411" s="9" t="n">
        <f aca="false">YEAR(A1411)</f>
        <v>2025</v>
      </c>
      <c r="E1411" s="9" t="n">
        <f aca="false">WEEKDAY(A1411,2)</f>
        <v>5</v>
      </c>
      <c r="F1411" s="10" t="n">
        <f aca="false">WEEKNUM(A1411,2) - WEEKNUM(DATE(YEAR(A1411),MONTH(A1411),1),2) + 1</f>
        <v>5</v>
      </c>
      <c r="G1411" s="10" t="n">
        <v>2</v>
      </c>
      <c r="H1411" s="11" t="n">
        <v>4000</v>
      </c>
      <c r="I1411" s="12" t="s">
        <v>20</v>
      </c>
      <c r="J1411" s="12" t="s">
        <v>45</v>
      </c>
      <c r="K1411" s="12"/>
      <c r="L1411" s="9" t="n">
        <f aca="false">L1410+H1411</f>
        <v>54075.27</v>
      </c>
      <c r="M1411" s="10" t="str">
        <f aca="false">VLOOKUP(J1411,RECATALOGANDO!A:C,2,0)</f>
        <v>VENTA DE MEDICAMENTO</v>
      </c>
      <c r="N1411" s="12" t="str">
        <f aca="false">VLOOKUP(M1411,RECATALOGANDO!B:C,2,0)</f>
        <v>VENTA DE PRODUCTO</v>
      </c>
      <c r="O1411" s="2" t="s">
        <v>78</v>
      </c>
    </row>
    <row r="1412" customFormat="false" ht="13.8" hidden="false" customHeight="false" outlineLevel="0" collapsed="false">
      <c r="A1412" s="8" t="n">
        <v>45807</v>
      </c>
      <c r="B1412" s="9" t="n">
        <f aca="false">DAY(A1412)</f>
        <v>30</v>
      </c>
      <c r="C1412" s="9" t="n">
        <f aca="false">MONTH(A1412)</f>
        <v>5</v>
      </c>
      <c r="D1412" s="9" t="n">
        <f aca="false">YEAR(A1412)</f>
        <v>2025</v>
      </c>
      <c r="E1412" s="9" t="n">
        <f aca="false">WEEKDAY(A1412,2)</f>
        <v>5</v>
      </c>
      <c r="F1412" s="10" t="n">
        <f aca="false">WEEKNUM(A1412,2) - WEEKNUM(DATE(YEAR(A1412),MONTH(A1412),1),2) + 1</f>
        <v>5</v>
      </c>
      <c r="G1412" s="10" t="n">
        <v>2</v>
      </c>
      <c r="H1412" s="11" t="n">
        <v>140</v>
      </c>
      <c r="I1412" s="12" t="s">
        <v>20</v>
      </c>
      <c r="J1412" s="12" t="s">
        <v>49</v>
      </c>
      <c r="K1412" s="12"/>
      <c r="L1412" s="9" t="n">
        <f aca="false">L1411+H1412</f>
        <v>54215.27</v>
      </c>
      <c r="M1412" s="10" t="str">
        <f aca="false">VLOOKUP(J1412,RECATALOGANDO!A:C,2,0)</f>
        <v>SERVICIO DE GROOMING</v>
      </c>
      <c r="N1412" s="12" t="str">
        <f aca="false">VLOOKUP(M1412,RECATALOGANDO!B:C,2,0)</f>
        <v>VENTA DE SERVICIO</v>
      </c>
      <c r="O1412" s="2" t="s">
        <v>78</v>
      </c>
    </row>
    <row r="1413" customFormat="false" ht="13.8" hidden="false" customHeight="false" outlineLevel="0" collapsed="false">
      <c r="A1413" s="8" t="n">
        <v>45807</v>
      </c>
      <c r="B1413" s="9" t="n">
        <f aca="false">DAY(A1413)</f>
        <v>30</v>
      </c>
      <c r="C1413" s="9" t="n">
        <f aca="false">MONTH(A1413)</f>
        <v>5</v>
      </c>
      <c r="D1413" s="9" t="n">
        <f aca="false">YEAR(A1413)</f>
        <v>2025</v>
      </c>
      <c r="E1413" s="9" t="n">
        <f aca="false">WEEKDAY(A1413,2)</f>
        <v>5</v>
      </c>
      <c r="F1413" s="10" t="n">
        <f aca="false">WEEKNUM(A1413,2) - WEEKNUM(DATE(YEAR(A1413),MONTH(A1413),1),2) + 1</f>
        <v>5</v>
      </c>
      <c r="G1413" s="10" t="n">
        <v>2</v>
      </c>
      <c r="H1413" s="11" t="n">
        <v>1800</v>
      </c>
      <c r="I1413" s="12" t="s">
        <v>20</v>
      </c>
      <c r="J1413" s="12" t="s">
        <v>57</v>
      </c>
      <c r="K1413" s="12"/>
      <c r="L1413" s="9" t="n">
        <f aca="false">L1412+H1413</f>
        <v>56015.27</v>
      </c>
      <c r="M1413" s="10" t="str">
        <f aca="false">VLOOKUP(J1413,RECATALOGANDO!A:C,2,0)</f>
        <v>SERVICIO DE CREMACION</v>
      </c>
      <c r="N1413" s="12" t="str">
        <f aca="false">VLOOKUP(M1413,RECATALOGANDO!B:C,2,0)</f>
        <v>VENTA DE SERVICIO</v>
      </c>
      <c r="O1413" s="2" t="s">
        <v>78</v>
      </c>
    </row>
    <row r="1414" customFormat="false" ht="13.8" hidden="false" customHeight="false" outlineLevel="0" collapsed="false">
      <c r="A1414" s="8" t="n">
        <v>45814</v>
      </c>
      <c r="B1414" s="9" t="n">
        <f aca="false">DAY(A1414)</f>
        <v>6</v>
      </c>
      <c r="C1414" s="9" t="n">
        <f aca="false">MONTH(A1414)</f>
        <v>6</v>
      </c>
      <c r="D1414" s="9" t="n">
        <f aca="false">YEAR(A1414)</f>
        <v>2025</v>
      </c>
      <c r="E1414" s="9" t="n">
        <f aca="false">WEEKDAY(A1414,2)</f>
        <v>5</v>
      </c>
      <c r="F1414" s="10" t="n">
        <f aca="false">WEEKNUM(A1414,2) - WEEKNUM(DATE(YEAR(A1414),MONTH(A1414),1),2) + 1</f>
        <v>2</v>
      </c>
      <c r="G1414" s="10"/>
      <c r="H1414" s="11" t="n">
        <v>3083.61</v>
      </c>
      <c r="I1414" s="38" t="s">
        <v>15</v>
      </c>
      <c r="J1414" s="38" t="s">
        <v>51</v>
      </c>
      <c r="K1414" s="12"/>
      <c r="L1414" s="9" t="n">
        <f aca="false">H1414</f>
        <v>3083.61</v>
      </c>
      <c r="M1414" s="10" t="str">
        <f aca="false">VLOOKUP(J1414,RECATALOGANDO!A:C,2,0)</f>
        <v>VENTA DE ALIMENTO</v>
      </c>
      <c r="N1414" s="12" t="str">
        <f aca="false">VLOOKUP(M1414,RECATALOGANDO!B:C,2,0)</f>
        <v>VENTA DE PRODUCTO</v>
      </c>
      <c r="O1414" s="2" t="s">
        <v>78</v>
      </c>
    </row>
    <row r="1415" customFormat="false" ht="13.8" hidden="false" customHeight="false" outlineLevel="0" collapsed="false">
      <c r="A1415" s="8" t="n">
        <v>45816</v>
      </c>
      <c r="B1415" s="9" t="n">
        <f aca="false">DAY(A1415)</f>
        <v>8</v>
      </c>
      <c r="C1415" s="9" t="n">
        <f aca="false">MONTH(A1415)</f>
        <v>6</v>
      </c>
      <c r="D1415" s="9" t="n">
        <f aca="false">YEAR(A1415)</f>
        <v>2025</v>
      </c>
      <c r="E1415" s="9" t="n">
        <f aca="false">WEEKDAY(A1415,2)</f>
        <v>7</v>
      </c>
      <c r="F1415" s="10" t="n">
        <f aca="false">WEEKNUM(A1415,2) - WEEKNUM(DATE(YEAR(A1415),MONTH(A1415),1),2) + 1</f>
        <v>2</v>
      </c>
      <c r="G1415" s="10"/>
      <c r="H1415" s="11" t="n">
        <v>380.42</v>
      </c>
      <c r="I1415" s="38" t="s">
        <v>15</v>
      </c>
      <c r="J1415" s="38" t="s">
        <v>45</v>
      </c>
      <c r="K1415" s="12"/>
      <c r="L1415" s="9" t="n">
        <f aca="false">L1414+H1415</f>
        <v>3464.03</v>
      </c>
      <c r="M1415" s="10" t="str">
        <f aca="false">VLOOKUP(J1415,RECATALOGANDO!A:C,2,0)</f>
        <v>VENTA DE MEDICAMENTO</v>
      </c>
      <c r="N1415" s="12" t="str">
        <f aca="false">VLOOKUP(M1415,RECATALOGANDO!B:C,2,0)</f>
        <v>VENTA DE PRODUCTO</v>
      </c>
      <c r="O1415" s="2" t="s">
        <v>78</v>
      </c>
    </row>
    <row r="1416" customFormat="false" ht="13.8" hidden="false" customHeight="false" outlineLevel="0" collapsed="false">
      <c r="A1416" s="8" t="n">
        <v>45817</v>
      </c>
      <c r="B1416" s="9" t="n">
        <f aca="false">DAY(A1416)</f>
        <v>9</v>
      </c>
      <c r="C1416" s="9" t="n">
        <f aca="false">MONTH(A1416)</f>
        <v>6</v>
      </c>
      <c r="D1416" s="9" t="n">
        <f aca="false">YEAR(A1416)</f>
        <v>2025</v>
      </c>
      <c r="E1416" s="9" t="n">
        <f aca="false">WEEKDAY(A1416,2)</f>
        <v>1</v>
      </c>
      <c r="F1416" s="10" t="n">
        <f aca="false">WEEKNUM(A1416,2) - WEEKNUM(DATE(YEAR(A1416),MONTH(A1416),1),2) + 1</f>
        <v>3</v>
      </c>
      <c r="G1416" s="10"/>
      <c r="H1416" s="11" t="n">
        <v>460</v>
      </c>
      <c r="I1416" s="38" t="s">
        <v>20</v>
      </c>
      <c r="J1416" s="38" t="s">
        <v>45</v>
      </c>
      <c r="K1416" s="12"/>
      <c r="L1416" s="9" t="n">
        <f aca="false">L1415+H1416</f>
        <v>3924.03</v>
      </c>
      <c r="M1416" s="10" t="str">
        <f aca="false">VLOOKUP(J1416,RECATALOGANDO!A:C,2,0)</f>
        <v>VENTA DE MEDICAMENTO</v>
      </c>
      <c r="N1416" s="12" t="str">
        <f aca="false">VLOOKUP(M1416,RECATALOGANDO!B:C,2,0)</f>
        <v>VENTA DE PRODUCTO</v>
      </c>
      <c r="O1416" s="2" t="s">
        <v>78</v>
      </c>
    </row>
    <row r="1417" customFormat="false" ht="13.8" hidden="false" customHeight="false" outlineLevel="0" collapsed="false">
      <c r="A1417" s="8" t="n">
        <v>45817</v>
      </c>
      <c r="B1417" s="9" t="n">
        <f aca="false">DAY(A1417)</f>
        <v>9</v>
      </c>
      <c r="C1417" s="9" t="n">
        <f aca="false">MONTH(A1417)</f>
        <v>6</v>
      </c>
      <c r="D1417" s="9" t="n">
        <f aca="false">YEAR(A1417)</f>
        <v>2025</v>
      </c>
      <c r="E1417" s="9" t="n">
        <f aca="false">WEEKDAY(A1417,2)</f>
        <v>1</v>
      </c>
      <c r="F1417" s="10" t="n">
        <f aca="false">WEEKNUM(A1417,2) - WEEKNUM(DATE(YEAR(A1417),MONTH(A1417),1),2) + 1</f>
        <v>3</v>
      </c>
      <c r="G1417" s="10"/>
      <c r="H1417" s="11" t="n">
        <v>3043</v>
      </c>
      <c r="I1417" s="38" t="s">
        <v>20</v>
      </c>
      <c r="J1417" s="38" t="s">
        <v>51</v>
      </c>
      <c r="K1417" s="12"/>
      <c r="L1417" s="9" t="n">
        <f aca="false">L1416+H1417</f>
        <v>6967.03</v>
      </c>
      <c r="M1417" s="10" t="str">
        <f aca="false">VLOOKUP(J1417,RECATALOGANDO!A:C,2,0)</f>
        <v>VENTA DE ALIMENTO</v>
      </c>
      <c r="N1417" s="12" t="str">
        <f aca="false">VLOOKUP(M1417,RECATALOGANDO!B:C,2,0)</f>
        <v>VENTA DE PRODUCTO</v>
      </c>
      <c r="O1417" s="2" t="s">
        <v>78</v>
      </c>
    </row>
    <row r="1418" customFormat="false" ht="13.8" hidden="false" customHeight="false" outlineLevel="0" collapsed="false">
      <c r="A1418" s="8" t="n">
        <v>45817</v>
      </c>
      <c r="B1418" s="9" t="n">
        <f aca="false">DAY(A1418)</f>
        <v>9</v>
      </c>
      <c r="C1418" s="9" t="n">
        <f aca="false">MONTH(A1418)</f>
        <v>6</v>
      </c>
      <c r="D1418" s="9" t="n">
        <f aca="false">YEAR(A1418)</f>
        <v>2025</v>
      </c>
      <c r="E1418" s="9" t="n">
        <f aca="false">WEEKDAY(A1418,2)</f>
        <v>1</v>
      </c>
      <c r="F1418" s="10" t="n">
        <f aca="false">WEEKNUM(A1418,2) - WEEKNUM(DATE(YEAR(A1418),MONTH(A1418),1),2) + 1</f>
        <v>3</v>
      </c>
      <c r="G1418" s="10"/>
      <c r="H1418" s="11" t="n">
        <v>3340</v>
      </c>
      <c r="I1418" s="38" t="s">
        <v>20</v>
      </c>
      <c r="J1418" s="38" t="s">
        <v>45</v>
      </c>
      <c r="K1418" s="12"/>
      <c r="L1418" s="9" t="n">
        <f aca="false">L1417+H1418</f>
        <v>10307.03</v>
      </c>
      <c r="M1418" s="10" t="str">
        <f aca="false">VLOOKUP(J1418,RECATALOGANDO!A:C,2,0)</f>
        <v>VENTA DE MEDICAMENTO</v>
      </c>
      <c r="N1418" s="12" t="str">
        <f aca="false">VLOOKUP(M1418,RECATALOGANDO!B:C,2,0)</f>
        <v>VENTA DE PRODUCTO</v>
      </c>
      <c r="O1418" s="2" t="s">
        <v>78</v>
      </c>
    </row>
    <row r="1419" customFormat="false" ht="13.8" hidden="false" customHeight="false" outlineLevel="0" collapsed="false">
      <c r="A1419" s="8" t="n">
        <v>45819</v>
      </c>
      <c r="B1419" s="9" t="n">
        <f aca="false">DAY(A1419)</f>
        <v>11</v>
      </c>
      <c r="C1419" s="9" t="n">
        <f aca="false">MONTH(A1419)</f>
        <v>6</v>
      </c>
      <c r="D1419" s="9" t="n">
        <f aca="false">YEAR(A1419)</f>
        <v>2025</v>
      </c>
      <c r="E1419" s="9" t="n">
        <f aca="false">WEEKDAY(A1419,2)</f>
        <v>3</v>
      </c>
      <c r="F1419" s="10" t="n">
        <f aca="false">WEEKNUM(A1419,2) - WEEKNUM(DATE(YEAR(A1419),MONTH(A1419),1),2) + 1</f>
        <v>3</v>
      </c>
      <c r="G1419" s="10"/>
      <c r="H1419" s="11" t="n">
        <v>508</v>
      </c>
      <c r="I1419" s="38" t="s">
        <v>15</v>
      </c>
      <c r="J1419" s="38" t="s">
        <v>44</v>
      </c>
      <c r="K1419" s="12"/>
      <c r="L1419" s="9" t="n">
        <f aca="false">L1418+H1419</f>
        <v>10815.03</v>
      </c>
      <c r="M1419" s="10" t="str">
        <f aca="false">VLOOKUP(J1419,RECATALOGANDO!A:C,2,0)</f>
        <v>HONORARIOS MEDICOS</v>
      </c>
      <c r="N1419" s="12" t="str">
        <f aca="false">VLOOKUP(M1419,RECATALOGANDO!B:C,2,0)</f>
        <v>VENTA DE SERVICIO</v>
      </c>
      <c r="O1419" s="2" t="s">
        <v>78</v>
      </c>
    </row>
    <row r="1420" customFormat="false" ht="13.8" hidden="false" customHeight="false" outlineLevel="0" collapsed="false">
      <c r="A1420" s="8" t="n">
        <v>45819</v>
      </c>
      <c r="B1420" s="9" t="n">
        <f aca="false">DAY(A1420)</f>
        <v>11</v>
      </c>
      <c r="C1420" s="9" t="n">
        <f aca="false">MONTH(A1420)</f>
        <v>6</v>
      </c>
      <c r="D1420" s="9" t="n">
        <f aca="false">YEAR(A1420)</f>
        <v>2025</v>
      </c>
      <c r="E1420" s="9" t="n">
        <f aca="false">WEEKDAY(A1420,2)</f>
        <v>3</v>
      </c>
      <c r="F1420" s="10" t="n">
        <f aca="false">WEEKNUM(A1420,2) - WEEKNUM(DATE(YEAR(A1420),MONTH(A1420),1),2) + 1</f>
        <v>3</v>
      </c>
      <c r="G1420" s="10"/>
      <c r="H1420" s="11" t="n">
        <v>1978</v>
      </c>
      <c r="I1420" s="38" t="s">
        <v>15</v>
      </c>
      <c r="J1420" s="38" t="s">
        <v>54</v>
      </c>
      <c r="K1420" s="12"/>
      <c r="L1420" s="9" t="n">
        <f aca="false">L1419+H1420</f>
        <v>12793.03</v>
      </c>
      <c r="M1420" s="10" t="str">
        <f aca="false">VLOOKUP(J1420,RECATALOGANDO!A:C,2,0)</f>
        <v>SERVICIO DE LABORATORIO</v>
      </c>
      <c r="N1420" s="12" t="str">
        <f aca="false">VLOOKUP(M1420,RECATALOGANDO!B:C,2,0)</f>
        <v>VENTA DE SERVICIO</v>
      </c>
      <c r="O1420" s="2" t="s">
        <v>78</v>
      </c>
    </row>
    <row r="1421" customFormat="false" ht="13.8" hidden="false" customHeight="false" outlineLevel="0" collapsed="false">
      <c r="A1421" s="8" t="n">
        <v>45820</v>
      </c>
      <c r="B1421" s="9" t="n">
        <f aca="false">DAY(A1421)</f>
        <v>12</v>
      </c>
      <c r="C1421" s="9" t="n">
        <f aca="false">MONTH(A1421)</f>
        <v>6</v>
      </c>
      <c r="D1421" s="9" t="n">
        <f aca="false">YEAR(A1421)</f>
        <v>2025</v>
      </c>
      <c r="E1421" s="9" t="n">
        <f aca="false">WEEKDAY(A1421,2)</f>
        <v>4</v>
      </c>
      <c r="F1421" s="10" t="n">
        <f aca="false">WEEKNUM(A1421,2) - WEEKNUM(DATE(YEAR(A1421),MONTH(A1421),1),2) + 1</f>
        <v>3</v>
      </c>
      <c r="G1421" s="10"/>
      <c r="H1421" s="11" t="n">
        <v>1420</v>
      </c>
      <c r="I1421" s="38" t="s">
        <v>20</v>
      </c>
      <c r="J1421" s="38" t="s">
        <v>54</v>
      </c>
      <c r="K1421" s="12"/>
      <c r="L1421" s="9" t="n">
        <f aca="false">L1420+H1421</f>
        <v>14213.03</v>
      </c>
      <c r="M1421" s="10" t="str">
        <f aca="false">VLOOKUP(J1421,RECATALOGANDO!A:C,2,0)</f>
        <v>SERVICIO DE LABORATORIO</v>
      </c>
      <c r="N1421" s="12" t="str">
        <f aca="false">VLOOKUP(M1421,RECATALOGANDO!B:C,2,0)</f>
        <v>VENTA DE SERVICIO</v>
      </c>
      <c r="O1421" s="2" t="s">
        <v>78</v>
      </c>
    </row>
    <row r="1422" customFormat="false" ht="13.8" hidden="false" customHeight="false" outlineLevel="0" collapsed="false">
      <c r="A1422" s="8" t="n">
        <v>45820</v>
      </c>
      <c r="B1422" s="9" t="n">
        <f aca="false">DAY(A1422)</f>
        <v>12</v>
      </c>
      <c r="C1422" s="9" t="n">
        <f aca="false">MONTH(A1422)</f>
        <v>6</v>
      </c>
      <c r="D1422" s="9" t="n">
        <f aca="false">YEAR(A1422)</f>
        <v>2025</v>
      </c>
      <c r="E1422" s="9" t="n">
        <f aca="false">WEEKDAY(A1422,2)</f>
        <v>4</v>
      </c>
      <c r="F1422" s="10" t="n">
        <f aca="false">WEEKNUM(A1422,2) - WEEKNUM(DATE(YEAR(A1422),MONTH(A1422),1),2) + 1</f>
        <v>3</v>
      </c>
      <c r="G1422" s="10"/>
      <c r="H1422" s="11" t="n">
        <v>2570</v>
      </c>
      <c r="I1422" s="38" t="s">
        <v>20</v>
      </c>
      <c r="J1422" s="38" t="s">
        <v>49</v>
      </c>
      <c r="K1422" s="12"/>
      <c r="L1422" s="9" t="n">
        <f aca="false">L1421+H1422</f>
        <v>16783.03</v>
      </c>
      <c r="M1422" s="10" t="str">
        <f aca="false">VLOOKUP(J1422,RECATALOGANDO!A:C,2,0)</f>
        <v>SERVICIO DE GROOMING</v>
      </c>
      <c r="N1422" s="12" t="str">
        <f aca="false">VLOOKUP(M1422,RECATALOGANDO!B:C,2,0)</f>
        <v>VENTA DE SERVICIO</v>
      </c>
      <c r="O1422" s="2" t="s">
        <v>78</v>
      </c>
    </row>
    <row r="1423" customFormat="false" ht="13.8" hidden="false" customHeight="false" outlineLevel="0" collapsed="false">
      <c r="A1423" s="8" t="n">
        <v>45821</v>
      </c>
      <c r="B1423" s="9" t="n">
        <f aca="false">DAY(A1423)</f>
        <v>13</v>
      </c>
      <c r="C1423" s="9" t="n">
        <f aca="false">MONTH(A1423)</f>
        <v>6</v>
      </c>
      <c r="D1423" s="9" t="n">
        <f aca="false">YEAR(A1423)</f>
        <v>2025</v>
      </c>
      <c r="E1423" s="9" t="n">
        <f aca="false">WEEKDAY(A1423,2)</f>
        <v>5</v>
      </c>
      <c r="F1423" s="10" t="n">
        <f aca="false">WEEKNUM(A1423,2) - WEEKNUM(DATE(YEAR(A1423),MONTH(A1423),1),2) + 1</f>
        <v>3</v>
      </c>
      <c r="G1423" s="10" t="n">
        <v>1</v>
      </c>
      <c r="H1423" s="11" t="n">
        <v>400</v>
      </c>
      <c r="I1423" s="38" t="s">
        <v>20</v>
      </c>
      <c r="J1423" s="38" t="s">
        <v>45</v>
      </c>
      <c r="K1423" s="12"/>
      <c r="L1423" s="9" t="n">
        <f aca="false">L1422+H1423</f>
        <v>17183.03</v>
      </c>
      <c r="M1423" s="10" t="str">
        <f aca="false">VLOOKUP(J1423,RECATALOGANDO!A:C,2,0)</f>
        <v>VENTA DE MEDICAMENTO</v>
      </c>
      <c r="N1423" s="12" t="str">
        <f aca="false">VLOOKUP(M1423,RECATALOGANDO!B:C,2,0)</f>
        <v>VENTA DE PRODUCTO</v>
      </c>
      <c r="O1423" s="2" t="s">
        <v>78</v>
      </c>
    </row>
    <row r="1424" customFormat="false" ht="13.8" hidden="false" customHeight="false" outlineLevel="0" collapsed="false">
      <c r="A1424" s="8" t="n">
        <v>45821</v>
      </c>
      <c r="B1424" s="9" t="n">
        <f aca="false">DAY(A1424)</f>
        <v>13</v>
      </c>
      <c r="C1424" s="9" t="n">
        <f aca="false">MONTH(A1424)</f>
        <v>6</v>
      </c>
      <c r="D1424" s="9" t="n">
        <f aca="false">YEAR(A1424)</f>
        <v>2025</v>
      </c>
      <c r="E1424" s="9" t="n">
        <f aca="false">WEEKDAY(A1424,2)</f>
        <v>5</v>
      </c>
      <c r="F1424" s="10" t="n">
        <f aca="false">WEEKNUM(A1424,2) - WEEKNUM(DATE(YEAR(A1424),MONTH(A1424),1),2) + 1</f>
        <v>3</v>
      </c>
      <c r="G1424" s="10" t="n">
        <v>1</v>
      </c>
      <c r="H1424" s="11" t="n">
        <v>400</v>
      </c>
      <c r="I1424" s="38" t="s">
        <v>20</v>
      </c>
      <c r="J1424" s="38" t="s">
        <v>45</v>
      </c>
      <c r="K1424" s="12"/>
      <c r="L1424" s="9" t="n">
        <f aca="false">L1423+H1424</f>
        <v>17583.03</v>
      </c>
      <c r="M1424" s="10" t="str">
        <f aca="false">VLOOKUP(J1424,RECATALOGANDO!A:C,2,0)</f>
        <v>VENTA DE MEDICAMENTO</v>
      </c>
      <c r="N1424" s="12" t="str">
        <f aca="false">VLOOKUP(M1424,RECATALOGANDO!B:C,2,0)</f>
        <v>VENTA DE PRODUCTO</v>
      </c>
      <c r="O1424" s="2" t="s">
        <v>78</v>
      </c>
    </row>
    <row r="1425" customFormat="false" ht="13.8" hidden="false" customHeight="false" outlineLevel="0" collapsed="false">
      <c r="A1425" s="8" t="n">
        <v>45821</v>
      </c>
      <c r="B1425" s="9" t="n">
        <f aca="false">DAY(A1425)</f>
        <v>13</v>
      </c>
      <c r="C1425" s="9" t="n">
        <f aca="false">MONTH(A1425)</f>
        <v>6</v>
      </c>
      <c r="D1425" s="9" t="n">
        <f aca="false">YEAR(A1425)</f>
        <v>2025</v>
      </c>
      <c r="E1425" s="9" t="n">
        <f aca="false">WEEKDAY(A1425,2)</f>
        <v>5</v>
      </c>
      <c r="F1425" s="10" t="n">
        <f aca="false">WEEKNUM(A1425,2) - WEEKNUM(DATE(YEAR(A1425),MONTH(A1425),1),2) + 1</f>
        <v>3</v>
      </c>
      <c r="G1425" s="10" t="n">
        <v>1</v>
      </c>
      <c r="H1425" s="11" t="n">
        <v>540</v>
      </c>
      <c r="I1425" s="38" t="s">
        <v>20</v>
      </c>
      <c r="J1425" s="38" t="s">
        <v>44</v>
      </c>
      <c r="K1425" s="12"/>
      <c r="L1425" s="9" t="n">
        <f aca="false">L1424+H1425</f>
        <v>18123.03</v>
      </c>
      <c r="M1425" s="10" t="str">
        <f aca="false">VLOOKUP(J1425,RECATALOGANDO!A:C,2,0)</f>
        <v>HONORARIOS MEDICOS</v>
      </c>
      <c r="N1425" s="12" t="str">
        <f aca="false">VLOOKUP(M1425,RECATALOGANDO!B:C,2,0)</f>
        <v>VENTA DE SERVICIO</v>
      </c>
      <c r="O1425" s="2" t="s">
        <v>78</v>
      </c>
    </row>
    <row r="1426" customFormat="false" ht="13.8" hidden="false" customHeight="false" outlineLevel="0" collapsed="false">
      <c r="A1426" s="8" t="n">
        <v>45823</v>
      </c>
      <c r="B1426" s="9" t="n">
        <f aca="false">DAY(A1426)</f>
        <v>15</v>
      </c>
      <c r="C1426" s="9" t="n">
        <f aca="false">MONTH(A1426)</f>
        <v>6</v>
      </c>
      <c r="D1426" s="9" t="n">
        <f aca="false">YEAR(A1426)</f>
        <v>2025</v>
      </c>
      <c r="E1426" s="9" t="n">
        <f aca="false">WEEKDAY(A1426,2)</f>
        <v>7</v>
      </c>
      <c r="F1426" s="10" t="n">
        <f aca="false">WEEKNUM(A1426,2) - WEEKNUM(DATE(YEAR(A1426),MONTH(A1426),1),2) + 1</f>
        <v>3</v>
      </c>
      <c r="G1426" s="10"/>
      <c r="H1426" s="11" t="n">
        <v>2077.46</v>
      </c>
      <c r="I1426" s="38" t="s">
        <v>15</v>
      </c>
      <c r="J1426" s="38" t="s">
        <v>45</v>
      </c>
      <c r="K1426" s="12"/>
      <c r="L1426" s="9" t="n">
        <f aca="false">L1425+H1426</f>
        <v>20200.49</v>
      </c>
      <c r="M1426" s="10" t="str">
        <f aca="false">VLOOKUP(J1426,RECATALOGANDO!A:C,2,0)</f>
        <v>VENTA DE MEDICAMENTO</v>
      </c>
      <c r="N1426" s="12" t="str">
        <f aca="false">VLOOKUP(M1426,RECATALOGANDO!B:C,2,0)</f>
        <v>VENTA DE PRODUCTO</v>
      </c>
      <c r="O1426" s="2" t="s">
        <v>78</v>
      </c>
    </row>
    <row r="1427" customFormat="false" ht="13.8" hidden="false" customHeight="false" outlineLevel="0" collapsed="false">
      <c r="A1427" s="8" t="n">
        <v>45824</v>
      </c>
      <c r="B1427" s="9" t="n">
        <f aca="false">DAY(A1427)</f>
        <v>16</v>
      </c>
      <c r="C1427" s="9" t="n">
        <f aca="false">MONTH(A1427)</f>
        <v>6</v>
      </c>
      <c r="D1427" s="9" t="n">
        <f aca="false">YEAR(A1427)</f>
        <v>2025</v>
      </c>
      <c r="E1427" s="9" t="n">
        <f aca="false">WEEKDAY(A1427,2)</f>
        <v>1</v>
      </c>
      <c r="F1427" s="10" t="n">
        <f aca="false">WEEKNUM(A1427,2) - WEEKNUM(DATE(YEAR(A1427),MONTH(A1427),1),2) + 1</f>
        <v>4</v>
      </c>
      <c r="G1427" s="10"/>
      <c r="H1427" s="11" t="n">
        <v>280</v>
      </c>
      <c r="I1427" s="38" t="s">
        <v>20</v>
      </c>
      <c r="J1427" s="38" t="s">
        <v>45</v>
      </c>
      <c r="K1427" s="12"/>
      <c r="L1427" s="9" t="n">
        <f aca="false">L1426+H1427</f>
        <v>20480.49</v>
      </c>
      <c r="M1427" s="10" t="str">
        <f aca="false">VLOOKUP(J1427,RECATALOGANDO!A:C,2,0)</f>
        <v>VENTA DE MEDICAMENTO</v>
      </c>
      <c r="N1427" s="12" t="str">
        <f aca="false">VLOOKUP(M1427,RECATALOGANDO!B:C,2,0)</f>
        <v>VENTA DE PRODUCTO</v>
      </c>
      <c r="O1427" s="2" t="s">
        <v>78</v>
      </c>
    </row>
    <row r="1428" customFormat="false" ht="13.8" hidden="false" customHeight="false" outlineLevel="0" collapsed="false">
      <c r="A1428" s="8" t="n">
        <v>45824</v>
      </c>
      <c r="B1428" s="9" t="n">
        <f aca="false">DAY(A1428)</f>
        <v>16</v>
      </c>
      <c r="C1428" s="9" t="n">
        <f aca="false">MONTH(A1428)</f>
        <v>6</v>
      </c>
      <c r="D1428" s="9" t="n">
        <f aca="false">YEAR(A1428)</f>
        <v>2025</v>
      </c>
      <c r="E1428" s="9" t="n">
        <f aca="false">WEEKDAY(A1428,2)</f>
        <v>1</v>
      </c>
      <c r="F1428" s="10" t="n">
        <f aca="false">WEEKNUM(A1428,2) - WEEKNUM(DATE(YEAR(A1428),MONTH(A1428),1),2) + 1</f>
        <v>4</v>
      </c>
      <c r="G1428" s="10"/>
      <c r="H1428" s="11" t="n">
        <v>3500</v>
      </c>
      <c r="I1428" s="38" t="s">
        <v>20</v>
      </c>
      <c r="J1428" s="38" t="s">
        <v>51</v>
      </c>
      <c r="K1428" s="12"/>
      <c r="L1428" s="9" t="n">
        <f aca="false">L1427+H1428</f>
        <v>23980.49</v>
      </c>
      <c r="M1428" s="10" t="str">
        <f aca="false">VLOOKUP(J1428,RECATALOGANDO!A:C,2,0)</f>
        <v>VENTA DE ALIMENTO</v>
      </c>
      <c r="N1428" s="12" t="str">
        <f aca="false">VLOOKUP(M1428,RECATALOGANDO!B:C,2,0)</f>
        <v>VENTA DE PRODUCTO</v>
      </c>
      <c r="O1428" s="2" t="s">
        <v>78</v>
      </c>
    </row>
    <row r="1429" customFormat="false" ht="13.8" hidden="false" customHeight="false" outlineLevel="0" collapsed="false">
      <c r="A1429" s="8" t="n">
        <v>45824</v>
      </c>
      <c r="B1429" s="9" t="n">
        <f aca="false">DAY(A1429)</f>
        <v>16</v>
      </c>
      <c r="C1429" s="9" t="n">
        <f aca="false">MONTH(A1429)</f>
        <v>6</v>
      </c>
      <c r="D1429" s="9" t="n">
        <f aca="false">YEAR(A1429)</f>
        <v>2025</v>
      </c>
      <c r="E1429" s="9" t="n">
        <f aca="false">WEEKDAY(A1429,2)</f>
        <v>1</v>
      </c>
      <c r="F1429" s="10" t="n">
        <f aca="false">WEEKNUM(A1429,2) - WEEKNUM(DATE(YEAR(A1429),MONTH(A1429),1),2) + 1</f>
        <v>4</v>
      </c>
      <c r="G1429" s="10"/>
      <c r="H1429" s="11" t="n">
        <v>140</v>
      </c>
      <c r="I1429" s="38" t="s">
        <v>15</v>
      </c>
      <c r="J1429" s="38" t="s">
        <v>49</v>
      </c>
      <c r="K1429" s="12"/>
      <c r="L1429" s="9" t="n">
        <f aca="false">L1428+H1429</f>
        <v>24120.49</v>
      </c>
      <c r="M1429" s="10" t="str">
        <f aca="false">VLOOKUP(J1429,RECATALOGANDO!A:C,2,0)</f>
        <v>SERVICIO DE GROOMING</v>
      </c>
      <c r="N1429" s="12" t="str">
        <f aca="false">VLOOKUP(M1429,RECATALOGANDO!B:C,2,0)</f>
        <v>VENTA DE SERVICIO</v>
      </c>
      <c r="O1429" s="2" t="s">
        <v>78</v>
      </c>
    </row>
    <row r="1430" customFormat="false" ht="13.8" hidden="false" customHeight="false" outlineLevel="0" collapsed="false">
      <c r="A1430" s="8" t="n">
        <v>45824</v>
      </c>
      <c r="B1430" s="9" t="n">
        <f aca="false">DAY(A1430)</f>
        <v>16</v>
      </c>
      <c r="C1430" s="9" t="n">
        <f aca="false">MONTH(A1430)</f>
        <v>6</v>
      </c>
      <c r="D1430" s="9" t="n">
        <f aca="false">YEAR(A1430)</f>
        <v>2025</v>
      </c>
      <c r="E1430" s="9" t="n">
        <f aca="false">WEEKDAY(A1430,2)</f>
        <v>1</v>
      </c>
      <c r="F1430" s="10" t="n">
        <f aca="false">WEEKNUM(A1430,2) - WEEKNUM(DATE(YEAR(A1430),MONTH(A1430),1),2) + 1</f>
        <v>4</v>
      </c>
      <c r="G1430" s="10"/>
      <c r="H1430" s="11" t="n">
        <v>2136</v>
      </c>
      <c r="I1430" s="38" t="s">
        <v>20</v>
      </c>
      <c r="J1430" s="38" t="s">
        <v>44</v>
      </c>
      <c r="K1430" s="12"/>
      <c r="L1430" s="9" t="n">
        <f aca="false">L1429+H1430</f>
        <v>26256.49</v>
      </c>
      <c r="M1430" s="10" t="str">
        <f aca="false">VLOOKUP(J1430,RECATALOGANDO!A:C,2,0)</f>
        <v>HONORARIOS MEDICOS</v>
      </c>
      <c r="N1430" s="12" t="str">
        <f aca="false">VLOOKUP(M1430,RECATALOGANDO!B:C,2,0)</f>
        <v>VENTA DE SERVICIO</v>
      </c>
      <c r="O1430" s="2" t="s">
        <v>78</v>
      </c>
    </row>
    <row r="1431" customFormat="false" ht="13.8" hidden="false" customHeight="false" outlineLevel="0" collapsed="false">
      <c r="A1431" s="8" t="n">
        <v>45825</v>
      </c>
      <c r="B1431" s="9" t="n">
        <f aca="false">DAY(A1431)</f>
        <v>17</v>
      </c>
      <c r="C1431" s="9" t="n">
        <f aca="false">MONTH(A1431)</f>
        <v>6</v>
      </c>
      <c r="D1431" s="9" t="n">
        <f aca="false">YEAR(A1431)</f>
        <v>2025</v>
      </c>
      <c r="E1431" s="9" t="n">
        <f aca="false">WEEKDAY(A1431,2)</f>
        <v>2</v>
      </c>
      <c r="F1431" s="10" t="n">
        <f aca="false">WEEKNUM(A1431,2) - WEEKNUM(DATE(YEAR(A1431),MONTH(A1431),1),2) + 1</f>
        <v>4</v>
      </c>
      <c r="G1431" s="10"/>
      <c r="H1431" s="11" t="n">
        <v>840</v>
      </c>
      <c r="I1431" s="38" t="s">
        <v>15</v>
      </c>
      <c r="J1431" s="38" t="s">
        <v>45</v>
      </c>
      <c r="K1431" s="12"/>
      <c r="L1431" s="9" t="n">
        <f aca="false">L1430+H1431</f>
        <v>27096.49</v>
      </c>
      <c r="M1431" s="10" t="str">
        <f aca="false">VLOOKUP(J1431,RECATALOGANDO!A:C,2,0)</f>
        <v>VENTA DE MEDICAMENTO</v>
      </c>
      <c r="N1431" s="12" t="str">
        <f aca="false">VLOOKUP(M1431,RECATALOGANDO!B:C,2,0)</f>
        <v>VENTA DE PRODUCTO</v>
      </c>
      <c r="O1431" s="2" t="s">
        <v>78</v>
      </c>
    </row>
    <row r="1432" customFormat="false" ht="13.8" hidden="false" customHeight="false" outlineLevel="0" collapsed="false">
      <c r="A1432" s="8" t="n">
        <v>45826</v>
      </c>
      <c r="B1432" s="9" t="n">
        <f aca="false">DAY(A1432)</f>
        <v>18</v>
      </c>
      <c r="C1432" s="9" t="n">
        <f aca="false">MONTH(A1432)</f>
        <v>6</v>
      </c>
      <c r="D1432" s="9" t="n">
        <f aca="false">YEAR(A1432)</f>
        <v>2025</v>
      </c>
      <c r="E1432" s="9" t="n">
        <f aca="false">WEEKDAY(A1432,2)</f>
        <v>3</v>
      </c>
      <c r="F1432" s="10" t="n">
        <f aca="false">WEEKNUM(A1432,2) - WEEKNUM(DATE(YEAR(A1432),MONTH(A1432),1),2) + 1</f>
        <v>4</v>
      </c>
      <c r="G1432" s="10"/>
      <c r="H1432" s="11" t="n">
        <v>1600</v>
      </c>
      <c r="I1432" s="38" t="s">
        <v>20</v>
      </c>
      <c r="J1432" s="38" t="s">
        <v>45</v>
      </c>
      <c r="K1432" s="12"/>
      <c r="L1432" s="9" t="n">
        <f aca="false">L1431+H1432</f>
        <v>28696.49</v>
      </c>
      <c r="M1432" s="10" t="str">
        <f aca="false">VLOOKUP(J1432,RECATALOGANDO!A:C,2,0)</f>
        <v>VENTA DE MEDICAMENTO</v>
      </c>
      <c r="N1432" s="12" t="str">
        <f aca="false">VLOOKUP(M1432,RECATALOGANDO!B:C,2,0)</f>
        <v>VENTA DE PRODUCTO</v>
      </c>
      <c r="O1432" s="2" t="s">
        <v>78</v>
      </c>
    </row>
    <row r="1433" customFormat="false" ht="13.8" hidden="false" customHeight="false" outlineLevel="0" collapsed="false">
      <c r="A1433" s="8" t="n">
        <v>45827</v>
      </c>
      <c r="B1433" s="9" t="n">
        <f aca="false">DAY(A1433)</f>
        <v>19</v>
      </c>
      <c r="C1433" s="9" t="n">
        <f aca="false">MONTH(A1433)</f>
        <v>6</v>
      </c>
      <c r="D1433" s="9" t="n">
        <f aca="false">YEAR(A1433)</f>
        <v>2025</v>
      </c>
      <c r="E1433" s="9" t="n">
        <f aca="false">WEEKDAY(A1433,2)</f>
        <v>4</v>
      </c>
      <c r="F1433" s="10" t="n">
        <f aca="false">WEEKNUM(A1433,2) - WEEKNUM(DATE(YEAR(A1433),MONTH(A1433),1),2) + 1</f>
        <v>4</v>
      </c>
      <c r="G1433" s="10"/>
      <c r="H1433" s="11" t="n">
        <v>690</v>
      </c>
      <c r="I1433" s="38" t="s">
        <v>20</v>
      </c>
      <c r="J1433" s="38" t="s">
        <v>45</v>
      </c>
      <c r="K1433" s="12"/>
      <c r="L1433" s="9" t="n">
        <f aca="false">L1432+H1433</f>
        <v>29386.49</v>
      </c>
      <c r="M1433" s="10" t="str">
        <f aca="false">VLOOKUP(J1433,RECATALOGANDO!A:C,2,0)</f>
        <v>VENTA DE MEDICAMENTO</v>
      </c>
      <c r="N1433" s="12" t="str">
        <f aca="false">VLOOKUP(M1433,RECATALOGANDO!B:C,2,0)</f>
        <v>VENTA DE PRODUCTO</v>
      </c>
      <c r="O1433" s="2" t="s">
        <v>78</v>
      </c>
    </row>
    <row r="1434" customFormat="false" ht="13.8" hidden="false" customHeight="false" outlineLevel="0" collapsed="false">
      <c r="A1434" s="8" t="n">
        <v>45827</v>
      </c>
      <c r="B1434" s="9" t="n">
        <f aca="false">DAY(A1434)</f>
        <v>19</v>
      </c>
      <c r="C1434" s="9" t="n">
        <f aca="false">MONTH(A1434)</f>
        <v>6</v>
      </c>
      <c r="D1434" s="9" t="n">
        <f aca="false">YEAR(A1434)</f>
        <v>2025</v>
      </c>
      <c r="E1434" s="9" t="n">
        <f aca="false">WEEKDAY(A1434,2)</f>
        <v>4</v>
      </c>
      <c r="F1434" s="10" t="n">
        <f aca="false">WEEKNUM(A1434,2) - WEEKNUM(DATE(YEAR(A1434),MONTH(A1434),1),2) + 1</f>
        <v>4</v>
      </c>
      <c r="G1434" s="10"/>
      <c r="H1434" s="11" t="n">
        <v>2013.43</v>
      </c>
      <c r="I1434" s="38" t="s">
        <v>15</v>
      </c>
      <c r="J1434" s="38" t="s">
        <v>45</v>
      </c>
      <c r="K1434" s="12"/>
      <c r="L1434" s="9" t="n">
        <f aca="false">L1433+H1434</f>
        <v>31399.92</v>
      </c>
      <c r="M1434" s="10" t="str">
        <f aca="false">VLOOKUP(J1434,RECATALOGANDO!A:C,2,0)</f>
        <v>VENTA DE MEDICAMENTO</v>
      </c>
      <c r="N1434" s="12" t="str">
        <f aca="false">VLOOKUP(M1434,RECATALOGANDO!B:C,2,0)</f>
        <v>VENTA DE PRODUCTO</v>
      </c>
      <c r="O1434" s="2" t="s">
        <v>78</v>
      </c>
    </row>
    <row r="1435" customFormat="false" ht="13.8" hidden="false" customHeight="false" outlineLevel="0" collapsed="false">
      <c r="A1435" s="8" t="n">
        <v>45828</v>
      </c>
      <c r="B1435" s="9" t="n">
        <f aca="false">DAY(A1435)</f>
        <v>20</v>
      </c>
      <c r="C1435" s="9" t="n">
        <f aca="false">MONTH(A1435)</f>
        <v>6</v>
      </c>
      <c r="D1435" s="9" t="n">
        <f aca="false">YEAR(A1435)</f>
        <v>2025</v>
      </c>
      <c r="E1435" s="9" t="n">
        <f aca="false">WEEKDAY(A1435,2)</f>
        <v>5</v>
      </c>
      <c r="F1435" s="10" t="n">
        <f aca="false">WEEKNUM(A1435,2) - WEEKNUM(DATE(YEAR(A1435),MONTH(A1435),1),2) + 1</f>
        <v>4</v>
      </c>
      <c r="G1435" s="10"/>
      <c r="H1435" s="11" t="n">
        <v>820</v>
      </c>
      <c r="I1435" s="38" t="s">
        <v>20</v>
      </c>
      <c r="J1435" s="38" t="s">
        <v>45</v>
      </c>
      <c r="K1435" s="12"/>
      <c r="L1435" s="9" t="n">
        <f aca="false">L1434+H1435</f>
        <v>32219.92</v>
      </c>
      <c r="M1435" s="10" t="str">
        <f aca="false">VLOOKUP(J1435,RECATALOGANDO!A:C,2,0)</f>
        <v>VENTA DE MEDICAMENTO</v>
      </c>
      <c r="N1435" s="12" t="str">
        <f aca="false">VLOOKUP(M1435,RECATALOGANDO!B:C,2,0)</f>
        <v>VENTA DE PRODUCTO</v>
      </c>
      <c r="O1435" s="2" t="s">
        <v>78</v>
      </c>
    </row>
    <row r="1436" customFormat="false" ht="13.8" hidden="false" customHeight="false" outlineLevel="0" collapsed="false">
      <c r="A1436" s="8" t="n">
        <v>45828</v>
      </c>
      <c r="B1436" s="9" t="n">
        <f aca="false">DAY(A1436)</f>
        <v>20</v>
      </c>
      <c r="C1436" s="9" t="n">
        <f aca="false">MONTH(A1436)</f>
        <v>6</v>
      </c>
      <c r="D1436" s="9" t="n">
        <f aca="false">YEAR(A1436)</f>
        <v>2025</v>
      </c>
      <c r="E1436" s="9" t="n">
        <f aca="false">WEEKDAY(A1436,2)</f>
        <v>5</v>
      </c>
      <c r="F1436" s="10" t="n">
        <f aca="false">WEEKNUM(A1436,2) - WEEKNUM(DATE(YEAR(A1436),MONTH(A1436),1),2) + 1</f>
        <v>4</v>
      </c>
      <c r="G1436" s="10"/>
      <c r="H1436" s="11" t="n">
        <v>158.11</v>
      </c>
      <c r="I1436" s="38" t="s">
        <v>15</v>
      </c>
      <c r="J1436" s="38" t="s">
        <v>49</v>
      </c>
      <c r="K1436" s="12"/>
      <c r="L1436" s="9" t="n">
        <f aca="false">L1435+H1436</f>
        <v>32378.03</v>
      </c>
      <c r="M1436" s="10" t="str">
        <f aca="false">VLOOKUP(J1436,RECATALOGANDO!A:C,2,0)</f>
        <v>SERVICIO DE GROOMING</v>
      </c>
      <c r="N1436" s="12" t="str">
        <f aca="false">VLOOKUP(M1436,RECATALOGANDO!B:C,2,0)</f>
        <v>VENTA DE SERVICIO</v>
      </c>
      <c r="O1436" s="2" t="s">
        <v>78</v>
      </c>
    </row>
    <row r="1437" customFormat="false" ht="13.8" hidden="false" customHeight="false" outlineLevel="0" collapsed="false">
      <c r="A1437" s="8" t="n">
        <v>45831</v>
      </c>
      <c r="B1437" s="9" t="n">
        <f aca="false">DAY(A1437)</f>
        <v>23</v>
      </c>
      <c r="C1437" s="9" t="n">
        <f aca="false">MONTH(A1437)</f>
        <v>6</v>
      </c>
      <c r="D1437" s="9" t="n">
        <f aca="false">YEAR(A1437)</f>
        <v>2025</v>
      </c>
      <c r="E1437" s="9" t="n">
        <f aca="false">WEEKDAY(A1437,2)</f>
        <v>1</v>
      </c>
      <c r="F1437" s="10" t="n">
        <f aca="false">WEEKNUM(A1437,2) - WEEKNUM(DATE(YEAR(A1437),MONTH(A1437),1),2) + 1</f>
        <v>5</v>
      </c>
      <c r="G1437" s="10"/>
      <c r="H1437" s="11" t="n">
        <v>1890</v>
      </c>
      <c r="I1437" s="38" t="s">
        <v>20</v>
      </c>
      <c r="J1437" s="38" t="s">
        <v>51</v>
      </c>
      <c r="K1437" s="12"/>
      <c r="L1437" s="9" t="n">
        <f aca="false">L1436+H1437</f>
        <v>34268.03</v>
      </c>
      <c r="M1437" s="10" t="str">
        <f aca="false">VLOOKUP(J1437,RECATALOGANDO!A:C,2,0)</f>
        <v>VENTA DE ALIMENTO</v>
      </c>
      <c r="N1437" s="12" t="str">
        <f aca="false">VLOOKUP(M1437,RECATALOGANDO!B:C,2,0)</f>
        <v>VENTA DE PRODUCTO</v>
      </c>
      <c r="O1437" s="2" t="s">
        <v>78</v>
      </c>
    </row>
    <row r="1438" customFormat="false" ht="13.8" hidden="false" customHeight="false" outlineLevel="0" collapsed="false">
      <c r="A1438" s="8" t="n">
        <v>45831</v>
      </c>
      <c r="B1438" s="9" t="n">
        <f aca="false">DAY(A1438)</f>
        <v>23</v>
      </c>
      <c r="C1438" s="9" t="n">
        <f aca="false">MONTH(A1438)</f>
        <v>6</v>
      </c>
      <c r="D1438" s="9" t="n">
        <f aca="false">YEAR(A1438)</f>
        <v>2025</v>
      </c>
      <c r="E1438" s="9" t="n">
        <f aca="false">WEEKDAY(A1438,2)</f>
        <v>1</v>
      </c>
      <c r="F1438" s="10" t="n">
        <f aca="false">WEEKNUM(A1438,2) - WEEKNUM(DATE(YEAR(A1438),MONTH(A1438),1),2) + 1</f>
        <v>5</v>
      </c>
      <c r="G1438" s="10"/>
      <c r="H1438" s="11" t="n">
        <v>3900</v>
      </c>
      <c r="I1438" s="38" t="s">
        <v>20</v>
      </c>
      <c r="J1438" s="38" t="s">
        <v>45</v>
      </c>
      <c r="K1438" s="12"/>
      <c r="L1438" s="9" t="n">
        <f aca="false">L1437+H1438</f>
        <v>38168.03</v>
      </c>
      <c r="M1438" s="10" t="str">
        <f aca="false">VLOOKUP(J1438,RECATALOGANDO!A:C,2,0)</f>
        <v>VENTA DE MEDICAMENTO</v>
      </c>
      <c r="N1438" s="12" t="str">
        <f aca="false">VLOOKUP(M1438,RECATALOGANDO!B:C,2,0)</f>
        <v>VENTA DE PRODUCTO</v>
      </c>
      <c r="O1438" s="2" t="s">
        <v>78</v>
      </c>
    </row>
    <row r="1439" customFormat="false" ht="13.8" hidden="false" customHeight="false" outlineLevel="0" collapsed="false">
      <c r="A1439" s="8" t="n">
        <v>45831</v>
      </c>
      <c r="B1439" s="9" t="n">
        <f aca="false">DAY(A1439)</f>
        <v>23</v>
      </c>
      <c r="C1439" s="9" t="n">
        <f aca="false">MONTH(A1439)</f>
        <v>6</v>
      </c>
      <c r="D1439" s="9" t="n">
        <f aca="false">YEAR(A1439)</f>
        <v>2025</v>
      </c>
      <c r="E1439" s="9" t="n">
        <f aca="false">WEEKDAY(A1439,2)</f>
        <v>1</v>
      </c>
      <c r="F1439" s="10" t="n">
        <f aca="false">WEEKNUM(A1439,2) - WEEKNUM(DATE(YEAR(A1439),MONTH(A1439),1),2) + 1</f>
        <v>5</v>
      </c>
      <c r="G1439" s="10"/>
      <c r="H1439" s="11" t="n">
        <v>660</v>
      </c>
      <c r="I1439" s="38" t="s">
        <v>20</v>
      </c>
      <c r="J1439" s="38" t="s">
        <v>49</v>
      </c>
      <c r="K1439" s="12"/>
      <c r="L1439" s="9" t="n">
        <f aca="false">L1438+H1439</f>
        <v>38828.03</v>
      </c>
      <c r="M1439" s="10" t="str">
        <f aca="false">VLOOKUP(J1439,RECATALOGANDO!A:C,2,0)</f>
        <v>SERVICIO DE GROOMING</v>
      </c>
      <c r="N1439" s="12" t="str">
        <f aca="false">VLOOKUP(M1439,RECATALOGANDO!B:C,2,0)</f>
        <v>VENTA DE SERVICIO</v>
      </c>
      <c r="O1439" s="2" t="s">
        <v>78</v>
      </c>
    </row>
    <row r="1440" customFormat="false" ht="13.8" hidden="false" customHeight="false" outlineLevel="0" collapsed="false">
      <c r="A1440" s="8" t="n">
        <v>45833</v>
      </c>
      <c r="B1440" s="9" t="n">
        <f aca="false">DAY(A1440)</f>
        <v>25</v>
      </c>
      <c r="C1440" s="9" t="n">
        <f aca="false">MONTH(A1440)</f>
        <v>6</v>
      </c>
      <c r="D1440" s="9" t="n">
        <f aca="false">YEAR(A1440)</f>
        <v>2025</v>
      </c>
      <c r="E1440" s="9" t="n">
        <f aca="false">WEEKDAY(A1440,2)</f>
        <v>3</v>
      </c>
      <c r="F1440" s="10" t="n">
        <f aca="false">WEEKNUM(A1440,2) - WEEKNUM(DATE(YEAR(A1440),MONTH(A1440),1),2) + 1</f>
        <v>5</v>
      </c>
      <c r="G1440" s="10"/>
      <c r="H1440" s="11" t="n">
        <v>3626</v>
      </c>
      <c r="I1440" s="38" t="s">
        <v>20</v>
      </c>
      <c r="J1440" s="38" t="s">
        <v>45</v>
      </c>
      <c r="K1440" s="12"/>
      <c r="L1440" s="9" t="n">
        <f aca="false">L1439+H1440</f>
        <v>42454.03</v>
      </c>
      <c r="M1440" s="10" t="str">
        <f aca="false">VLOOKUP(J1440,RECATALOGANDO!A:C,2,0)</f>
        <v>VENTA DE MEDICAMENTO</v>
      </c>
      <c r="N1440" s="12" t="str">
        <f aca="false">VLOOKUP(M1440,RECATALOGANDO!B:C,2,0)</f>
        <v>VENTA DE PRODUCTO</v>
      </c>
      <c r="O1440" s="2" t="s">
        <v>78</v>
      </c>
    </row>
    <row r="1441" customFormat="false" ht="13.8" hidden="false" customHeight="false" outlineLevel="0" collapsed="false">
      <c r="A1441" s="8" t="n">
        <v>45837</v>
      </c>
      <c r="B1441" s="9" t="n">
        <f aca="false">DAY(A1441)</f>
        <v>29</v>
      </c>
      <c r="C1441" s="9" t="n">
        <f aca="false">MONTH(A1441)</f>
        <v>6</v>
      </c>
      <c r="D1441" s="9" t="n">
        <f aca="false">YEAR(A1441)</f>
        <v>2025</v>
      </c>
      <c r="E1441" s="9" t="n">
        <f aca="false">WEEKDAY(A1441,2)</f>
        <v>7</v>
      </c>
      <c r="F1441" s="10" t="n">
        <f aca="false">WEEKNUM(A1441,2) - WEEKNUM(DATE(YEAR(A1441),MONTH(A1441),1),2) + 1</f>
        <v>5</v>
      </c>
      <c r="G1441" s="10"/>
      <c r="H1441" s="11" t="n">
        <v>460.91</v>
      </c>
      <c r="I1441" s="38" t="s">
        <v>15</v>
      </c>
      <c r="J1441" s="38" t="s">
        <v>51</v>
      </c>
      <c r="K1441" s="12"/>
      <c r="L1441" s="9" t="n">
        <f aca="false">L1440+H1441</f>
        <v>42914.94</v>
      </c>
      <c r="M1441" s="10" t="str">
        <f aca="false">VLOOKUP(J1441,RECATALOGANDO!A:C,2,0)</f>
        <v>VENTA DE ALIMENTO</v>
      </c>
      <c r="N1441" s="12" t="str">
        <f aca="false">VLOOKUP(M1441,RECATALOGANDO!B:C,2,0)</f>
        <v>VENTA DE PRODUCTO</v>
      </c>
      <c r="O1441" s="2" t="s">
        <v>78</v>
      </c>
    </row>
    <row r="1442" customFormat="false" ht="13.8" hidden="false" customHeight="false" outlineLevel="0" collapsed="false">
      <c r="A1442" s="8" t="n">
        <v>45837</v>
      </c>
      <c r="B1442" s="9" t="n">
        <f aca="false">DAY(A1442)</f>
        <v>29</v>
      </c>
      <c r="C1442" s="9" t="n">
        <f aca="false">MONTH(A1442)</f>
        <v>6</v>
      </c>
      <c r="D1442" s="9" t="n">
        <f aca="false">YEAR(A1442)</f>
        <v>2025</v>
      </c>
      <c r="E1442" s="9" t="n">
        <f aca="false">WEEKDAY(A1442,2)</f>
        <v>7</v>
      </c>
      <c r="F1442" s="10" t="n">
        <f aca="false">WEEKNUM(A1442,2) - WEEKNUM(DATE(YEAR(A1442),MONTH(A1442),1),2) + 1</f>
        <v>5</v>
      </c>
      <c r="G1442" s="10"/>
      <c r="H1442" s="11" t="n">
        <v>4450</v>
      </c>
      <c r="I1442" s="38" t="s">
        <v>15</v>
      </c>
      <c r="J1442" s="38" t="s">
        <v>51</v>
      </c>
      <c r="K1442" s="12"/>
      <c r="L1442" s="9" t="n">
        <f aca="false">L1441+H1442</f>
        <v>47364.94</v>
      </c>
      <c r="M1442" s="10" t="str">
        <f aca="false">VLOOKUP(J1442,RECATALOGANDO!A:C,2,0)</f>
        <v>VENTA DE ALIMENTO</v>
      </c>
      <c r="N1442" s="12" t="str">
        <f aca="false">VLOOKUP(M1442,RECATALOGANDO!B:C,2,0)</f>
        <v>VENTA DE PRODUCTO</v>
      </c>
      <c r="O1442" s="2" t="s">
        <v>78</v>
      </c>
    </row>
    <row r="1443" customFormat="false" ht="13.8" hidden="false" customHeight="false" outlineLevel="0" collapsed="false">
      <c r="A1443" s="8" t="n">
        <v>45838</v>
      </c>
      <c r="B1443" s="9" t="n">
        <f aca="false">DAY(A1443)</f>
        <v>30</v>
      </c>
      <c r="C1443" s="9" t="n">
        <f aca="false">MONTH(A1443)</f>
        <v>6</v>
      </c>
      <c r="D1443" s="9" t="n">
        <f aca="false">YEAR(A1443)</f>
        <v>2025</v>
      </c>
      <c r="E1443" s="9" t="n">
        <f aca="false">WEEKDAY(A1443,2)</f>
        <v>1</v>
      </c>
      <c r="F1443" s="10" t="n">
        <f aca="false">WEEKNUM(A1443,2) - WEEKNUM(DATE(YEAR(A1443),MONTH(A1443),1),2) + 1</f>
        <v>6</v>
      </c>
      <c r="G1443" s="10" t="n">
        <v>2</v>
      </c>
      <c r="H1443" s="11" t="n">
        <v>1510</v>
      </c>
      <c r="I1443" s="38" t="s">
        <v>15</v>
      </c>
      <c r="J1443" s="38" t="s">
        <v>44</v>
      </c>
      <c r="K1443" s="12"/>
      <c r="L1443" s="9" t="n">
        <f aca="false">L1442+H1443</f>
        <v>48874.94</v>
      </c>
      <c r="M1443" s="10" t="str">
        <f aca="false">VLOOKUP(J1443,RECATALOGANDO!A:C,2,0)</f>
        <v>HONORARIOS MEDICOS</v>
      </c>
      <c r="N1443" s="12" t="str">
        <f aca="false">VLOOKUP(M1443,RECATALOGANDO!B:C,2,0)</f>
        <v>VENTA DE SERVICIO</v>
      </c>
      <c r="O1443" s="2" t="s">
        <v>78</v>
      </c>
    </row>
  </sheetData>
  <autoFilter ref="A1:O1443"/>
  <conditionalFormatting sqref="J387:J420">
    <cfRule type="containsText" priority="2" operator="containsText" aboveAverage="0" equalAverage="0" bottom="0" percent="0" rank="0" text="ENTRE" dxfId="14">
      <formula>NOT(ISERROR(SEARCH("ENTRE",J387)))</formula>
    </cfRule>
  </conditionalFormatting>
  <conditionalFormatting sqref="J387:J420">
    <cfRule type="containsText" priority="3" operator="containsText" aboveAverage="0" equalAverage="0" bottom="0" percent="0" rank="0" text="FAMILIARES" dxfId="15">
      <formula>NOT(ISERROR(SEARCH("FAMILIARES",J387)))</formula>
    </cfRule>
  </conditionalFormatting>
  <dataValidations count="2">
    <dataValidation allowBlank="true" errorStyle="stop" operator="between" showDropDown="false" showErrorMessage="true" showInputMessage="true" sqref="J10 I61:J61 I539:J539 I540 I542:J558 J559:J571" type="list">
      <formula1>'c:\users\asus\onedrive\documentos\[relacion dep.junio25.xlsx]hoja1'!#ref!</formula1>
      <formula2>0</formula2>
    </dataValidation>
    <dataValidation allowBlank="true" errorStyle="stop" operator="between" showDropDown="false" showErrorMessage="true" showInputMessage="true" sqref="J540" type="list">
      <formula1>'c:\users\asus\onedrive\documentos\[relacion dep.junio25.xlsx]hoja1'!#ref!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6796875" defaultRowHeight="14.25" zeroHeight="false" outlineLevelRow="0" outlineLevelCol="0"/>
  <cols>
    <col collapsed="false" customWidth="true" hidden="false" outlineLevel="0" max="1" min="1" style="2" width="47.88"/>
    <col collapsed="false" customWidth="true" hidden="false" outlineLevel="0" max="2" min="2" style="2" width="29"/>
    <col collapsed="false" customWidth="false" hidden="false" outlineLevel="0" max="7" min="3" style="41" width="10.67"/>
    <col collapsed="false" customWidth="true" hidden="false" outlineLevel="0" max="8" min="8" style="2" width="29"/>
    <col collapsed="false" customWidth="false" hidden="false" outlineLevel="0" max="9" min="9" style="41" width="10.67"/>
  </cols>
  <sheetData>
    <row r="1" customFormat="false" ht="14.25" hidden="false" customHeight="false" outlineLevel="0" collapsed="false">
      <c r="A1" s="57" t="s">
        <v>9</v>
      </c>
      <c r="B1" s="2" t="s">
        <v>79</v>
      </c>
      <c r="C1" s="2" t="s">
        <v>80</v>
      </c>
      <c r="H1" s="2" t="s">
        <v>79</v>
      </c>
      <c r="I1" s="2" t="s">
        <v>80</v>
      </c>
    </row>
    <row r="2" customFormat="false" ht="14.25" hidden="false" customHeight="false" outlineLevel="0" collapsed="false">
      <c r="A2" s="58" t="s">
        <v>29</v>
      </c>
      <c r="B2" s="2" t="s">
        <v>23</v>
      </c>
      <c r="C2" s="2" t="s">
        <v>81</v>
      </c>
      <c r="H2" s="2" t="s">
        <v>23</v>
      </c>
      <c r="I2" s="2" t="s">
        <v>81</v>
      </c>
    </row>
    <row r="3" customFormat="false" ht="14.25" hidden="false" customHeight="false" outlineLevel="0" collapsed="false">
      <c r="A3" s="2" t="s">
        <v>40</v>
      </c>
      <c r="B3" s="2" t="s">
        <v>45</v>
      </c>
      <c r="C3" s="2" t="s">
        <v>82</v>
      </c>
      <c r="H3" s="2" t="s">
        <v>45</v>
      </c>
      <c r="I3" s="2" t="s">
        <v>82</v>
      </c>
    </row>
    <row r="4" customFormat="false" ht="14.25" hidden="false" customHeight="false" outlineLevel="0" collapsed="false">
      <c r="A4" s="59" t="s">
        <v>26</v>
      </c>
      <c r="B4" s="2" t="s">
        <v>23</v>
      </c>
      <c r="C4" s="2" t="s">
        <v>81</v>
      </c>
      <c r="H4" s="2" t="s">
        <v>33</v>
      </c>
      <c r="I4" s="2" t="s">
        <v>31</v>
      </c>
    </row>
    <row r="5" customFormat="false" ht="14.25" hidden="false" customHeight="false" outlineLevel="0" collapsed="false">
      <c r="A5" s="60" t="s">
        <v>21</v>
      </c>
      <c r="B5" s="2" t="s">
        <v>23</v>
      </c>
      <c r="C5" s="2" t="s">
        <v>81</v>
      </c>
      <c r="H5" s="2" t="s">
        <v>83</v>
      </c>
      <c r="I5" s="2" t="s">
        <v>84</v>
      </c>
    </row>
    <row r="6" customFormat="false" ht="14.25" hidden="false" customHeight="false" outlineLevel="0" collapsed="false">
      <c r="A6" s="61" t="s">
        <v>34</v>
      </c>
      <c r="B6" s="2" t="s">
        <v>33</v>
      </c>
      <c r="C6" s="2" t="s">
        <v>31</v>
      </c>
      <c r="H6" s="62" t="s">
        <v>22</v>
      </c>
      <c r="I6" s="2" t="s">
        <v>85</v>
      </c>
    </row>
    <row r="7" customFormat="false" ht="14.25" hidden="false" customHeight="false" outlineLevel="0" collapsed="false">
      <c r="A7" s="61" t="s">
        <v>36</v>
      </c>
      <c r="B7" s="2" t="s">
        <v>33</v>
      </c>
      <c r="C7" s="2" t="s">
        <v>31</v>
      </c>
      <c r="H7" s="2" t="s">
        <v>23</v>
      </c>
      <c r="I7" s="2" t="s">
        <v>86</v>
      </c>
    </row>
    <row r="8" customFormat="false" ht="14.25" hidden="false" customHeight="false" outlineLevel="0" collapsed="false">
      <c r="A8" s="63" t="s">
        <v>28</v>
      </c>
      <c r="B8" s="2" t="s">
        <v>83</v>
      </c>
      <c r="C8" s="2" t="s">
        <v>84</v>
      </c>
      <c r="H8" s="2" t="s">
        <v>87</v>
      </c>
      <c r="I8" s="2" t="s">
        <v>87</v>
      </c>
    </row>
    <row r="9" customFormat="false" ht="14.25" hidden="false" customHeight="false" outlineLevel="0" collapsed="false">
      <c r="A9" s="62" t="s">
        <v>22</v>
      </c>
      <c r="B9" s="62" t="s">
        <v>22</v>
      </c>
      <c r="C9" s="2" t="s">
        <v>85</v>
      </c>
      <c r="H9" s="2" t="s">
        <v>32</v>
      </c>
      <c r="I9" s="2" t="s">
        <v>31</v>
      </c>
    </row>
    <row r="10" customFormat="false" ht="14.25" hidden="false" customHeight="false" outlineLevel="0" collapsed="false">
      <c r="A10" s="2" t="s">
        <v>27</v>
      </c>
      <c r="B10" s="2" t="s">
        <v>23</v>
      </c>
      <c r="C10" s="2" t="s">
        <v>86</v>
      </c>
      <c r="H10" s="2" t="s">
        <v>44</v>
      </c>
      <c r="I10" s="2" t="s">
        <v>88</v>
      </c>
    </row>
    <row r="11" customFormat="false" ht="14.25" hidden="false" customHeight="false" outlineLevel="0" collapsed="false">
      <c r="A11" s="2" t="s">
        <v>17</v>
      </c>
      <c r="B11" s="2" t="s">
        <v>87</v>
      </c>
      <c r="C11" s="2" t="s">
        <v>87</v>
      </c>
      <c r="H11" s="2" t="s">
        <v>64</v>
      </c>
      <c r="I11" s="2" t="s">
        <v>88</v>
      </c>
    </row>
    <row r="12" customFormat="false" ht="14.25" hidden="false" customHeight="false" outlineLevel="0" collapsed="false">
      <c r="A12" s="2" t="s">
        <v>35</v>
      </c>
      <c r="B12" s="2" t="s">
        <v>32</v>
      </c>
      <c r="C12" s="2" t="s">
        <v>31</v>
      </c>
      <c r="H12" s="2" t="s">
        <v>51</v>
      </c>
      <c r="I12" s="2" t="s">
        <v>82</v>
      </c>
    </row>
    <row r="13" customFormat="false" ht="14.25" hidden="false" customHeight="false" outlineLevel="0" collapsed="false">
      <c r="A13" s="2" t="s">
        <v>44</v>
      </c>
      <c r="B13" s="2" t="s">
        <v>44</v>
      </c>
      <c r="C13" s="2" t="s">
        <v>88</v>
      </c>
      <c r="H13" s="2" t="s">
        <v>47</v>
      </c>
      <c r="I13" s="2" t="s">
        <v>88</v>
      </c>
    </row>
    <row r="14" customFormat="false" ht="14.25" hidden="false" customHeight="false" outlineLevel="0" collapsed="false">
      <c r="A14" s="2" t="s">
        <v>43</v>
      </c>
      <c r="B14" s="2" t="s">
        <v>44</v>
      </c>
      <c r="C14" s="2" t="s">
        <v>88</v>
      </c>
      <c r="H14" s="2" t="s">
        <v>19</v>
      </c>
      <c r="I14" s="2" t="s">
        <v>85</v>
      </c>
    </row>
    <row r="15" customFormat="false" ht="14.25" hidden="false" customHeight="false" outlineLevel="0" collapsed="false">
      <c r="A15" s="2" t="s">
        <v>41</v>
      </c>
      <c r="B15" s="2" t="s">
        <v>64</v>
      </c>
      <c r="C15" s="2" t="s">
        <v>88</v>
      </c>
      <c r="H15" s="2" t="s">
        <v>89</v>
      </c>
      <c r="I15" s="2" t="s">
        <v>88</v>
      </c>
    </row>
    <row r="16" customFormat="false" ht="14.25" hidden="false" customHeight="false" outlineLevel="0" collapsed="false">
      <c r="A16" s="64" t="s">
        <v>64</v>
      </c>
      <c r="B16" s="2" t="s">
        <v>64</v>
      </c>
      <c r="C16" s="2" t="s">
        <v>88</v>
      </c>
      <c r="H16" s="2" t="s">
        <v>49</v>
      </c>
      <c r="I16" s="2" t="s">
        <v>88</v>
      </c>
    </row>
    <row r="17" customFormat="false" ht="14.25" hidden="false" customHeight="false" outlineLevel="0" collapsed="false">
      <c r="A17" s="2" t="s">
        <v>74</v>
      </c>
      <c r="B17" s="2" t="s">
        <v>51</v>
      </c>
      <c r="C17" s="2" t="s">
        <v>82</v>
      </c>
      <c r="H17" s="2" t="s">
        <v>60</v>
      </c>
      <c r="I17" s="2" t="s">
        <v>88</v>
      </c>
    </row>
    <row r="18" customFormat="false" ht="14.25" hidden="false" customHeight="false" outlineLevel="0" collapsed="false">
      <c r="A18" s="2" t="s">
        <v>73</v>
      </c>
      <c r="B18" s="2" t="s">
        <v>45</v>
      </c>
      <c r="C18" s="2" t="s">
        <v>82</v>
      </c>
      <c r="H18" s="2" t="s">
        <v>68</v>
      </c>
      <c r="I18" s="2" t="s">
        <v>88</v>
      </c>
    </row>
    <row r="19" customFormat="false" ht="14.25" hidden="false" customHeight="false" outlineLevel="0" collapsed="false">
      <c r="A19" s="2" t="s">
        <v>50</v>
      </c>
      <c r="B19" s="2" t="s">
        <v>45</v>
      </c>
      <c r="C19" s="2" t="s">
        <v>82</v>
      </c>
      <c r="H19" s="2" t="s">
        <v>54</v>
      </c>
      <c r="I19" s="2" t="s">
        <v>88</v>
      </c>
    </row>
    <row r="20" customFormat="false" ht="14.25" hidden="false" customHeight="false" outlineLevel="0" collapsed="false">
      <c r="A20" s="2" t="s">
        <v>52</v>
      </c>
      <c r="B20" s="2" t="s">
        <v>47</v>
      </c>
      <c r="C20" s="2" t="s">
        <v>88</v>
      </c>
      <c r="H20" s="2" t="s">
        <v>48</v>
      </c>
      <c r="I20" s="2" t="s">
        <v>82</v>
      </c>
    </row>
    <row r="21" customFormat="false" ht="14.25" hidden="false" customHeight="false" outlineLevel="0" collapsed="false">
      <c r="A21" s="65" t="s">
        <v>25</v>
      </c>
      <c r="B21" s="2" t="s">
        <v>83</v>
      </c>
      <c r="C21" s="2" t="s">
        <v>84</v>
      </c>
    </row>
    <row r="22" customFormat="false" ht="14.25" hidden="false" customHeight="false" outlineLevel="0" collapsed="false">
      <c r="A22" s="59" t="s">
        <v>19</v>
      </c>
      <c r="B22" s="2" t="s">
        <v>19</v>
      </c>
      <c r="C22" s="2" t="s">
        <v>85</v>
      </c>
    </row>
    <row r="23" customFormat="false" ht="14.25" hidden="false" customHeight="false" outlineLevel="0" collapsed="false">
      <c r="A23" s="66" t="s">
        <v>23</v>
      </c>
      <c r="B23" s="2" t="s">
        <v>23</v>
      </c>
      <c r="C23" s="2" t="s">
        <v>81</v>
      </c>
    </row>
    <row r="24" customFormat="false" ht="14.25" hidden="false" customHeight="false" outlineLevel="0" collapsed="false">
      <c r="A24" s="67" t="s">
        <v>24</v>
      </c>
      <c r="B24" s="2" t="s">
        <v>23</v>
      </c>
      <c r="C24" s="2" t="s">
        <v>81</v>
      </c>
    </row>
    <row r="25" customFormat="false" ht="14.25" hidden="false" customHeight="false" outlineLevel="0" collapsed="false">
      <c r="A25" s="2" t="s">
        <v>75</v>
      </c>
      <c r="B25" s="2" t="s">
        <v>47</v>
      </c>
      <c r="C25" s="2" t="s">
        <v>88</v>
      </c>
    </row>
    <row r="26" customFormat="false" ht="14.25" hidden="false" customHeight="false" outlineLevel="0" collapsed="false">
      <c r="A26" s="2" t="s">
        <v>57</v>
      </c>
      <c r="B26" s="2" t="s">
        <v>89</v>
      </c>
      <c r="C26" s="2" t="s">
        <v>88</v>
      </c>
    </row>
    <row r="27" customFormat="false" ht="14.25" hidden="false" customHeight="false" outlineLevel="0" collapsed="false">
      <c r="A27" s="2" t="s">
        <v>49</v>
      </c>
      <c r="B27" s="2" t="s">
        <v>49</v>
      </c>
      <c r="C27" s="2" t="s">
        <v>88</v>
      </c>
    </row>
    <row r="28" customFormat="false" ht="14.25" hidden="false" customHeight="false" outlineLevel="0" collapsed="false">
      <c r="A28" s="2" t="s">
        <v>60</v>
      </c>
      <c r="B28" s="2" t="s">
        <v>60</v>
      </c>
      <c r="C28" s="2" t="s">
        <v>88</v>
      </c>
    </row>
    <row r="29" customFormat="false" ht="14.25" hidden="false" customHeight="false" outlineLevel="0" collapsed="false">
      <c r="A29" s="2" t="s">
        <v>68</v>
      </c>
      <c r="B29" s="2" t="s">
        <v>68</v>
      </c>
      <c r="C29" s="2" t="s">
        <v>88</v>
      </c>
    </row>
    <row r="30" customFormat="false" ht="14.25" hidden="false" customHeight="false" outlineLevel="0" collapsed="false">
      <c r="A30" s="2" t="s">
        <v>56</v>
      </c>
      <c r="B30" s="2" t="s">
        <v>68</v>
      </c>
      <c r="C30" s="2" t="s">
        <v>88</v>
      </c>
    </row>
    <row r="31" customFormat="false" ht="14.25" hidden="false" customHeight="false" outlineLevel="0" collapsed="false">
      <c r="A31" s="2" t="s">
        <v>70</v>
      </c>
      <c r="B31" s="2" t="s">
        <v>89</v>
      </c>
      <c r="C31" s="2" t="s">
        <v>88</v>
      </c>
    </row>
    <row r="32" customFormat="false" ht="14.25" hidden="false" customHeight="false" outlineLevel="0" collapsed="false">
      <c r="A32" s="2" t="s">
        <v>54</v>
      </c>
      <c r="B32" s="2" t="s">
        <v>54</v>
      </c>
      <c r="C32" s="2" t="s">
        <v>88</v>
      </c>
    </row>
    <row r="33" customFormat="false" ht="14.25" hidden="false" customHeight="false" outlineLevel="0" collapsed="false">
      <c r="A33" s="2" t="s">
        <v>47</v>
      </c>
      <c r="B33" s="2" t="s">
        <v>47</v>
      </c>
      <c r="C33" s="2" t="s">
        <v>88</v>
      </c>
    </row>
    <row r="34" customFormat="false" ht="14.25" hidden="false" customHeight="false" outlineLevel="0" collapsed="false">
      <c r="A34" s="2" t="s">
        <v>59</v>
      </c>
      <c r="B34" s="2" t="s">
        <v>47</v>
      </c>
      <c r="C34" s="2" t="s">
        <v>88</v>
      </c>
    </row>
    <row r="35" customFormat="false" ht="14.25" hidden="false" customHeight="false" outlineLevel="0" collapsed="false">
      <c r="A35" s="7" t="s">
        <v>62</v>
      </c>
      <c r="B35" s="2" t="s">
        <v>68</v>
      </c>
      <c r="C35" s="2" t="s">
        <v>88</v>
      </c>
    </row>
    <row r="36" customFormat="false" ht="14.25" hidden="false" customHeight="false" outlineLevel="0" collapsed="false">
      <c r="A36" s="2" t="s">
        <v>53</v>
      </c>
      <c r="B36" s="2" t="s">
        <v>49</v>
      </c>
      <c r="C36" s="2" t="s">
        <v>88</v>
      </c>
    </row>
    <row r="37" customFormat="false" ht="14.25" hidden="false" customHeight="false" outlineLevel="0" collapsed="false">
      <c r="A37" s="2" t="s">
        <v>58</v>
      </c>
      <c r="B37" s="2" t="s">
        <v>54</v>
      </c>
      <c r="C37" s="2" t="s">
        <v>88</v>
      </c>
    </row>
    <row r="38" customFormat="false" ht="14.25" hidden="false" customHeight="false" outlineLevel="0" collapsed="false">
      <c r="A38" s="64" t="s">
        <v>67</v>
      </c>
      <c r="B38" s="2" t="s">
        <v>47</v>
      </c>
      <c r="C38" s="2" t="s">
        <v>88</v>
      </c>
    </row>
    <row r="39" customFormat="false" ht="14.25" hidden="false" customHeight="false" outlineLevel="0" collapsed="false">
      <c r="A39" s="2" t="s">
        <v>69</v>
      </c>
      <c r="B39" s="2" t="s">
        <v>49</v>
      </c>
      <c r="C39" s="2" t="s">
        <v>88</v>
      </c>
    </row>
    <row r="40" customFormat="false" ht="14.25" hidden="false" customHeight="false" outlineLevel="0" collapsed="false">
      <c r="A40" s="7" t="s">
        <v>72</v>
      </c>
      <c r="B40" s="2" t="s">
        <v>54</v>
      </c>
      <c r="C40" s="2" t="s">
        <v>88</v>
      </c>
    </row>
    <row r="41" customFormat="false" ht="14.25" hidden="false" customHeight="false" outlineLevel="0" collapsed="false">
      <c r="A41" s="7" t="s">
        <v>71</v>
      </c>
      <c r="B41" s="2" t="s">
        <v>89</v>
      </c>
      <c r="C41" s="2" t="s">
        <v>88</v>
      </c>
    </row>
    <row r="42" customFormat="false" ht="14.25" hidden="false" customHeight="false" outlineLevel="0" collapsed="false">
      <c r="A42" s="2" t="s">
        <v>46</v>
      </c>
      <c r="B42" s="2" t="s">
        <v>49</v>
      </c>
      <c r="C42" s="2" t="s">
        <v>88</v>
      </c>
    </row>
    <row r="43" customFormat="false" ht="14.25" hidden="false" customHeight="false" outlineLevel="0" collapsed="false">
      <c r="A43" s="64" t="s">
        <v>66</v>
      </c>
      <c r="B43" s="2" t="s">
        <v>68</v>
      </c>
      <c r="C43" s="2" t="s">
        <v>88</v>
      </c>
    </row>
    <row r="44" customFormat="false" ht="14.25" hidden="false" customHeight="false" outlineLevel="0" collapsed="false">
      <c r="A44" s="64" t="s">
        <v>65</v>
      </c>
      <c r="B44" s="2" t="s">
        <v>54</v>
      </c>
      <c r="C44" s="2" t="s">
        <v>88</v>
      </c>
    </row>
    <row r="45" customFormat="false" ht="14.25" hidden="false" customHeight="false" outlineLevel="0" collapsed="false">
      <c r="A45" s="7" t="s">
        <v>63</v>
      </c>
      <c r="B45" s="2" t="s">
        <v>89</v>
      </c>
      <c r="C45" s="2" t="s">
        <v>88</v>
      </c>
    </row>
    <row r="46" customFormat="false" ht="14.25" hidden="false" customHeight="false" outlineLevel="0" collapsed="false">
      <c r="A46" s="66" t="s">
        <v>61</v>
      </c>
      <c r="B46" s="2" t="s">
        <v>60</v>
      </c>
      <c r="C46" s="2" t="s">
        <v>88</v>
      </c>
    </row>
    <row r="47" customFormat="false" ht="14.25" hidden="false" customHeight="false" outlineLevel="0" collapsed="false">
      <c r="A47" s="2" t="s">
        <v>30</v>
      </c>
      <c r="B47" s="2" t="s">
        <v>32</v>
      </c>
      <c r="C47" s="2" t="s">
        <v>31</v>
      </c>
    </row>
    <row r="48" customFormat="false" ht="14.25" hidden="false" customHeight="false" outlineLevel="0" collapsed="false">
      <c r="A48" s="2" t="s">
        <v>32</v>
      </c>
      <c r="B48" s="2" t="s">
        <v>32</v>
      </c>
      <c r="C48" s="2" t="s">
        <v>31</v>
      </c>
    </row>
    <row r="49" customFormat="false" ht="14.25" hidden="false" customHeight="false" outlineLevel="0" collapsed="false">
      <c r="A49" s="68" t="s">
        <v>33</v>
      </c>
      <c r="B49" s="2" t="s">
        <v>33</v>
      </c>
      <c r="C49" s="2" t="s">
        <v>31</v>
      </c>
    </row>
    <row r="50" customFormat="false" ht="14.25" hidden="false" customHeight="false" outlineLevel="0" collapsed="false">
      <c r="A50" s="69" t="s">
        <v>37</v>
      </c>
      <c r="B50" s="2" t="s">
        <v>33</v>
      </c>
      <c r="C50" s="2" t="s">
        <v>31</v>
      </c>
    </row>
    <row r="51" customFormat="false" ht="14.25" hidden="false" customHeight="false" outlineLevel="0" collapsed="false">
      <c r="A51" s="2" t="s">
        <v>48</v>
      </c>
      <c r="B51" s="2" t="s">
        <v>48</v>
      </c>
      <c r="C51" s="2" t="s">
        <v>82</v>
      </c>
    </row>
    <row r="52" customFormat="false" ht="14.25" hidden="false" customHeight="false" outlineLevel="0" collapsed="false">
      <c r="A52" s="2" t="s">
        <v>51</v>
      </c>
      <c r="B52" s="2" t="s">
        <v>51</v>
      </c>
      <c r="C52" s="2" t="s">
        <v>82</v>
      </c>
    </row>
    <row r="53" customFormat="false" ht="14.25" hidden="false" customHeight="false" outlineLevel="0" collapsed="false">
      <c r="A53" s="2" t="s">
        <v>38</v>
      </c>
      <c r="B53" s="2" t="s">
        <v>51</v>
      </c>
      <c r="C53" s="2" t="s">
        <v>82</v>
      </c>
    </row>
    <row r="54" customFormat="false" ht="14.25" hidden="false" customHeight="false" outlineLevel="0" collapsed="false">
      <c r="A54" s="2" t="s">
        <v>45</v>
      </c>
      <c r="B54" s="2" t="s">
        <v>45</v>
      </c>
      <c r="C54" s="2" t="s">
        <v>82</v>
      </c>
    </row>
    <row r="55" customFormat="false" ht="14.25" hidden="false" customHeight="false" outlineLevel="0" collapsed="false">
      <c r="A55" s="2" t="s">
        <v>55</v>
      </c>
      <c r="B55" s="2" t="s">
        <v>45</v>
      </c>
      <c r="C55" s="2" t="s">
        <v>82</v>
      </c>
    </row>
    <row r="56" customFormat="false" ht="14.25" hidden="false" customHeight="false" outlineLevel="0" collapsed="false">
      <c r="A56" s="2" t="s">
        <v>42</v>
      </c>
      <c r="B56" s="2" t="s">
        <v>45</v>
      </c>
      <c r="C56" s="2" t="s">
        <v>82</v>
      </c>
    </row>
  </sheetData>
  <autoFilter ref="A1:A56">
    <sortState ref="A2:A56">
      <sortCondition ref="A2:A56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6796875" defaultRowHeight="14.25" zeroHeight="false" outlineLevelRow="0" outlineLevelCol="0"/>
  <cols>
    <col collapsed="false" customWidth="true" hidden="false" outlineLevel="0" max="2" min="2" style="2" width="29"/>
    <col collapsed="false" customWidth="true" hidden="false" outlineLevel="0" max="5" min="3" style="2" width="13"/>
    <col collapsed="false" customWidth="false" hidden="false" outlineLevel="0" max="8" min="6" style="41" width="10.67"/>
    <col collapsed="false" customWidth="true" hidden="false" outlineLevel="0" max="9" min="9" style="2" width="2.77"/>
    <col collapsed="false" customWidth="true" hidden="false" outlineLevel="0" max="10" min="10" style="2" width="14.56"/>
  </cols>
  <sheetData>
    <row r="1" customFormat="false" ht="14.25" hidden="false" customHeight="false" outlineLevel="0" collapsed="false">
      <c r="A1" s="2" t="s">
        <v>90</v>
      </c>
      <c r="B1" s="2" t="s">
        <v>91</v>
      </c>
      <c r="F1" s="2" t="s">
        <v>92</v>
      </c>
      <c r="G1" s="2" t="s">
        <v>91</v>
      </c>
      <c r="H1" s="2"/>
      <c r="I1" s="2" t="s">
        <v>90</v>
      </c>
      <c r="J1" s="2" t="s">
        <v>91</v>
      </c>
    </row>
    <row r="2" customFormat="false" ht="14.25" hidden="false" customHeight="false" outlineLevel="0" collapsed="false">
      <c r="A2" s="2" t="n">
        <v>1</v>
      </c>
      <c r="B2" s="7" t="s">
        <v>44</v>
      </c>
      <c r="C2" s="2" t="s">
        <v>93</v>
      </c>
      <c r="F2" s="2" t="n">
        <v>1</v>
      </c>
      <c r="G2" s="2" t="s">
        <v>15</v>
      </c>
      <c r="H2" s="2"/>
      <c r="I2" s="2" t="n">
        <v>1</v>
      </c>
      <c r="J2" s="2" t="s">
        <v>94</v>
      </c>
    </row>
    <row r="3" customFormat="false" ht="14.25" hidden="false" customHeight="false" outlineLevel="0" collapsed="false">
      <c r="A3" s="2" t="n">
        <v>2</v>
      </c>
      <c r="B3" s="7" t="s">
        <v>64</v>
      </c>
      <c r="C3" s="2" t="s">
        <v>95</v>
      </c>
      <c r="F3" s="2" t="n">
        <v>2</v>
      </c>
      <c r="G3" s="2" t="s">
        <v>20</v>
      </c>
      <c r="H3" s="2"/>
      <c r="I3" s="2" t="n">
        <v>2</v>
      </c>
      <c r="J3" s="2" t="s">
        <v>96</v>
      </c>
    </row>
    <row r="4" customFormat="false" ht="14.25" hidden="false" customHeight="false" outlineLevel="0" collapsed="false">
      <c r="A4" s="2" t="n">
        <v>3</v>
      </c>
      <c r="B4" s="7" t="s">
        <v>57</v>
      </c>
      <c r="C4" s="2" t="s">
        <v>97</v>
      </c>
      <c r="F4" s="2" t="n">
        <v>3</v>
      </c>
      <c r="G4" s="2" t="s">
        <v>98</v>
      </c>
      <c r="H4" s="2"/>
      <c r="I4" s="2" t="n">
        <v>3</v>
      </c>
      <c r="J4" s="2" t="s">
        <v>99</v>
      </c>
    </row>
    <row r="5" customFormat="false" ht="14.25" hidden="false" customHeight="false" outlineLevel="0" collapsed="false">
      <c r="A5" s="2" t="n">
        <v>4</v>
      </c>
      <c r="B5" s="7" t="s">
        <v>49</v>
      </c>
      <c r="C5" s="2" t="s">
        <v>100</v>
      </c>
      <c r="F5" s="2"/>
      <c r="G5" s="2"/>
      <c r="H5" s="2"/>
      <c r="I5" s="2" t="n">
        <v>4</v>
      </c>
      <c r="J5" s="2" t="s">
        <v>101</v>
      </c>
    </row>
    <row r="6" customFormat="false" ht="14.25" hidden="false" customHeight="false" outlineLevel="0" collapsed="false">
      <c r="A6" s="2" t="n">
        <v>5</v>
      </c>
      <c r="B6" s="7" t="s">
        <v>54</v>
      </c>
      <c r="C6" s="2" t="s">
        <v>102</v>
      </c>
      <c r="F6" s="2"/>
      <c r="G6" s="2"/>
      <c r="H6" s="2"/>
    </row>
    <row r="7" customFormat="false" ht="14.25" hidden="false" customHeight="false" outlineLevel="0" collapsed="false">
      <c r="A7" s="2" t="n">
        <v>6</v>
      </c>
      <c r="B7" s="7" t="s">
        <v>59</v>
      </c>
      <c r="C7" s="2" t="s">
        <v>103</v>
      </c>
      <c r="F7" s="2"/>
      <c r="G7" s="2"/>
      <c r="H7" s="2"/>
    </row>
    <row r="8" customFormat="false" ht="14.25" hidden="false" customHeight="false" outlineLevel="0" collapsed="false">
      <c r="A8" s="2" t="n">
        <v>7</v>
      </c>
      <c r="B8" s="58" t="s">
        <v>32</v>
      </c>
      <c r="C8" s="2" t="s">
        <v>104</v>
      </c>
      <c r="F8" s="2"/>
      <c r="G8" s="2"/>
      <c r="H8" s="2"/>
    </row>
    <row r="9" customFormat="false" ht="14.25" hidden="false" customHeight="false" outlineLevel="0" collapsed="false">
      <c r="A9" s="2" t="n">
        <v>8</v>
      </c>
      <c r="B9" s="7" t="s">
        <v>37</v>
      </c>
      <c r="C9" s="2" t="s">
        <v>105</v>
      </c>
      <c r="F9" s="2"/>
      <c r="G9" s="2"/>
      <c r="H9" s="2"/>
    </row>
    <row r="10" customFormat="false" ht="14.25" hidden="false" customHeight="false" outlineLevel="0" collapsed="false">
      <c r="A10" s="2" t="n">
        <v>9</v>
      </c>
      <c r="B10" s="7" t="s">
        <v>51</v>
      </c>
      <c r="C10" s="2" t="s">
        <v>106</v>
      </c>
      <c r="F10" s="2"/>
      <c r="G10" s="2"/>
      <c r="H10" s="2"/>
    </row>
    <row r="11" customFormat="false" ht="14.25" hidden="false" customHeight="false" outlineLevel="0" collapsed="false">
      <c r="A11" s="2" t="n">
        <v>10</v>
      </c>
      <c r="B11" s="7" t="s">
        <v>45</v>
      </c>
      <c r="C11" s="2" t="s">
        <v>107</v>
      </c>
      <c r="F11" s="2"/>
      <c r="G11" s="2"/>
      <c r="H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2025-07-11T05:44:38Z</dcterms:created>
  <dc:creator>asus</dc:creator>
  <dc:description/>
  <dc:language>es-MX</dc:language>
  <cp:lastModifiedBy/>
  <dcterms:modified xsi:type="dcterms:W3CDTF">2025-07-30T15:50:25Z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